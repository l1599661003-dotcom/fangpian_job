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/>
  </bookViews>
  <sheets>
    <sheet name="November" sheetId="1" state="hidden" r:id="rId3"/>
    <sheet name="December" sheetId="2" state="hidden" r:id="rId4"/>
    <sheet name="2026-7" sheetId="3" r:id="rId5"/>
    <sheet name="2026-6" sheetId="4" r:id="rId6"/>
    <sheet name="2026-5" sheetId="5" r:id="rId7"/>
    <sheet name="2026-4" sheetId="6" r:id="rId8"/>
    <sheet name="2026-3" sheetId="7" r:id="rId9"/>
    <sheet name="周度招聘统计" sheetId="8" r:id="rId10"/>
    <sheet name="周度离职统计" sheetId="9" r:id="rId11"/>
    <sheet name="2026-2" sheetId="10" state="hidden" r:id="rId12"/>
    <sheet name="2026-1" sheetId="11" state="hidden" r:id="rId13"/>
  </sheets>
  <calcPr/>
</workbook>
</file>

<file path=xl/sharedStrings.xml><?xml version="1.0" encoding="utf-8"?>
<sst xmlns="http://schemas.openxmlformats.org/spreadsheetml/2006/main" count="384" uniqueCount="384">
  <si>
    <t/>
  </si>
  <si>
    <t>概述：
3月份岗位需求数量为94个，总计offer122个，入职108人。
招聘完成率114%，原因为临时岗位新增需求4个、2月份offer人选入职、理工经纪人团队搭建等。</t>
  </si>
  <si>
    <t>5月自然月招聘需求提报表</t>
  </si>
  <si>
    <t>5月进展</t>
  </si>
  <si>
    <t>4月月度招聘需求提报表</t>
  </si>
  <si>
    <t>4月进展</t>
  </si>
  <si>
    <t>部门</t>
  </si>
  <si>
    <t>总计</t>
  </si>
  <si>
    <t>招聘类型</t>
  </si>
  <si>
    <t>需求岗位名称</t>
  </si>
  <si>
    <t>需求数量</t>
  </si>
  <si>
    <t>岗位性质</t>
  </si>
  <si>
    <t>3月offer</t>
  </si>
  <si>
    <t>3月入职</t>
  </si>
  <si>
    <t>6月月度招聘需求提报表</t>
  </si>
  <si>
    <t>6月进展-6.6</t>
  </si>
  <si>
    <t>offer人数</t>
  </si>
  <si>
    <t>入职人数</t>
  </si>
  <si>
    <t>前台</t>
  </si>
  <si>
    <t>签约部</t>
  </si>
  <si>
    <t>新增需求</t>
  </si>
  <si>
    <t>校园经纪人</t>
  </si>
  <si>
    <t>校招</t>
  </si>
  <si>
    <t>7月月度招聘需求提报表</t>
  </si>
  <si>
    <t>7月进展-7.3</t>
  </si>
  <si>
    <t>临时新增</t>
  </si>
  <si>
    <t>需求类型</t>
  </si>
  <si>
    <t>/</t>
  </si>
  <si>
    <t>实习经纪人（文旅）</t>
  </si>
  <si>
    <t>本部经纪人</t>
  </si>
  <si>
    <t>社招</t>
  </si>
  <si>
    <t>建联经纪人</t>
  </si>
  <si>
    <t>培训部</t>
  </si>
  <si>
    <t>上个月未入职</t>
  </si>
  <si>
    <t>kos运营专员</t>
  </si>
  <si>
    <t>社招&amp;校招</t>
  </si>
  <si>
    <t>HRBP</t>
  </si>
  <si>
    <t>业务助理</t>
  </si>
  <si>
    <t>商单运营</t>
  </si>
  <si>
    <t>自孵部</t>
  </si>
  <si>
    <t>编导</t>
  </si>
  <si>
    <t>运营专员</t>
  </si>
  <si>
    <t>学校经纪人</t>
  </si>
  <si>
    <t>签约PM</t>
  </si>
  <si>
    <t>储备需求</t>
  </si>
  <si>
    <t>内容运营</t>
  </si>
  <si>
    <t>剪辑</t>
  </si>
  <si>
    <t>替补需求</t>
  </si>
  <si>
    <t>项目经理</t>
  </si>
  <si>
    <t>达人</t>
  </si>
  <si>
    <t>外采部</t>
  </si>
  <si>
    <t>外采执行</t>
  </si>
  <si>
    <t>kos项目经理</t>
  </si>
  <si>
    <t>策划/文案</t>
  </si>
  <si>
    <t>商务中台</t>
  </si>
  <si>
    <t>项目执行</t>
  </si>
  <si>
    <t>IP编导</t>
  </si>
  <si>
    <t>商务提报</t>
  </si>
  <si>
    <t>商务开发</t>
  </si>
  <si>
    <t>对客提报</t>
  </si>
  <si>
    <t>IP剪辑</t>
  </si>
  <si>
    <t>合同结算</t>
  </si>
  <si>
    <t>自孵运营</t>
  </si>
  <si>
    <t>运营中台</t>
  </si>
  <si>
    <t>数据运营</t>
  </si>
  <si>
    <t>内容中台</t>
  </si>
  <si>
    <t>签约经纪人</t>
  </si>
  <si>
    <t>营销策划</t>
  </si>
  <si>
    <t>数据分析专员</t>
  </si>
  <si>
    <t>IP拍剪</t>
  </si>
  <si>
    <t>技术中台</t>
  </si>
  <si>
    <t>总经办+财务部</t>
  </si>
  <si>
    <t>招聘专员</t>
  </si>
  <si>
    <t>数据分析</t>
  </si>
  <si>
    <t>全案策划</t>
  </si>
  <si>
    <t>AI中台</t>
  </si>
  <si>
    <t>AI助理</t>
  </si>
  <si>
    <t>财务BP</t>
  </si>
  <si>
    <t>产品经理</t>
  </si>
  <si>
    <t>招聘经理</t>
  </si>
  <si>
    <t>品牌策划专员</t>
  </si>
  <si>
    <t>AI运营专员</t>
  </si>
  <si>
    <t>执行</t>
  </si>
  <si>
    <t>管理会计</t>
  </si>
  <si>
    <t>人事专员</t>
  </si>
  <si>
    <t>经纪人</t>
  </si>
  <si>
    <t>合计</t>
  </si>
  <si>
    <t>6月进展-6.13</t>
  </si>
  <si>
    <t>商务</t>
  </si>
  <si>
    <t>7月进展-7.11</t>
  </si>
  <si>
    <t>品牌专员</t>
  </si>
  <si>
    <t>上个月未交付延期本月</t>
  </si>
  <si>
    <t>hrbp</t>
  </si>
  <si>
    <t>学校商单运营</t>
  </si>
  <si>
    <t>核算会计</t>
  </si>
  <si>
    <t>中台</t>
  </si>
  <si>
    <t>签约（储备PM)</t>
  </si>
  <si>
    <t>临时需求</t>
  </si>
  <si>
    <t>组内hrbp</t>
  </si>
  <si>
    <t>5月进展-5.16</t>
  </si>
  <si>
    <t>数据投流运营</t>
  </si>
  <si>
    <t>后台</t>
  </si>
  <si>
    <t>行政前台</t>
  </si>
  <si>
    <t>总经理助理</t>
  </si>
  <si>
    <t>财务专员</t>
  </si>
  <si>
    <t>保安/门卫</t>
  </si>
  <si>
    <t>保洁</t>
  </si>
  <si>
    <t>BP助理</t>
  </si>
  <si>
    <t>行政专员</t>
  </si>
  <si>
    <t>外采经纪人</t>
  </si>
  <si>
    <t>外采提报</t>
  </si>
  <si>
    <t>外采对客提报</t>
  </si>
  <si>
    <t>6月进展-6.18</t>
  </si>
  <si>
    <t>达人运营</t>
  </si>
  <si>
    <t>5月进展-5.23</t>
  </si>
  <si>
    <t>6月进展-6.27</t>
  </si>
  <si>
    <t>HRBP助理</t>
  </si>
  <si>
    <t>执行BP助理</t>
  </si>
  <si>
    <t>品牌剪辑</t>
  </si>
  <si>
    <t>后台运营</t>
  </si>
  <si>
    <t>5月进展-5.30</t>
  </si>
  <si>
    <t>2月月度招聘需求提报表</t>
  </si>
  <si>
    <t>2月人员流动数据（人才部填写）</t>
  </si>
  <si>
    <t>1月人效</t>
  </si>
  <si>
    <t>在编（1月底团队规模）</t>
  </si>
  <si>
    <t>招聘要求</t>
  </si>
  <si>
    <t>离职人数</t>
  </si>
  <si>
    <t>2月底团队规模</t>
  </si>
  <si>
    <t>至少1年BP工作经验，从事过新媒体行业</t>
  </si>
  <si>
    <t>剪辑过小红书视频、会AE的优先考虑。需要有工作经验，熟练剪映</t>
  </si>
  <si>
    <t>高潜</t>
  </si>
  <si>
    <t>后期</t>
  </si>
  <si>
    <t>有相关工作经验</t>
  </si>
  <si>
    <t>（最好其中的2人是情侣关系，符合情侣号要求；另外一名是单独的达人）6G冲浪 有特点有拼劲</t>
  </si>
  <si>
    <t>商务部</t>
  </si>
  <si>
    <t>商务执行</t>
  </si>
  <si>
    <t>不要实习生！！！要抗压能力强一点的，灵一点，懂说话的艺术</t>
  </si>
  <si>
    <t>不要实习生！！！！要有对客能力的，能拆解明白客户需求，擅长excel</t>
  </si>
  <si>
    <t>提报</t>
  </si>
  <si>
    <t>细心，有耐心，有情商</t>
  </si>
  <si>
    <t>实习生</t>
  </si>
  <si>
    <t>对话有思维逻辑即可</t>
  </si>
  <si>
    <t>1年以上BP经验，最好之前从事过新媒体行业</t>
  </si>
  <si>
    <t>有情商，会聊天</t>
  </si>
  <si>
    <t>结算</t>
  </si>
  <si>
    <t>细心，逻辑性强</t>
  </si>
  <si>
    <t>能够听得懂话，有情商</t>
  </si>
  <si>
    <t>1、文案写作能力强，文字功底强，头脑灵活，能独立创作文案
2、网感好、对热点敏感、善于把握时事热点和段子
3、有趣好玩，脑洞大点子多，性格超E
4、有抖音运营经验、视频创意工作经验者优先</t>
  </si>
  <si>
    <t>投流运营</t>
  </si>
  <si>
    <t>1、具备优秀的沟通技巧、应变能力、逻辑分析能力
2、有高度的工作责任心和较强的抗压能力
3、思维敏捷，对数据敏感，具备数据处理与分析能力
4、熟练掌握Excel等常用办公软件
5、有电商短视频或信息流广告相关经验者优先</t>
  </si>
  <si>
    <t>策划出身，具有项目经理思维</t>
  </si>
  <si>
    <t>策划</t>
  </si>
  <si>
    <t>有海尔项目工作经验，可接受服务海尔海信项目经理转岗</t>
  </si>
  <si>
    <t>1-2年编导经验，可接受服务海尔的乙方广告公司策划（视频执行方向）、代运营、MCN（可以但不优先，贵且抗压一般），可接受写过脚本的文案，可接受灵性好的实习生（张猛、孙谦、厨电新账号，年前更新）</t>
  </si>
  <si>
    <t>1-2年编导经验，可接受服务海尔的乙方广告公司策划（视频执行方向）、代运营、MCN（可以但不优先，贵且抗压一般），可接受写过脚本的文案，可接受灵性好的实习生（姜波、张涵年后启动）</t>
  </si>
  <si>
    <t>广告公司或乙方，最好有广告片、宣传片、TVC剪辑经验，抗压好，最好会一些平面</t>
  </si>
  <si>
    <t>IP摄像</t>
  </si>
  <si>
    <t>乙方出身，优先服务海尔的项目经验</t>
  </si>
  <si>
    <t>kos运营</t>
  </si>
  <si>
    <t>有灵性的，好本科以上学历，可带教培养</t>
  </si>
  <si>
    <t>设计</t>
  </si>
  <si>
    <t>能适应海尔风格，优先线上</t>
  </si>
  <si>
    <t>昆鹏培训项目需求，年后入职</t>
  </si>
  <si>
    <t>软性素质好</t>
  </si>
  <si>
    <t>ssc专员</t>
  </si>
  <si>
    <t>培训相关经验或者扎实的入离调转经验</t>
  </si>
  <si>
    <t>品牌策划</t>
  </si>
  <si>
    <t>储备</t>
  </si>
  <si>
    <t>招聘经验</t>
  </si>
  <si>
    <t>脚本撰写、品牌策划，设计or视频</t>
  </si>
  <si>
    <t>财务分析专员</t>
  </si>
  <si>
    <t>有2年及以上财务分析预算管理或财务BP经验，逻辑思维强，数据敏感度高，抗压力强，接受加班，不要求学历和证书</t>
  </si>
  <si>
    <t>技术部</t>
  </si>
  <si>
    <t>3月月度招聘需求提报表</t>
  </si>
  <si>
    <t>3月人员流动数据（人才部填写）</t>
  </si>
  <si>
    <t>2月人效</t>
  </si>
  <si>
    <t>在编（2月底团队规模）</t>
  </si>
  <si>
    <t>销售开发、招投标方向</t>
  </si>
  <si>
    <t>至少有1年相关经验，操盘过抖音/小红书账号</t>
  </si>
  <si>
    <t>有对客能力和销售属性，能拆解明白客户需求，擅长excel，可以接受比较优秀的实习生</t>
  </si>
  <si>
    <t>要抗压能力强一点的，灵一点，懂说话的艺术，能拆解清楚客户的需求</t>
  </si>
  <si>
    <t>业务BP</t>
  </si>
  <si>
    <t>最好要行业内的，BP或者销售管理</t>
  </si>
  <si>
    <t>1、应变能力、逻辑分析能力
2、有高度的工作责任心和较强的抗压能力
3、思维敏捷，对数据敏感，具备数据处理与分析能力
4、熟练掌握Excel等常用办公软件
5、有短视频或信息流广告相关经验者优先</t>
  </si>
  <si>
    <t>长白班</t>
  </si>
  <si>
    <t>7月人员流动数据（人才部填写）</t>
  </si>
  <si>
    <t>6月底团队规模</t>
  </si>
  <si>
    <t>未毕业的在校学生；刚毕业的大学生</t>
  </si>
  <si>
    <t>业务支持</t>
  </si>
  <si>
    <t>理工大二、大三</t>
  </si>
  <si>
    <t>有老板ip/代运营经历，可独立负责选题、策划、脚本、复盘的全流程工作</t>
  </si>
  <si>
    <t>负责项目全生命周期管理，资深广告行业出身，懂营销、懂内容，有3-5年过往独立带项目及团队经验</t>
  </si>
  <si>
    <t>要抗压能力强一点的，灵一点，有解决问题的能力，安抚客户的能力</t>
  </si>
  <si>
    <t>抗压能力强，有清晰的沟通能力，细心负责</t>
  </si>
  <si>
    <t>能出差 有一定的编导能力 有审美 使命必达 抗压</t>
  </si>
  <si>
    <t>3年以上招聘经验或有招聘实习经验应届生</t>
  </si>
  <si>
    <t>5年以上招聘全流程精细化运营经验</t>
  </si>
  <si>
    <t>核算全套会计账务、财务分析、税务筹划、业务决策支持</t>
  </si>
  <si>
    <t>5月月度招聘需求提报表</t>
  </si>
  <si>
    <t>5月人员流动数据（人才部填写）</t>
  </si>
  <si>
    <t>4月底团队规模</t>
  </si>
  <si>
    <t>有灵性的，好本科以上学历，数据敏感，耐心细心，可带教培养</t>
  </si>
  <si>
    <t>6G冲浪 有特点有拼劲，要求全职</t>
  </si>
  <si>
    <t>情商高，接受销售性质，有赚钱的欲望，抗压能力强，责任心强，能接受下班以后回复客户消息</t>
  </si>
  <si>
    <t>财务专业，或者对数字敏感，帮助经纪人团队定期催回款，对接经纪人团队对博主侧的合同，文职岗，无提成，耐心好</t>
  </si>
  <si>
    <t>擅长数据清洗、数据分析和总结</t>
  </si>
  <si>
    <t>1（储备）</t>
  </si>
  <si>
    <t>有网感，有运营能力，看得懂数据，对各平台有了解</t>
  </si>
  <si>
    <t>访谈内容正片或切片剪辑</t>
  </si>
  <si>
    <t>技术团队负责人</t>
  </si>
  <si>
    <t>经验不限、AI工具基础、网感好、软性素质高</t>
  </si>
  <si>
    <t>3年以上招聘经验</t>
  </si>
  <si>
    <t>11月月度招聘需求提报表</t>
  </si>
  <si>
    <t>11月人员流动数据（人才部填写）</t>
  </si>
  <si>
    <t>9月人效</t>
  </si>
  <si>
    <t>在编（10月底团队规模）</t>
  </si>
  <si>
    <t>提报性质</t>
  </si>
  <si>
    <t>11月底团队规模</t>
  </si>
  <si>
    <t>183.3/56=3.27</t>
  </si>
  <si>
    <t>557.8/30=18.6</t>
  </si>
  <si>
    <t>签约助理</t>
  </si>
  <si>
    <t>校园抖音经纪人</t>
  </si>
  <si>
    <t>商单提报</t>
  </si>
  <si>
    <t>24.6/18=1.37</t>
  </si>
  <si>
    <t>外采结算</t>
  </si>
  <si>
    <t>外采BP</t>
  </si>
  <si>
    <t>结算运营</t>
  </si>
  <si>
    <t>104.8/27=3.88</t>
  </si>
  <si>
    <t>策划专家</t>
  </si>
  <si>
    <t>新媒体方向，创意&amp;传播&amp;social策略</t>
  </si>
  <si>
    <t>文案</t>
  </si>
  <si>
    <t>为IP服务提供文案、脚本、辅助支持</t>
  </si>
  <si>
    <t>6月自然月离职统计 6.1-6.6</t>
  </si>
  <si>
    <t>7月自然月离职统计 6.29-7.4</t>
  </si>
  <si>
    <t>离职人员</t>
  </si>
  <si>
    <t>本部5月自然月离职统计-第一周</t>
  </si>
  <si>
    <t>时间</t>
  </si>
  <si>
    <t>签约部-工商</t>
  </si>
  <si>
    <t>王昊宇、孙钰清、杜永曼</t>
  </si>
  <si>
    <t>1-1</t>
  </si>
  <si>
    <t>杨佳慧、高誉铭、刘思彤、李晓燕、于喜彦</t>
  </si>
  <si>
    <t>签约部-理工</t>
  </si>
  <si>
    <t>陆文慧、咸兴旺、王超冉</t>
  </si>
  <si>
    <t>1-2</t>
  </si>
  <si>
    <t>刘鲁梦</t>
  </si>
  <si>
    <t>签约部-文旅</t>
  </si>
  <si>
    <t>夏浩玮</t>
  </si>
  <si>
    <t>王凡文</t>
  </si>
  <si>
    <t>1-3</t>
  </si>
  <si>
    <t>龚峙钧、王蕾、翟乃东、沙钰尧</t>
  </si>
  <si>
    <t>1-4</t>
  </si>
  <si>
    <t>尹梓萌</t>
  </si>
  <si>
    <t>1-5</t>
  </si>
  <si>
    <t>曾立霞</t>
  </si>
  <si>
    <t>2-1</t>
  </si>
  <si>
    <t>张林涛</t>
  </si>
  <si>
    <t>高梦雨、郭晴晴</t>
  </si>
  <si>
    <t>2-2</t>
  </si>
  <si>
    <t>曲春展</t>
  </si>
  <si>
    <t>胡娟</t>
  </si>
  <si>
    <t>2-3</t>
  </si>
  <si>
    <t>陈述</t>
  </si>
  <si>
    <t>2-4</t>
  </si>
  <si>
    <t>3-1</t>
  </si>
  <si>
    <t>宋京轩</t>
  </si>
  <si>
    <t>3-2</t>
  </si>
  <si>
    <t>3-3</t>
  </si>
  <si>
    <t>6月自然月离职统计 6.8-6.13</t>
  </si>
  <si>
    <t>5月自然月离职统计-第二周</t>
  </si>
  <si>
    <t>3-4</t>
  </si>
  <si>
    <t>7月自然月离职统计 7.6-7.11</t>
  </si>
  <si>
    <t>4-1</t>
  </si>
  <si>
    <t>李雨龙</t>
  </si>
  <si>
    <t>李丽</t>
  </si>
  <si>
    <t>4-2</t>
  </si>
  <si>
    <t>刘京京</t>
  </si>
  <si>
    <t>程黎明、张芸、明宗雨</t>
  </si>
  <si>
    <t>周思佳、高延鹏、陈瑞宁</t>
  </si>
  <si>
    <t>4-3</t>
  </si>
  <si>
    <t>刘晓奕、吕思岚、刘春婷、李姿旋</t>
  </si>
  <si>
    <t>钱欣</t>
  </si>
  <si>
    <t>4-4</t>
  </si>
  <si>
    <t>刘皓</t>
  </si>
  <si>
    <t>金圣翔、崔绍毅</t>
  </si>
  <si>
    <t>4-5</t>
  </si>
  <si>
    <t>王亚宁、黄尚荣、杨硕</t>
  </si>
  <si>
    <t>5-1</t>
  </si>
  <si>
    <t>杨明雪、陈婷婷</t>
  </si>
  <si>
    <t>5-2</t>
  </si>
  <si>
    <t>台伟凤</t>
  </si>
  <si>
    <t>5-3</t>
  </si>
  <si>
    <t>姜玮洁</t>
  </si>
  <si>
    <t>5-4</t>
  </si>
  <si>
    <t>6-1</t>
  </si>
  <si>
    <t>6-2</t>
  </si>
  <si>
    <t>路吉超、杨顺程</t>
  </si>
  <si>
    <t>杨小萱</t>
  </si>
  <si>
    <t>6-3</t>
  </si>
  <si>
    <t>6-4</t>
  </si>
  <si>
    <t>6月自然月离职统计 6.15-6.18</t>
  </si>
  <si>
    <t>5月自然月离职统计-5.18-5.22</t>
  </si>
  <si>
    <t>7-1</t>
  </si>
  <si>
    <t>7-2</t>
  </si>
  <si>
    <t>徐梅英、曹素素、全文卉、张琦</t>
  </si>
  <si>
    <t>李小小</t>
  </si>
  <si>
    <t>潘睿实、白杨、杨乐、杨双</t>
  </si>
  <si>
    <t>乔志远</t>
  </si>
  <si>
    <t>张楷浩</t>
  </si>
  <si>
    <t>汪佳茹</t>
  </si>
  <si>
    <t>齐晓楠</t>
  </si>
  <si>
    <t>徐裕翔</t>
  </si>
  <si>
    <t>于文杰</t>
  </si>
  <si>
    <t>6月自然月离职统计 6.22-6.27</t>
  </si>
  <si>
    <t>5月自然月离职统计-5.25-5.30</t>
  </si>
  <si>
    <t>王宇彤、申天宇</t>
  </si>
  <si>
    <t>刘铭炜</t>
  </si>
  <si>
    <t>孙良桥（入即离）</t>
  </si>
  <si>
    <t>刘才靖、李可、石卉、张宸铭、宋雨霏、杨汶钢、邱致皓、李忠健、姜显硕、李朴歌、李明月</t>
  </si>
  <si>
    <t xml:space="preserve">
</t>
  </si>
  <si>
    <t>谢心怡</t>
  </si>
  <si>
    <t>张福真、姜萧萧</t>
  </si>
  <si>
    <t>任佳、王凯宇</t>
  </si>
  <si>
    <t>孙万凯</t>
  </si>
  <si>
    <t>1月月度招聘需求提报表</t>
  </si>
  <si>
    <t>1月人员流动数据（人才部填写）</t>
  </si>
  <si>
    <t>12月人效</t>
  </si>
  <si>
    <t>在编（12月底团队规模）</t>
  </si>
  <si>
    <t>1月底团队规模</t>
  </si>
  <si>
    <t>相关专业/自己做过账号且有爆款</t>
  </si>
  <si>
    <t>初级内容专家</t>
  </si>
  <si>
    <t>6G冲浪 有特点有拼劲</t>
  </si>
  <si>
    <t>校园签约经纪人</t>
  </si>
  <si>
    <t>本部签约经纪人</t>
  </si>
  <si>
    <t>签约BP</t>
  </si>
  <si>
    <t>能接受休息日及时回复客户消息，抗压能力强一些</t>
  </si>
  <si>
    <t>踏实认真</t>
  </si>
  <si>
    <t>细心，有耐心</t>
  </si>
  <si>
    <t>BP</t>
  </si>
  <si>
    <t>新媒体运营</t>
  </si>
  <si>
    <t>有1-2年新媒体运营工作经验</t>
  </si>
  <si>
    <t>乙方服务公司、海尔甲方、代运营</t>
  </si>
  <si>
    <t>1-2年编导经验，可接受服务海尔的乙方广告公司策划（视频执行方向）、代运营、MCN（可以但不优先，贵且抗压一般），可接受写过脚本的文案，可接受灵性好的实习生</t>
  </si>
  <si>
    <t>鹏哥培训项目需求</t>
  </si>
  <si>
    <t>额外offer</t>
  </si>
  <si>
    <t>招聘</t>
  </si>
  <si>
    <t>两班倒</t>
  </si>
  <si>
    <t>12月月度招聘需求提报表</t>
  </si>
  <si>
    <t>12月人员流动数据（人才部填写）</t>
  </si>
  <si>
    <t>10月人效</t>
  </si>
  <si>
    <t>在编（11月底团队规模)</t>
  </si>
  <si>
    <t>12月底团队规模</t>
  </si>
  <si>
    <t>内容PM</t>
  </si>
  <si>
    <t>大二/大三</t>
  </si>
  <si>
    <t>签约部HRBP</t>
  </si>
  <si>
    <t>组内HRBP</t>
  </si>
  <si>
    <t>Bp</t>
  </si>
  <si>
    <t>11.25提报需求</t>
  </si>
  <si>
    <t>卡奥斯项目经理汰换</t>
  </si>
  <si>
    <t>4月人员流动数据（人才部填写）</t>
  </si>
  <si>
    <t>3月人效</t>
  </si>
  <si>
    <t>在编（3月底团队规模）</t>
  </si>
  <si>
    <t>3月底团队规模</t>
  </si>
  <si>
    <t>有销售经验</t>
  </si>
  <si>
    <t>理工和工商未毕业候选人</t>
  </si>
  <si>
    <t>1-2年编导经验，可接受服务海尔的乙方广告公司策划（视频执行方向）、代运营、MCN（可以但不优先，贵且抗压一般），可接受写过脚本的文案，可接受灵性好的实习生（孟永哲、周枢）</t>
  </si>
  <si>
    <t>有全案策划经验的策划，一定要有经验</t>
  </si>
  <si>
    <t>数据分析：有基础的数据分析和数据整合能力，有投流运营的经验。
投流：接受小白，过往有投流经验即可。</t>
  </si>
  <si>
    <t>有网感，有运营能力，对各平台有了解</t>
  </si>
  <si>
    <t>访谈组，1成熟剪辑，2基础</t>
  </si>
  <si>
    <t>6月人员流动数据（人才部填写）</t>
  </si>
  <si>
    <t>5月底团队规模</t>
  </si>
  <si>
    <t>工作地点在学校提报</t>
  </si>
  <si>
    <t>营销策划（新客开发）</t>
  </si>
  <si>
    <t>1、后台运营/行政/数据录入类工作经验，熟悉小红书/抖音/视频号任一平台，MCN行业优先
2、熟练使用办公软件（Excel/飞书/企微等），打字速度快、准确率高
3、细心耐心，做事有条理，理解能力强，能处理重复性工作不出错
4、有数据敏感度，能主动发现数据异常
5、有责任感，对结果负责</t>
  </si>
  <si>
    <t>成熟的MCN、传媒、广告、品牌营销相关策划经验，能独立完成整套营销方案撰写，要看作品集</t>
  </si>
  <si>
    <t>优先社招，要求具备优秀的沟通能力、有灵气、有目标感、对业务认同感强，本月到岗，紧急！！！</t>
  </si>
  <si>
    <t>拍剪</t>
  </si>
  <si>
    <t>行政+采购</t>
  </si>
  <si>
    <r>
      <rPr>
        <rFont val="Microsoft YaHei"/>
        <b val="true"/>
        <i val="false"/>
        <strike val="false"/>
        <color rgb="FF000000"/>
        <sz val="12"/>
        <u val="none"/>
      </rPr>
      <t>概述：</t>
    </r>
    <r>
      <rPr>
        <rFont val="Microsoft YaHei"/>
        <b val="true"/>
        <i val="false"/>
        <strike val="false"/>
        <color rgb="FF000000"/>
        <sz val="12"/>
        <u val="none"/>
      </rPr>
      <t xml:space="preserve">
4月份岗位需求数量为48个，其中需招聘岗位为41个，总计offer61个，入职40人</t>
    </r>
    <r>
      <rPr>
        <rFont val="Microsoft YaHei"/>
        <b val="true"/>
        <i val="false"/>
        <strike val="false"/>
        <color rgb="FF000000"/>
        <sz val="12"/>
        <u val="none"/>
      </rPr>
      <t xml:space="preserve">
招聘完成率97.5%，原因为有8个新增临时需求、入职时间定在5月份等情况</t>
    </r>
  </si>
  <si>
    <r>
      <rPr>
        <rFont val="Microsoft YaHei"/>
        <b val="true"/>
        <i val="false"/>
        <strike val="false"/>
        <color rgb="FF000000"/>
        <sz val="10"/>
        <u val="none"/>
      </rPr>
      <t>参考数据：</t>
    </r>
    <r>
      <rPr>
        <rFont val="Microsoft YaHei"/>
        <b val="true"/>
        <i val="false"/>
        <strike val="false"/>
        <color rgb="FF000000"/>
        <sz val="10"/>
        <u val="none"/>
      </rPr>
      <t xml:space="preserve">
2024年营收1.8亿，平均人数194人，平均人效927万</t>
    </r>
    <r>
      <rPr>
        <rFont val="Microsoft YaHei"/>
        <b val="true"/>
        <i val="false"/>
        <strike val="false"/>
        <color rgb="FF000000"/>
        <sz val="10"/>
        <u val="none"/>
      </rPr>
      <t xml:space="preserve">
2025年若营收增长200%，人效增加20%，则2025年编制增长率为1.6，即公司平均人数约为330</t>
    </r>
    <r>
      <rPr>
        <rFont val="Microsoft YaHei"/>
        <b val="true"/>
        <i val="false"/>
        <strike val="false"/>
        <color rgb="FF7F7F7F"/>
        <sz val="10"/>
        <u val="none"/>
      </rPr>
      <t xml:space="preserve">
今年编制增长率=营收目标增长/今年人效</t>
    </r>
  </si>
  <si>
    <r>
      <rPr>
        <rFont val="Microsoft YaHei"/>
        <b val="true"/>
        <i val="false"/>
        <strike val="false"/>
        <color rgb="FF000000"/>
        <sz val="10"/>
        <u val="none"/>
      </rPr>
      <t>提报性质分类：</t>
    </r>
    <r>
      <rPr>
        <rFont val="Microsoft YaHei"/>
        <b val="false"/>
        <i val="false"/>
        <strike val="false"/>
        <color rgb="FF000000"/>
        <sz val="10"/>
        <u val="none"/>
      </rPr>
      <t xml:space="preserve">
新增需求：因业务拓展新增人数，预算增加
替补需求：员工离职缺编补齐或要汰换，预算不变
储备需求：可面试，但不入职、不发薪、不占预算</t>
    </r>
  </si>
  <si>
    <r>
      <rPr>
        <rFont val="Microsoft YaHei"/>
        <b val="true"/>
        <i val="false"/>
        <strike val="false"/>
        <color rgb="FF000000"/>
        <sz val="10"/>
        <u val="none"/>
      </rPr>
      <t>提报性质分类：</t>
    </r>
    <r>
      <rPr>
        <rFont val="Microsoft YaHei"/>
        <b val="false"/>
        <i val="false"/>
        <strike val="false"/>
        <color rgb="FF000000"/>
        <sz val="10"/>
        <u val="none"/>
      </rPr>
      <t xml:space="preserve">
新增需求：因业务拓展新增人数，预算增加
替补需求：员工离职缺编补齐或要汰换，预算不变
储备需求：可面试，但不入职、不发薪、不占预算
临时新增：月初没有岗位，临时新增需求</t>
    </r>
  </si>
  <si>
    <r>
      <rPr>
        <rFont val="Microsoft YaHei"/>
        <b val="true"/>
        <i val="false"/>
        <strike val="false"/>
        <color rgb="FF000000"/>
        <sz val="12"/>
        <u val="none"/>
      </rPr>
      <t>参考数据：</t>
    </r>
    <r>
      <rPr>
        <rFont val="Microsoft YaHei"/>
        <b val="true"/>
        <i val="false"/>
        <strike val="false"/>
        <color rgb="FF000000"/>
        <sz val="12"/>
        <u val="none"/>
      </rPr>
      <t xml:space="preserve">
2024年营收1.8亿，平均人数194人，平均人效927万</t>
    </r>
    <r>
      <rPr>
        <rFont val="Microsoft YaHei"/>
        <b val="true"/>
        <i val="false"/>
        <strike val="false"/>
        <color rgb="FF000000"/>
        <sz val="12"/>
        <u val="none"/>
      </rPr>
      <t xml:space="preserve">
2025年若营收增长200%，人效增加20%，则2025年编制增长率为1.6，即公司平均人数约为330</t>
    </r>
    <r>
      <rPr>
        <rFont val="Microsoft YaHei"/>
        <b val="true"/>
        <i val="false"/>
        <strike val="false"/>
        <color rgb="FF7F7F7F"/>
        <sz val="12"/>
        <u val="none"/>
      </rPr>
      <t xml:space="preserve">
今年编制增长率=营收目标增长/今年人效</t>
    </r>
  </si>
  <si>
    <r>
      <rPr>
        <rFont val="Microsoft YaHei"/>
        <b val="true"/>
        <i val="false"/>
        <strike val="false"/>
        <color rgb="FF000000"/>
        <sz val="12"/>
        <u val="none"/>
      </rPr>
      <t>提报性质分类：</t>
    </r>
    <r>
      <rPr>
        <rFont val="Microsoft YaHei"/>
        <b val="true"/>
        <i val="false"/>
        <strike val="false"/>
        <color rgb="FF000000"/>
        <sz val="12"/>
        <u val="none"/>
      </rPr>
      <t xml:space="preserve">
新增需求：因业务拓展新增人数，预算增加
替补需求：员工离职缺编补齐或要汰换，预算不变
储备需求：可面试，但不入职、不发薪、不占预算</t>
    </r>
  </si>
</sst>
</file>

<file path=xl/styles.xml><?xml version="1.0" encoding="utf-8"?>
<styleSheet xmlns="http://schemas.openxmlformats.org/spreadsheetml/2006/main">
  <numFmts count="2">
    <numFmt numFmtId="300" formatCode="0_ "/>
    <numFmt numFmtId="301" formatCode="@"/>
  </numFmts>
  <fonts count="4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name val="Microsoft YaHei"/>
      <b val="true"/>
      <sz val="12"/>
    </font>
    <font/>
    <font>
      <name val="Microsoft YaHei"/>
      <b val="true"/>
    </font>
    <font>
      <name val="Microsoft YaHei"/>
      <sz val="9"/>
    </font>
    <font>
      <name val="Microsoft YaHei"/>
    </font>
    <font>
      <b val="true"/>
    </font>
    <font>
      <name val="Microsoft YaHei"/>
      <sz val="10"/>
    </font>
    <font>
      <name val="Microsoft YaHei"/>
      <sz val="9"/>
    </font>
    <font>
      <sz val="9"/>
    </font>
    <font>
      <name val="Microsoft YaHei"/>
    </font>
    <font>
      <name val="Microsoft YaHei"/>
      <sz val="10"/>
    </font>
    <font>
      <b val="true"/>
      <sz val="10"/>
    </font>
    <font/>
    <font>
      <sz val="9"/>
    </font>
    <font>
      <name val="Microsoft YaHei"/>
      <color rgb="FFC00000"/>
    </font>
    <font>
      <name val="Microsoft YaHei"/>
      <b val="true"/>
      <sz val="12"/>
    </font>
    <font>
      <name val="Microsoft YaHei"/>
      <b val="true"/>
    </font>
    <font>
      <name val="Microsoft YaHei"/>
      <sz val="9"/>
    </font>
    <font>
      <name val="Microsoft YaHei"/>
      <sz val="9"/>
    </font>
    <font>
      <sz val="9"/>
    </font>
    <font>
      <name val="Microsoft YaHei"/>
    </font>
    <font>
      <name val="Microsoft YaHei"/>
      <sz val="9"/>
    </font>
    <font/>
    <font/>
    <font>
      <name val="Microsoft YaHei"/>
    </font>
    <font>
      <name val="Microsoft YaHei"/>
      <sz val="9"/>
    </font>
    <font/>
    <font>
      <name val="Microsoft YaHei"/>
      <sz val="10"/>
    </font>
    <font>
      <sz val="9"/>
    </font>
    <font>
      <name val="Microsoft YaHei"/>
      <color rgb="FF000000"/>
    </font>
    <font>
      <name val="Microsoft YaHei"/>
      <b val="true"/>
      <color rgb="FFDE3C36"/>
    </font>
    <font>
      <name val="Microsoft YaHei"/>
      <b val="true"/>
      <sz val="11"/>
    </font>
    <font>
      <name val="Microsoft YaHei"/>
      <b val="true"/>
      <sz val="10"/>
    </font>
    <font>
      <name val="Microsoft YaHei"/>
      <b val="true"/>
      <sz val="11"/>
    </font>
    <font>
      <name val="Microsoft YaHei"/>
      <b val="true"/>
      <sz val="10"/>
    </font>
    <font>
      <name val="Microsoft YaHei"/>
      <b val="true"/>
      <sz val="14"/>
    </font>
    <font>
      <name val="Microsoft YaHei"/>
      <b val="true"/>
      <color rgb="FFDE3C36"/>
      <sz val="12"/>
    </font>
    <font>
      <name val="Microsoft YaHei"/>
      <sz val="11"/>
    </font>
  </fonts>
  <fills count="65">
    <fill>
      <patternFill patternType="none"/>
    </fill>
    <fill>
      <patternFill patternType="gray125"/>
    </fill>
    <fill>
      <patternFill patternType="none"/>
    </fill>
    <fill>
      <patternFill patternType="solid">
        <fgColor rgb="FFFFEEAD"/>
        <bgColor auto="true"/>
      </patternFill>
    </fill>
    <fill>
      <patternFill patternType="none"/>
    </fill>
    <fill>
      <patternFill patternType="solid">
        <fgColor rgb="FFC7DCFF"/>
      </patternFill>
    </fill>
    <fill>
      <patternFill patternType="solid">
        <fgColor rgb="FFFFDCC4"/>
      </patternFill>
    </fill>
    <fill>
      <patternFill patternType="solid">
        <fgColor rgb="FFC7DCFF"/>
      </patternFill>
    </fill>
    <fill>
      <patternFill patternType="solid">
        <fgColor rgb="FFFFDCC4"/>
      </patternFill>
    </fill>
    <fill>
      <patternFill patternType="solid">
        <fgColor rgb="FFE5EFFF"/>
        <bgColor auto="true"/>
      </patternFill>
    </fill>
    <fill/>
    <fill>
      <patternFill patternType="solid">
        <fgColor rgb="FFE5EFFF"/>
      </patternFill>
    </fill>
    <fill>
      <patternFill patternType="solid">
        <fgColor rgb="FFFFF3EB"/>
      </patternFill>
    </fill>
    <fill>
      <patternFill patternType="solid">
        <fgColor rgb="FFFFF9E3"/>
        <bgColor auto="true"/>
      </patternFill>
    </fill>
    <fill/>
    <fill/>
    <fill>
      <patternFill patternType="solid">
        <fgColor rgb="FFE5EFFF"/>
      </patternFill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9E3"/>
        <bgColor auto="true"/>
      </patternFill>
    </fill>
    <fill>
      <patternFill patternType="solid">
        <fgColor rgb="FFFFF3EB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F2F2F2"/>
        <bgColor auto="true"/>
      </patternFill>
    </fill>
    <fill>
      <patternFill patternType="solid">
        <fgColor rgb="FFF3F5F7"/>
        <bgColor auto="true"/>
      </patternFill>
    </fill>
    <fill>
      <patternFill patternType="solid">
        <fgColor rgb="FFEAFAF1"/>
      </patternFill>
    </fill>
    <fill>
      <patternFill patternType="solid">
        <fgColor rgb="FFF2F2F2"/>
        <bgColor auto="true"/>
      </patternFill>
    </fill>
    <fill>
      <patternFill patternType="solid">
        <fgColor rgb="FFFFE9E8"/>
      </patternFill>
    </fill>
    <fill>
      <patternFill patternType="solid">
        <fgColor rgb="FFFFE9E8"/>
      </patternFill>
    </fill>
    <fill>
      <patternFill patternType="solid">
        <fgColor rgb="FFEAFAF1"/>
      </patternFill>
    </fill>
    <fill>
      <patternFill patternType="none"/>
    </fill>
    <fill>
      <patternFill patternType="solid">
        <fgColor rgb="FFFDEBFF"/>
      </patternFill>
    </fill>
    <fill>
      <patternFill patternType="solid">
        <fgColor rgb="FFE5F6FF"/>
      </patternFill>
    </fill>
    <fill>
      <patternFill patternType="solid">
        <fgColor rgb="FFFDEBFF"/>
      </patternFill>
    </fill>
    <fill>
      <patternFill patternType="solid">
        <fgColor rgb="FFE5F6FF"/>
      </patternFill>
    </fill>
    <fill>
      <patternFill patternType="solid">
        <fgColor rgb="FFFFEEAD"/>
      </patternFill>
    </fill>
    <fill>
      <patternFill patternType="solid">
        <fgColor rgb="FFFFE9E8"/>
      </patternFill>
    </fill>
    <fill>
      <patternFill patternType="solid">
        <fgColor rgb="FFFDEBFF"/>
        <bgColor auto="true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F2C7FF"/>
      </patternFill>
    </fill>
    <fill>
      <patternFill patternType="solid">
        <fgColor rgb="FFF2C7FF"/>
      </patternFill>
    </fill>
    <fill>
      <patternFill patternType="solid">
        <fgColor rgb="FFFFEEAD"/>
      </patternFill>
    </fill>
    <fill>
      <patternFill patternType="solid">
        <fgColor rgb="FFEAFAF1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F2C7FF"/>
      </patternFill>
    </fill>
    <fill>
      <patternFill patternType="solid">
        <fgColor rgb="FFFFE9E8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FFF9E3"/>
      </patternFill>
    </fill>
    <fill>
      <patternFill patternType="solid">
        <fgColor rgb="FFEAFAF1"/>
      </patternFill>
    </fill>
    <fill>
      <patternFill patternType="solid">
        <fgColor rgb="FFF3F5F7"/>
      </patternFill>
    </fill>
    <fill>
      <patternFill patternType="solid">
        <fgColor rgb="FFFFE9E8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7F7F7F"/>
      </patternFill>
    </fill>
    <fill>
      <patternFill patternType="solid">
        <fgColor rgb="FFC7DCFF"/>
      </patternFill>
    </fill>
    <fill>
      <patternFill patternType="solid">
        <fgColor rgb="FFE5F6FF"/>
      </patternFill>
    </fill>
    <fill>
      <patternFill patternType="solid">
        <fgColor rgb="FFFFC9C7"/>
      </patternFill>
    </fill>
    <fill>
      <patternFill patternType="solid">
        <fgColor rgb="FF8CDDFA"/>
      </patternFill>
    </fill>
    <fill>
      <patternFill patternType="solid">
        <fgColor rgb="FFFF9C99"/>
      </patternFill>
    </fill>
  </fills>
  <borders count="2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595959"/>
      </left>
      <top style="medium">
        <color rgb="FF595959"/>
      </top>
    </border>
    <border>
      <top style="medium">
        <color rgb="FF595959"/>
      </top>
    </border>
    <border>
      <right style="medium">
        <color rgb="FF595959"/>
      </right>
      <top style="medium">
        <color rgb="FF595959"/>
      </top>
    </border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top style="medium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595959"/>
      </left>
      <right style="thin">
        <color rgb="FF595959"/>
      </right>
      <top style="medium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medium">
        <color rgb="FF595959"/>
      </top>
      <bottom style="thin">
        <color rgb="FF595959"/>
      </bottom>
    </border>
    <border>
      <left style="thin">
        <color rgb="FF595959"/>
      </left>
      <top style="medium">
        <color rgb="FF595959"/>
      </top>
      <bottom style="thin">
        <color rgb="FF595959"/>
      </bottom>
    </border>
    <border>
      <left style="thin">
        <color rgb="FF595959"/>
      </left>
      <right style="medium">
        <color rgb="FF595959"/>
      </right>
      <top style="medium">
        <color rgb="FF595959"/>
      </top>
      <bottom style="thin">
        <color rgb="FF595959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left style="thin">
        <color rgb="FF595959"/>
      </left>
      <right style="medium">
        <color rgb="FF595959"/>
      </right>
      <top style="thin">
        <color rgb="FF595959"/>
      </top>
      <bottom style="thin">
        <color rgb="FF595959"/>
      </bottom>
    </border>
    <border>
      <left style="medium">
        <color rgb="FF7F7F7F"/>
      </left>
      <right style="thin">
        <color rgb="FF7F7F7F"/>
      </right>
      <top style="thin">
        <color rgb="FF7F7F7F"/>
      </top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595959"/>
      </left>
      <right style="thin">
        <color rgb="FF595959"/>
      </right>
      <top style="thin">
        <color rgb="FF595959"/>
      </top>
    </border>
    <border>
      <left style="thin">
        <color rgb="FF595959"/>
      </left>
      <right style="medium">
        <color rgb="FF595959"/>
      </right>
      <top style="thin">
        <color rgb="FF595959"/>
      </top>
    </border>
    <border>
      <left style="medium">
        <color rgb="FF7F7F7F"/>
      </left>
      <right style="thin">
        <color rgb="FF7F7F7F"/>
      </right>
      <bottom style="thin">
        <color rgb="FF7F7F7F"/>
      </bottom>
    </border>
    <border>
      <left style="medium">
        <color rgb="FF7F7F7F"/>
      </left>
      <right style="thin">
        <color rgb="FF7F7F7F"/>
      </right>
      <bottom style="thin">
        <color rgb="FF7F7F7F"/>
      </bottom>
    </border>
    <border>
      <left style="medium">
        <color rgb="FF7F7F7F"/>
      </left>
      <right style="thin">
        <color rgb="FF7F7F7F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595959"/>
      </left>
      <right style="thin">
        <color rgb="FF595959"/>
      </right>
      <top style="thin">
        <color rgb="FF595959"/>
      </top>
      <bottom style="medium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595959"/>
      </bottom>
    </border>
    <border>
      <left style="thin">
        <color rgb="FF595959"/>
      </left>
      <top style="thin">
        <color rgb="FF595959"/>
      </top>
      <bottom style="medium">
        <color rgb="FF595959"/>
      </bottom>
    </border>
    <border>
      <left style="medium">
        <color rgb="FF595959"/>
      </left>
      <right style="thin">
        <color rgb="FF595959"/>
      </right>
      <bottom style="medium">
        <color rgb="FF595959"/>
      </bottom>
    </border>
    <border>
      <left style="thin">
        <color rgb="FF595959"/>
      </left>
      <bottom style="medium">
        <color rgb="FF595959"/>
      </bottom>
    </border>
    <border>
      <bottom style="medium">
        <color rgb="FF595959"/>
      </bottom>
    </border>
    <border>
      <right style="medium">
        <color rgb="FF595959"/>
      </right>
      <bottom style="medium">
        <color rgb="FF595959"/>
      </bottom>
    </border>
    <border>
      <left style="medium">
        <color rgb="FF595959"/>
      </left>
      <right style="thin">
        <color rgb="FF595959"/>
      </right>
      <top style="medium">
        <color rgb="FF595959"/>
      </top>
      <bottom style="medium">
        <color rgb="FF595959"/>
      </bottom>
    </border>
    <border>
      <left style="thin">
        <color rgb="FF595959"/>
      </left>
      <right style="medium">
        <color rgb="FF595959"/>
      </right>
      <top style="medium">
        <color rgb="FF595959"/>
      </top>
      <bottom style="medium">
        <color rgb="FF595959"/>
      </bottom>
    </border>
    <border diagonalUp="true" diagonalDown="tru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top style="thin">
        <color rgb="FF7F7F7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7F7F7F"/>
      </left>
      <right style="thin">
        <color rgb="FF7F7F7F"/>
      </right>
      <top style="thin">
        <color rgb="FF7F7F7F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7F7F7F"/>
      </left>
      <right style="thin">
        <color rgb="FF7F7F7F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7F7F7F"/>
      </left>
      <right style="thin">
        <color rgb="FF7F7F7F"/>
      </right>
      <top/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</border>
    <border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medium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</border>
    <border>
      <left style="thin">
        <color rgb="FF7F7F7F"/>
      </left>
      <right style="medium">
        <color rgb="FF7F7F7F"/>
      </right>
      <top style="thin">
        <color rgb="FF7F7F7F"/>
      </top>
    </border>
    <border>
      <left style="medium">
        <color rgb="FF000000"/>
      </left>
      <right style="thin">
        <color rgb="FF7F7F7F"/>
      </right>
      <top style="thin">
        <color rgb="FF7F7F7F"/>
      </top>
    </border>
    <border>
      <left style="medium">
        <color rgb="FF595959"/>
      </left>
      <right style="thin">
        <color rgb="FF595959"/>
      </right>
      <bottom style="thin">
        <color rgb="FF595959"/>
      </bottom>
    </border>
    <border>
      <left style="medium">
        <color rgb="FF7F7F7F"/>
      </left>
      <right/>
      <bottom style="medium">
        <color rgb="FF7F7F7F"/>
      </bottom>
    </border>
    <border>
      <left/>
      <right/>
      <bottom style="medium">
        <color rgb="FF7F7F7F"/>
      </bottom>
    </border>
    <border>
      <left/>
      <bottom style="medium">
        <color rgb="FF7F7F7F"/>
      </bottom>
    </border>
    <border>
      <left/>
      <right/>
      <top style="medium">
        <color rgb="FF7F7F7F"/>
      </top>
      <bottom style="medium">
        <color rgb="FF7F7F7F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7F7F7F"/>
      </right>
    </border>
    <border>
      <left style="medium">
        <color rgb="FF595959"/>
      </left>
      <right style="thin">
        <color rgb="FF595959"/>
      </right>
      <top style="thin">
        <color rgb="FF595959"/>
      </top>
    </border>
    <border>
      <left style="medium">
        <color rgb="FF000000"/>
      </left>
      <right style="thin">
        <color rgb="FF7F7F7F"/>
      </right>
      <bottom style="thin">
        <color rgb="FF7F7F7F"/>
      </bottom>
    </border>
    <border>
      <left style="medium">
        <color rgb="FF595959"/>
      </left>
      <right style="thin">
        <color rgb="FF595959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595959"/>
      </left>
      <right style="thin">
        <color rgb="FF595959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/>
    <border>
      <left style="medium">
        <color rgb="FF595959"/>
      </left>
      <right style="thin">
        <color rgb="FF595959"/>
      </right>
      <top style="thin">
        <color rgb="FF595959"/>
      </top>
      <bottom/>
    </border>
    <border>
      <left style="medium">
        <color rgb="FF7F7F7F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595959"/>
      </left>
      <right style="thin">
        <color rgb="FF595959"/>
      </right>
      <top/>
      <bottom style="thin">
        <color rgb="FF595959"/>
      </bottom>
    </border>
    <border>
      <left style="medium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595959"/>
      </left>
      <right/>
      <top style="thin">
        <color rgb="FF595959"/>
      </top>
      <bottom style="thin">
        <color rgb="FF59595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/>
      <top/>
      <bottom/>
    </border>
    <border>
      <left style="medium">
        <color rgb="FF7F7F7F"/>
      </left>
    </border>
    <border>
      <left style="thin">
        <color rgb="FF939393"/>
      </left>
      <right style="thin">
        <color rgb="FF939393"/>
      </right>
      <top style="thin">
        <color rgb="FF939393"/>
      </top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</border>
    <border>
      <left style="thin">
        <color rgb="FF939393"/>
      </left>
      <top style="thin">
        <color rgb="FF939393"/>
      </top>
      <bottom style="thin">
        <color rgb="FF939393"/>
      </bottom>
    </border>
    <border>
      <left style="medium">
        <color rgb="FF595959"/>
      </left>
      <right style="thin">
        <color rgb="FF595959"/>
      </right>
      <bottom style="medium">
        <color rgb="FF595959"/>
      </bottom>
    </border>
    <border>
      <left style="thin">
        <color rgb="FF595959"/>
      </left>
      <right/>
      <top style="thin">
        <color rgb="FF595959"/>
      </top>
      <bottom style="medium">
        <color rgb="FF595959"/>
      </bottom>
    </border>
    <border>
      <left style="thin">
        <color rgb="FF595959"/>
      </left>
      <right style="medium">
        <color rgb="FF595959"/>
      </right>
      <top style="thin">
        <color rgb="FF595959"/>
      </top>
      <bottom/>
    </border>
    <border>
      <left style="thin">
        <color rgb="FF939393"/>
      </left>
      <right style="thin">
        <color rgb="FF939393"/>
      </right>
      <bottom style="thin">
        <color rgb="FF939393"/>
      </bottom>
    </border>
    <border>
      <bottom style="medium">
        <color rgb="FF595959"/>
      </bottom>
    </border>
    <border>
      <right style="medium">
        <color rgb="FF595959"/>
      </right>
      <bottom style="medium">
        <color rgb="FF595959"/>
      </bottom>
    </border>
    <border>
      <left style="medium">
        <color rgb="FF595959"/>
      </left>
      <right style="thin">
        <color rgb="FF595959"/>
      </right>
      <bottom style="thin">
        <color rgb="FF595959"/>
      </bottom>
    </border>
    <border>
      <left style="medium">
        <color rgb="FF595959"/>
      </left>
      <right style="thin">
        <color rgb="FF595959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7F7F7F"/>
      </left>
      <right style="thin">
        <color rgb="FF7F7F7F"/>
      </right>
    </border>
    <border>
      <left style="medium">
        <color rgb="FF000000"/>
      </left>
      <right style="thin">
        <color rgb="FF595959"/>
      </right>
      <top style="medium">
        <color rgb="FF00000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medium">
        <color rgb="FF000000"/>
      </top>
      <bottom style="thin">
        <color rgb="FF595959"/>
      </bottom>
    </border>
    <border>
      <left style="thin">
        <color rgb="FF595959"/>
      </left>
      <right style="medium">
        <color rgb="FF000000"/>
      </right>
      <top style="medium">
        <color rgb="FF000000"/>
      </top>
      <bottom style="thin">
        <color rgb="FF595959"/>
      </bottom>
    </border>
    <border>
      <right style="thin">
        <color rgb="FF595959"/>
      </right>
      <top style="medium">
        <color rgb="FF595959"/>
      </top>
      <bottom style="thin">
        <color rgb="FF595959"/>
      </bottom>
    </border>
    <border>
      <left style="medium">
        <color rgb="FF00000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medium">
        <color rgb="FF000000"/>
      </righ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000000"/>
      </left>
      <right style="thin">
        <color rgb="FF595959"/>
      </right>
      <top style="thin">
        <color rgb="FF595959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 diagonalUp="true" diagonalDown="true">
      <left style="medium">
        <color rgb="FF7F7F7F"/>
      </left>
      <right/>
      <top/>
      <bottom/>
      <diagonal/>
    </border>
    <border>
      <left style="medium">
        <color rgb="FF000000"/>
      </left>
      <right style="thin">
        <color rgb="FF595959"/>
      </right>
    </border>
    <border>
      <left style="thin">
        <color rgb="FF939393"/>
      </left>
      <right style="thin">
        <color rgb="FF939393"/>
      </right>
    </border>
    <border>
      <left style="medium">
        <color rgb="FF000000"/>
      </left>
    </border>
    <border>
      <left style="thin">
        <color rgb="FF939393"/>
      </left>
      <right style="thin">
        <color rgb="FF939393"/>
      </right>
      <bottom style="thin">
        <color rgb="FF939393"/>
      </bottom>
    </border>
    <border>
      <left style="medium">
        <color rgb="FF000000"/>
      </left>
      <right style="thin">
        <color rgb="FF595959"/>
      </right>
    </border>
    <border>
      <left style="medium">
        <color rgb="FF000000"/>
      </left>
    </border>
    <border>
      <left style="thin">
        <color rgb="FF595959"/>
      </left>
      <right style="thin">
        <color rgb="FF595959"/>
      </right>
      <top style="thin">
        <color rgb="FF595959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medium">
        <color rgb="FF000000"/>
      </right>
      <top style="thin">
        <color rgb="FFBFBFBF"/>
      </top>
    </border>
    <border>
      <right style="thin">
        <color rgb="FF595959"/>
      </right>
      <top style="thin">
        <color rgb="FF595959"/>
      </top>
    </border>
    <border>
      <right style="medium">
        <color rgb="FF595959"/>
      </right>
      <top style="thin">
        <color rgb="FF595959"/>
      </top>
      <bottom style="thin">
        <color rgb="FF595959"/>
      </bottom>
    </border>
    <border>
      <left style="medium">
        <color rgb="FF7F7F7F"/>
      </left>
      <right style="thin">
        <color rgb="FF7F7F7F"/>
      </right>
      <bottom style="medium">
        <color rgb="FF7F7F7F"/>
      </bottom>
    </border>
    <border>
      <left style="medium">
        <color rgb="FF000000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medium">
        <color rgb="FF000000"/>
      </right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7F7F7F"/>
      </left>
      <bottom style="medium">
        <color rgb="FF7F7F7F"/>
      </bottom>
    </border>
    <border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left style="medium">
        <color rgb="FF000000"/>
      </left>
      <right style="thin">
        <color rgb="FF595959"/>
      </right>
      <bottom style="medium">
        <color rgb="FF000000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000000"/>
      </bottom>
    </border>
    <border>
      <left style="thin">
        <color rgb="FF595959"/>
      </left>
      <right style="medium">
        <color rgb="FF000000"/>
      </right>
      <top style="thin">
        <color rgb="FF595959"/>
      </top>
      <bottom style="medium">
        <color rgb="FF000000"/>
      </bottom>
    </border>
    <border>
      <left style="thin">
        <color rgb="FF595959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595959"/>
      </right>
      <top style="medium">
        <color rgb="FF595959"/>
      </top>
      <bottom style="medium">
        <color rgb="FF595959"/>
      </bottom>
    </border>
    <border>
      <left style="medium">
        <color rgb="FF7F7F7F"/>
      </left>
      <right style="thin">
        <color rgb="FF7F7F7F"/>
      </right>
      <bottom style="medium">
        <color rgb="FF7F7F7F"/>
      </bottom>
    </border>
    <border>
      <left style="medium">
        <color rgb="FF000000"/>
      </left>
      <top style="medium">
        <color rgb="FF000000"/>
      </top>
      <bottom style="thin">
        <color rgb="FFBFBFBF"/>
      </bottom>
    </border>
    <border>
      <top style="medium">
        <color rgb="FF000000"/>
      </top>
      <bottom style="thin">
        <color rgb="FFBFBFBF"/>
      </bottom>
    </border>
    <border>
      <right style="medium">
        <color rgb="FF000000"/>
      </right>
      <top style="medium">
        <color rgb="FF000000"/>
      </top>
      <bottom style="thin">
        <color rgb="FFBFBFBF"/>
      </bottom>
    </border>
    <border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</border>
    <border>
      <right style="medium">
        <color rgb="FF000000"/>
      </right>
    </border>
    <border>
      <left style="thin">
        <color rgb="FFBFBFBF"/>
      </left>
      <right style="thin">
        <color rgb="FFBFBFBF"/>
      </right>
    </border>
    <border>
      <right style="medium">
        <color rgb="FF000000"/>
      </right>
    </border>
    <border>
      <right style="medium">
        <color rgb="FF000000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 diagonalUp="true" diagonalDown="tru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939393"/>
      </right>
      <top style="medium">
        <color rgb="FF000000"/>
      </top>
    </border>
    <border>
      <left style="thin">
        <color rgb="FF939393"/>
      </left>
      <right style="thin">
        <color rgb="FF939393"/>
      </right>
      <top style="medium">
        <color rgb="FF000000"/>
      </top>
    </border>
    <border>
      <left style="thin">
        <color rgb="FF939393"/>
      </left>
      <right style="medium">
        <color rgb="FF000000"/>
      </right>
      <top style="medium">
        <color rgb="FF000000"/>
      </top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</border>
    <border>
      <left style="medium">
        <color rgb="FF000000"/>
      </left>
      <right style="thin">
        <color rgb="FF939393"/>
      </right>
      <top style="medium">
        <color rgb="FF000000"/>
      </top>
      <bottom style="thin">
        <color rgb="FF939393"/>
      </bottom>
    </border>
    <border>
      <left style="thin">
        <color rgb="FF939393"/>
      </left>
      <right style="thin">
        <color rgb="FF939393"/>
      </right>
      <top style="medium">
        <color rgb="FF000000"/>
      </top>
      <bottom style="thin">
        <color rgb="FF939393"/>
      </bottom>
    </border>
    <border>
      <left style="thin">
        <color rgb="FF939393"/>
      </left>
      <right style="medium">
        <color rgb="FF000000"/>
      </right>
      <top style="medium">
        <color rgb="FF000000"/>
      </top>
      <bottom style="thin">
        <color rgb="FF939393"/>
      </bottom>
    </border>
    <border>
      <left style="medium">
        <color rgb="FF000000"/>
      </left>
      <right style="thin">
        <color rgb="FF939393"/>
      </right>
      <top style="thin">
        <color rgb="FF939393"/>
      </top>
      <bottom style="thin">
        <color rgb="FF939393"/>
      </bottom>
    </border>
    <border>
      <left style="thin">
        <color rgb="FF939393"/>
      </left>
      <right style="medium">
        <color rgb="FF000000"/>
      </right>
      <top style="thin">
        <color rgb="FF939393"/>
      </top>
      <bottom style="thin">
        <color rgb="FF939393"/>
      </bottom>
    </border>
    <border>
      <left style="thin">
        <color rgb="FF939393"/>
      </left>
      <right style="medium">
        <color rgb="FF000000"/>
      </right>
      <top style="thin">
        <color rgb="FF939393"/>
      </top>
    </border>
    <border>
      <left style="thin">
        <color rgb="FF939393"/>
      </left>
      <right style="medium">
        <color rgb="FF000000"/>
      </right>
    </border>
    <border>
      <left/>
      <right style="thin">
        <color rgb="FF939393"/>
      </right>
      <top style="thin">
        <color rgb="FF939393"/>
      </top>
      <bottom style="thin">
        <color rgb="FF939393"/>
      </bottom>
    </border>
    <border>
      <left style="thin">
        <color rgb="FFBFBFBF"/>
      </left>
      <right style="thin">
        <color rgb="FFBFBFBF"/>
      </right>
      <top/>
    </border>
    <border>
      <right style="thin">
        <color rgb="FF939393"/>
      </right>
      <top style="thin">
        <color rgb="FF939393"/>
      </top>
      <bottom style="thin">
        <color rgb="FF939393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939393"/>
      </left>
      <top style="thin">
        <color rgb="FF939393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BFBFBF"/>
      </left>
      <bottom style="thin">
        <color rgb="FFBFBFBF"/>
      </bottom>
    </border>
    <border>
      <left style="medium">
        <color rgb="FF000000"/>
      </left>
      <right style="thin">
        <color rgb="FF939393"/>
      </right>
      <bottom style="thin">
        <color rgb="FF939393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939393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left style="thin">
        <color rgb="FFBFBFBF"/>
      </left>
      <right style="thin">
        <color rgb="FFBFBFBF"/>
      </right>
    </border>
    <border diagonalUp="true" diagonalDown="true">
      <left/>
      <right/>
      <top/>
      <bottom/>
      <diagonal/>
    </border>
    <border diagonalUp="true" diagonalDown="true">
      <left/>
      <right style="thick">
        <color rgb="FF000000"/>
      </right>
      <top/>
      <bottom/>
      <diagonal/>
    </border>
    <border>
      <left style="medium">
        <color rgb="FF595959"/>
      </left>
      <right style="thin">
        <color rgb="FF7F7F7F"/>
      </right>
      <top style="medium">
        <color rgb="FF595959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595959"/>
      </top>
      <bottom style="thin">
        <color rgb="FF7F7F7F"/>
      </bottom>
    </border>
    <border>
      <left style="thin">
        <color rgb="FF7F7F7F"/>
      </left>
      <right style="medium">
        <color rgb="FF595959"/>
      </right>
      <top style="medium">
        <color rgb="FF595959"/>
      </top>
      <bottom style="thin">
        <color rgb="FF7F7F7F"/>
      </bottom>
    </border>
    <border>
      <left style="medium">
        <color rgb="FF595959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595959"/>
      </right>
      <top style="thin">
        <color rgb="FF7F7F7F"/>
      </top>
      <bottom style="thin">
        <color rgb="FF7F7F7F"/>
      </bottom>
    </border>
    <border>
      <left style="medium">
        <color rgb="FF595959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medium">
        <color rgb="FF595959"/>
      </right>
      <top style="thin">
        <color rgb="FF7F7F7F"/>
      </top>
      <bottom style="medium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medium">
        <color rgb="FF595959"/>
      </left>
      <right style="thin">
        <color rgb="FF7F7F7F"/>
      </right>
      <bottom style="medium">
        <color rgb="FF595959"/>
      </bottom>
    </border>
    <border>
      <left style="thin">
        <color rgb="FF7F7F7F"/>
      </left>
      <right style="thin">
        <color rgb="FF7F7F7F"/>
      </right>
      <bottom style="medium">
        <color rgb="FF595959"/>
      </bottom>
    </border>
    <border>
      <left style="thin">
        <color rgb="FF7F7F7F"/>
      </left>
      <right style="medium">
        <color rgb="FF595959"/>
      </right>
      <bottom style="medium">
        <color rgb="FF595959"/>
      </bottom>
    </border>
    <border>
      <left style="thin">
        <color rgb="FF7F7F7F"/>
      </left>
      <right style="thin">
        <color rgb="FF7F7F7F"/>
      </right>
      <bottom style="medium">
        <color rgb="FF7F7F7F"/>
      </bottom>
    </border>
    <border>
      <left style="thin">
        <color rgb="FF7F7F7F"/>
      </left>
      <right style="medium">
        <color rgb="FF7F7F7F"/>
      </right>
      <bottom style="medium">
        <color rgb="FF7F7F7F"/>
      </bottom>
    </border>
    <border diagonalUp="true" diagonalDown="true"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939393"/>
      </left>
      <right style="medium">
        <color rgb="FF000000"/>
      </right>
      <bottom style="thin">
        <color rgb="FF939393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/>
    </border>
    <border>
      <left style="medium">
        <color rgb="FF000000"/>
      </left>
      <right style="thin">
        <color rgb="FF939393"/>
      </right>
      <top style="thin">
        <color rgb="FF939393"/>
      </top>
    </border>
    <border>
      <left style="thin">
        <color rgb="FFBFBFBF"/>
      </left>
      <top style="thin">
        <color rgb="FFBFBFBF"/>
      </top>
      <bottom style="medium">
        <color rgb="FF000000"/>
      </bottom>
    </border>
    <border>
      <left style="medium">
        <color rgb="FF000000"/>
      </left>
      <right style="thin">
        <color rgb="FF939393"/>
      </right>
      <top style="thin">
        <color rgb="FF939393"/>
      </top>
      <bottom style="medium">
        <color rgb="FF000000"/>
      </bottom>
    </border>
    <border>
      <left style="thin">
        <color rgb="FF939393"/>
      </left>
      <right style="thin">
        <color rgb="FF939393"/>
      </right>
      <top style="thin">
        <color rgb="FF939393"/>
      </top>
      <bottom style="medium">
        <color rgb="FF000000"/>
      </bottom>
    </border>
    <border>
      <left style="thin">
        <color rgb="FF939393"/>
      </left>
      <right style="medium">
        <color rgb="FF000000"/>
      </right>
      <top style="thin">
        <color rgb="FF939393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595959"/>
      </right>
      <top style="thin">
        <color rgb="FF595959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47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numFmtId="0" fontId="3" fillId="3" borderId="1" xfId="0">
      <alignment vertical="center" textRotation="0" wrapText="true" indent="0" justifyLastLine="false" shrinkToFit="false"/>
    </xf>
    <xf fontId="0" fillId="0" borderId="1" xfId="0">
      <alignment vertical="center"/>
    </xf>
    <xf fontId="4" fillId="4" borderId="0" xfId="0">
      <alignment horizontal="center" vertical="center" textRotation="0" indent="0" justifyLastLine="false" shrinkToFit="false"/>
    </xf>
    <xf fontId="4" fillId="4" borderId="2" xfId="0">
      <alignment horizontal="center" vertical="center" textRotation="0" indent="0" justifyLastLine="false" shrinkToFit="false"/>
    </xf>
    <xf fontId="4" fillId="4" borderId="3" xfId="0">
      <alignment horizontal="center" vertical="center" textRotation="0" indent="0" justifyLastLine="false" shrinkToFit="false"/>
    </xf>
    <xf fontId="5" fillId="4" borderId="2" xfId="0">
      <alignment vertical="center"/>
    </xf>
    <xf fontId="5" fillId="4" borderId="4" xfId="0">
      <alignment vertical="center"/>
    </xf>
    <xf fontId="5" fillId="4" borderId="0" xfId="0">
      <alignment vertical="center"/>
    </xf>
    <xf fontId="4" fillId="5" borderId="5" xfId="0">
      <alignment horizontal="center" vertical="center" textRotation="0" indent="0" justifyLastLine="false" shrinkToFit="false"/>
    </xf>
    <xf fontId="0" fillId="0" borderId="6" xfId="0">
      <alignment vertical="center"/>
    </xf>
    <xf fontId="0" fillId="0" borderId="7" xfId="0">
      <alignment vertical="center"/>
    </xf>
    <xf fontId="4" fillId="6" borderId="8" xfId="0">
      <alignment horizontal="center" vertical="center"/>
    </xf>
    <xf fontId="4" fillId="7" borderId="5" xfId="0">
      <alignment horizontal="center" vertical="center" textRotation="0" indent="0" justifyLastLine="false" shrinkToFit="false"/>
    </xf>
    <xf fontId="4" fillId="7" borderId="6" xfId="0">
      <alignment horizontal="center" vertical="center" textRotation="0" indent="0" justifyLastLine="false" shrinkToFit="false"/>
    </xf>
    <xf fontId="0" fillId="0" borderId="9" xfId="0">
      <alignment vertical="center"/>
    </xf>
    <xf fontId="4" fillId="8" borderId="5" xfId="0">
      <alignment horizontal="center" vertical="center"/>
    </xf>
    <xf fontId="0" fillId="0" borderId="0" xfId="0">
      <alignment vertical="center"/>
    </xf>
    <xf numFmtId="0" fontId="6" fillId="9" borderId="10" xfId="0">
      <alignment horizontal="center" vertical="center" textRotation="0" indent="0" justifyLastLine="false" shrinkToFit="false"/>
    </xf>
    <xf numFmtId="0" fontId="6" fillId="9" borderId="11" xfId="0">
      <alignment horizontal="center" vertical="center" textRotation="0" indent="0" justifyLastLine="false" shrinkToFit="false"/>
    </xf>
    <xf fontId="4" fillId="2" borderId="2" xfId="0">
      <alignment horizontal="center" vertical="center" textRotation="0" indent="0" justifyLastLine="false" shrinkToFit="false"/>
    </xf>
    <xf fontId="4" fillId="2" borderId="3" xfId="0">
      <alignment horizontal="center" vertical="center" textRotation="0" indent="0" justifyLastLine="false" shrinkToFit="false"/>
    </xf>
    <xf fontId="4" fillId="7" borderId="12" xfId="0">
      <alignment horizontal="center" vertical="center" textRotation="0" indent="0" justifyLastLine="false" shrinkToFit="false"/>
    </xf>
    <xf fontId="4" fillId="7" borderId="13" xfId="0">
      <alignment horizontal="center" vertical="center" textRotation="0" indent="0" justifyLastLine="false" shrinkToFit="false"/>
    </xf>
    <xf fontId="5" fillId="10" borderId="13" xfId="0">
      <alignment vertical="center"/>
    </xf>
    <xf fontId="5" fillId="10" borderId="14" xfId="0">
      <alignment vertical="center"/>
    </xf>
    <xf fontId="4" fillId="8" borderId="12" xfId="0">
      <alignment horizontal="center" vertical="center"/>
    </xf>
    <xf fontId="0" fillId="0" borderId="15" xfId="0">
      <alignment vertical="center"/>
    </xf>
    <xf fontId="7" fillId="11" borderId="16" xfId="0">
      <alignment horizontal="center" vertical="center" textRotation="0" wrapText="false" indent="0" justifyLastLine="false" shrinkToFit="false"/>
    </xf>
    <xf fontId="7" fillId="11" borderId="17" xfId="0">
      <alignment horizontal="center" vertical="center" textRotation="0" wrapText="false" indent="0" justifyLastLine="false" shrinkToFit="false"/>
    </xf>
    <xf fontId="6" fillId="11" borderId="17" xfId="0">
      <alignment horizontal="center" vertical="center" textRotation="0" indent="0" justifyLastLine="false" shrinkToFit="false"/>
    </xf>
    <xf fontId="6" fillId="11" borderId="18" xfId="0">
      <alignment horizontal="center" vertical="center" textRotation="0" indent="0" justifyLastLine="false" shrinkToFit="false"/>
    </xf>
    <xf fontId="6" fillId="12" borderId="19" xfId="0">
      <alignment horizontal="center" vertical="center" textRotation="0" wrapText="true" indent="0" justifyLastLine="false" shrinkToFit="false"/>
    </xf>
    <xf fontId="0" fillId="12" borderId="18" xfId="0">
      <alignment horizontal="center" vertical="center"/>
    </xf>
    <xf fontId="5" fillId="2" borderId="0" xfId="0">
      <alignment vertical="center"/>
    </xf>
    <xf fontId="6" fillId="11" borderId="20" xfId="0">
      <alignment horizontal="center" vertical="center" textRotation="0" indent="0" justifyLastLine="false" shrinkToFit="false"/>
    </xf>
    <xf fontId="8" fillId="12" borderId="16" xfId="0">
      <alignment horizontal="center" vertical="center"/>
    </xf>
    <xf fontId="8" fillId="12" borderId="18" xfId="0">
      <alignment horizontal="center" vertical="center"/>
    </xf>
    <xf numFmtId="0" fontId="0" fillId="0" borderId="1" xfId="0">
      <alignment horizontal="center" vertical="center" textRotation="0" indent="0" justifyLastLine="false" shrinkToFit="false"/>
    </xf>
    <xf numFmtId="0" fontId="0" fillId="13" borderId="21" xfId="0">
      <alignment horizontal="center" vertical="center" textRotation="0" indent="0" justifyLastLine="false" shrinkToFit="false"/>
    </xf>
    <xf numFmtId="0" fontId="0" fillId="13" borderId="1" xfId="0">
      <alignment horizontal="center" vertical="center" textRotation="0" indent="0" justifyLastLine="false" shrinkToFit="false"/>
    </xf>
    <xf numFmtId="0" fontId="7" fillId="13" borderId="1" xfId="0">
      <alignment horizontal="center" vertical="center" textRotation="0" indent="0" justifyLastLine="false" shrinkToFit="false"/>
    </xf>
    <xf numFmtId="0" fontId="8" fillId="13" borderId="1" xfId="0">
      <alignment horizontal="center" vertical="center" textRotation="0" indent="0" justifyLastLine="false" shrinkToFit="false"/>
    </xf>
    <xf numFmtId="0" fontId="7" fillId="13" borderId="22" xfId="0">
      <alignment horizontal="center" vertical="center" textRotation="0" indent="0" justifyLastLine="false" shrinkToFit="false"/>
    </xf>
    <xf fontId="7" fillId="4" borderId="0" xfId="0">
      <alignment horizontal="center" vertical="center" textRotation="0" wrapText="false" indent="0" justifyLastLine="false" shrinkToFit="false"/>
    </xf>
    <xf fontId="0" fillId="14" borderId="13" xfId="0">
      <alignment vertical="center"/>
    </xf>
    <xf fontId="5" fillId="15" borderId="13" xfId="0">
      <alignment vertical="center"/>
    </xf>
    <xf fontId="5" fillId="15" borderId="14" xfId="0">
      <alignment vertical="center"/>
    </xf>
    <xf fontId="4" fillId="6" borderId="12" xfId="0">
      <alignment horizontal="center" vertical="center"/>
    </xf>
    <xf fontId="5" fillId="15" borderId="15" xfId="0">
      <alignment vertical="center"/>
    </xf>
    <xf fontId="7" fillId="16" borderId="23" xfId="0">
      <alignment horizontal="center" vertical="center" textRotation="0" wrapText="false" indent="0" justifyLastLine="false" shrinkToFit="false"/>
    </xf>
    <xf fontId="7" fillId="16" borderId="24" xfId="0">
      <alignment horizontal="center" vertical="center" textRotation="0" wrapText="false" indent="0" justifyLastLine="false" shrinkToFit="false"/>
    </xf>
    <xf fontId="6" fillId="16" borderId="24" xfId="0">
      <alignment horizontal="center" vertical="center" textRotation="0" indent="0" justifyLastLine="false" shrinkToFit="false"/>
    </xf>
    <xf fontId="6" fillId="16" borderId="25" xfId="0">
      <alignment horizontal="center" vertical="center" textRotation="0" indent="0" justifyLastLine="false" shrinkToFit="false"/>
    </xf>
    <xf fontId="6" fillId="12" borderId="23" xfId="0">
      <alignment horizontal="center" vertical="center" textRotation="0" wrapText="true" indent="0" justifyLastLine="false" shrinkToFit="false"/>
    </xf>
    <xf fontId="9" fillId="12" borderId="26" xfId="0">
      <alignment horizontal="center" vertical="center"/>
    </xf>
    <xf fontId="7" fillId="17" borderId="27" xfId="0">
      <alignment horizontal="center" vertical="center" wrapText="false"/>
    </xf>
    <xf fontId="7" fillId="17" borderId="17" xfId="0">
      <alignment horizontal="center" vertical="center" wrapText="false"/>
    </xf>
    <xf fontId="10" fillId="17" borderId="17" xfId="0">
      <alignment horizontal="center" vertical="center"/>
    </xf>
    <xf fontId="10" fillId="17" borderId="17" xfId="0">
      <alignment horizontal="center" vertical="center" wrapText="false"/>
    </xf>
    <xf fontId="10" fillId="17" borderId="18" xfId="0">
      <alignment horizontal="center" vertical="center" wrapText="false"/>
    </xf>
    <xf fontId="10" fillId="17" borderId="19" xfId="0">
      <alignment horizontal="center" vertical="center" wrapText="true"/>
    </xf>
    <xf fontId="10" fillId="17" borderId="18" xfId="0">
      <alignment horizontal="center" vertical="center" wrapText="true"/>
    </xf>
    <xf fontId="7" fillId="17" borderId="16" xfId="0">
      <alignment horizontal="center" vertical="center" wrapText="false"/>
    </xf>
    <xf fontId="7" fillId="18" borderId="17" xfId="0">
      <alignment horizontal="center" vertical="center" wrapText="false"/>
    </xf>
    <xf fontId="8" fillId="18" borderId="17" xfId="0">
      <alignment horizontal="center" vertical="center"/>
    </xf>
    <xf fontId="11" fillId="18" borderId="17" xfId="0">
      <alignment horizontal="center" vertical="center" wrapText="false"/>
    </xf>
    <xf fontId="11" fillId="18" borderId="20" xfId="0">
      <alignment horizontal="center" vertical="center" wrapText="false"/>
    </xf>
    <xf fontId="8" fillId="18" borderId="16" xfId="0">
      <alignment horizontal="center" vertical="center"/>
    </xf>
    <xf fontId="8" fillId="18" borderId="18" xfId="0">
      <alignment horizontal="center" vertical="center"/>
    </xf>
    <xf numFmtId="0" fontId="0" fillId="19" borderId="21" xfId="0">
      <alignment horizontal="center" vertical="center" textRotation="0" indent="0" justifyLastLine="false" shrinkToFit="false"/>
    </xf>
    <xf numFmtId="0" fontId="0" fillId="19" borderId="1" xfId="0">
      <alignment horizontal="center" vertical="center" textRotation="0" indent="0" justifyLastLine="false" shrinkToFit="false"/>
    </xf>
    <xf fontId="7" fillId="4" borderId="0" xfId="0">
      <alignment horizontal="center" vertical="center" wrapText="false"/>
    </xf>
    <xf fontId="6" fillId="16" borderId="28" xfId="0">
      <alignment horizontal="center" vertical="center" textRotation="0" indent="0" justifyLastLine="false" shrinkToFit="false"/>
    </xf>
    <xf fontId="6" fillId="16" borderId="17" xfId="0">
      <alignment horizontal="center" vertical="center" textRotation="0" indent="0" justifyLastLine="false" shrinkToFit="false"/>
    </xf>
    <xf fontId="6" fillId="20" borderId="29" xfId="0">
      <alignment horizontal="center" vertical="center" textRotation="0" wrapText="true" indent="0" justifyLastLine="false" shrinkToFit="false"/>
    </xf>
    <xf fontId="9" fillId="20" borderId="30" xfId="0">
      <alignment horizontal="center" vertical="center"/>
    </xf>
    <xf fontId="7" fillId="17" borderId="23" xfId="0">
      <alignment horizontal="center" vertical="center" wrapText="false"/>
    </xf>
    <xf fontId="7" fillId="17" borderId="24" xfId="0">
      <alignment horizontal="center" vertical="center" wrapText="false"/>
    </xf>
    <xf fontId="10" fillId="17" borderId="24" xfId="0">
      <alignment horizontal="center" vertical="center"/>
    </xf>
    <xf fontId="10" fillId="17" borderId="24" xfId="0">
      <alignment horizontal="center" vertical="center" wrapText="false"/>
    </xf>
    <xf fontId="10" fillId="17" borderId="25" xfId="0">
      <alignment horizontal="center" vertical="center" wrapText="false"/>
    </xf>
    <xf fontId="5" fillId="4" borderId="23" xfId="0">
      <alignment horizontal="center" vertical="center"/>
    </xf>
    <xf fontId="5" fillId="4" borderId="26" xfId="0">
      <alignment horizontal="center" vertical="center"/>
    </xf>
    <xf fontId="0" fillId="0" borderId="31" xfId="0">
      <alignment vertical="center"/>
    </xf>
    <xf fontId="10" fillId="18" borderId="18" xfId="0">
      <alignment horizontal="center" vertical="center" wrapText="true"/>
    </xf>
    <xf fontId="7" fillId="18" borderId="16" xfId="0">
      <alignment horizontal="center" vertical="center" wrapText="false"/>
    </xf>
    <xf fontId="0" fillId="0" borderId="21" xfId="0">
      <alignment vertical="center"/>
    </xf>
    <xf fontId="7" fillId="2" borderId="0" xfId="0">
      <alignment horizontal="center" vertical="center" wrapText="false"/>
    </xf>
    <xf fontId="10" fillId="18" borderId="28" xfId="0">
      <alignment horizontal="center" vertical="center" wrapText="false"/>
    </xf>
    <xf fontId="10" fillId="18" borderId="17" xfId="0">
      <alignment horizontal="center" vertical="center"/>
    </xf>
    <xf fontId="10" fillId="18" borderId="17" xfId="0">
      <alignment horizontal="center" vertical="center" wrapText="false"/>
    </xf>
    <xf fontId="10" fillId="18" borderId="20" xfId="0">
      <alignment horizontal="center" vertical="center" wrapText="false"/>
    </xf>
    <xf fontId="5" fillId="12" borderId="1" xfId="0">
      <alignment horizontal="center" vertical="center"/>
    </xf>
    <xf fontId="7" fillId="21" borderId="23" xfId="0">
      <alignment horizontal="center" vertical="center" wrapText="false"/>
    </xf>
    <xf fontId="7" fillId="22" borderId="24" xfId="0">
      <alignment horizontal="center" vertical="center" wrapText="false"/>
    </xf>
    <xf fontId="10" fillId="22" borderId="24" xfId="0">
      <alignment horizontal="center" vertical="center"/>
    </xf>
    <xf fontId="10" fillId="22" borderId="24" xfId="0">
      <alignment horizontal="center" vertical="center" wrapText="false"/>
    </xf>
    <xf fontId="10" fillId="22" borderId="25" xfId="0">
      <alignment horizontal="center" vertical="center" wrapText="false"/>
    </xf>
    <xf fontId="7" fillId="22" borderId="27" xfId="0">
      <alignment horizontal="center" vertical="center" wrapText="false"/>
    </xf>
    <xf fontId="7" fillId="22" borderId="17" xfId="0">
      <alignment horizontal="center" vertical="center" wrapText="false"/>
    </xf>
    <xf fontId="10" fillId="23" borderId="17" xfId="0">
      <alignment horizontal="center" vertical="center"/>
    </xf>
    <xf fontId="10" fillId="22" borderId="17" xfId="0">
      <alignment horizontal="center" vertical="center" wrapText="false"/>
    </xf>
    <xf fontId="10" fillId="22" borderId="18" xfId="0">
      <alignment horizontal="center" vertical="center" wrapText="false"/>
    </xf>
    <xf fontId="10" fillId="22" borderId="19" xfId="0">
      <alignment horizontal="center" vertical="center" wrapText="true"/>
    </xf>
    <xf fontId="10" fillId="21" borderId="18" xfId="0">
      <alignment horizontal="center" vertical="center" wrapText="true"/>
    </xf>
    <xf fontId="7" fillId="18" borderId="20" xfId="0">
      <alignment horizontal="center" vertical="center" wrapText="false"/>
    </xf>
    <xf fontId="10" fillId="17" borderId="28" xfId="0">
      <alignment horizontal="center" vertical="center" wrapText="false"/>
    </xf>
    <xf fontId="10" fillId="17" borderId="20" xfId="0">
      <alignment horizontal="center" vertical="center" wrapText="false"/>
    </xf>
    <xf fontId="5" fillId="20" borderId="1" xfId="0">
      <alignment horizontal="center" vertical="center"/>
    </xf>
    <xf fontId="7" fillId="24" borderId="23" xfId="0">
      <alignment horizontal="center" vertical="center" wrapText="false"/>
    </xf>
    <xf fontId="7" fillId="24" borderId="24" xfId="0">
      <alignment horizontal="center" vertical="center" wrapText="false"/>
    </xf>
    <xf fontId="10" fillId="24" borderId="24" xfId="0">
      <alignment horizontal="center" vertical="center"/>
    </xf>
    <xf fontId="10" fillId="24" borderId="25" xfId="0">
      <alignment horizontal="center" vertical="center" wrapText="false"/>
    </xf>
    <xf numFmtId="0" fontId="10" fillId="22" borderId="17" xfId="0">
      <alignment horizontal="center" vertical="center"/>
    </xf>
    <xf fontId="12" fillId="0" borderId="16" xfId="0">
      <alignment vertical="center" wrapText="false"/>
    </xf>
    <xf numFmtId="0" fontId="0" fillId="13" borderId="1" xfId="0">
      <alignment horizontal="center" vertical="center"/>
    </xf>
    <xf fontId="7" fillId="22" borderId="32" xfId="0">
      <alignment horizontal="center" vertical="center" wrapText="false"/>
    </xf>
    <xf fontId="10" fillId="4" borderId="0" xfId="0">
      <alignment horizontal="center" vertical="center" wrapText="false"/>
    </xf>
    <xf fontId="10" fillId="22" borderId="28" xfId="0">
      <alignment horizontal="center" vertical="center" wrapText="false"/>
    </xf>
    <xf fontId="10" fillId="22" borderId="17" xfId="0">
      <alignment horizontal="center" vertical="center"/>
    </xf>
    <xf fontId="10" fillId="22" borderId="20" xfId="0">
      <alignment horizontal="center" vertical="center" wrapText="false"/>
    </xf>
    <xf fontId="10" fillId="24" borderId="23" xfId="0">
      <alignment horizontal="center" vertical="center" wrapText="false"/>
    </xf>
    <xf fontId="7" fillId="24" borderId="16" xfId="0">
      <alignment horizontal="center" vertical="center" wrapText="false"/>
    </xf>
    <xf fontId="7" fillId="24" borderId="17" xfId="0">
      <alignment horizontal="center" vertical="center" wrapText="false"/>
    </xf>
    <xf fontId="10" fillId="24" borderId="17" xfId="0">
      <alignment horizontal="center" vertical="center"/>
    </xf>
    <xf fontId="10" fillId="24" borderId="18" xfId="0">
      <alignment horizontal="center" vertical="center" wrapText="false"/>
    </xf>
    <xf fontId="10" fillId="24" borderId="19" xfId="0">
      <alignment horizontal="center" vertical="center" wrapText="true"/>
    </xf>
    <xf fontId="10" fillId="25" borderId="18" xfId="0">
      <alignment horizontal="center" vertical="center" wrapText="true"/>
    </xf>
    <xf fontId="7" fillId="22" borderId="16" xfId="0">
      <alignment horizontal="center" vertical="center" wrapText="false"/>
    </xf>
    <xf fontId="7" fillId="21" borderId="17" xfId="0">
      <alignment horizontal="center" vertical="center" wrapText="false"/>
    </xf>
    <xf fontId="8" fillId="21" borderId="17" xfId="0">
      <alignment horizontal="center" vertical="center"/>
    </xf>
    <xf fontId="7" fillId="21" borderId="20" xfId="0">
      <alignment horizontal="center" vertical="center" wrapText="false"/>
    </xf>
    <xf fontId="8" fillId="21" borderId="16" xfId="0">
      <alignment horizontal="center" vertical="center"/>
    </xf>
    <xf fontId="8" fillId="21" borderId="18" xfId="0">
      <alignment horizontal="center" vertical="center"/>
    </xf>
    <xf numFmtId="0" fontId="0" fillId="26" borderId="21" xfId="0">
      <alignment horizontal="center" vertical="center" textRotation="0" indent="0" justifyLastLine="false" shrinkToFit="false"/>
    </xf>
    <xf numFmtId="0" fontId="0" fillId="26" borderId="1" xfId="0">
      <alignment horizontal="center" vertical="center" textRotation="0" indent="0" justifyLastLine="false" shrinkToFit="false"/>
    </xf>
    <xf numFmtId="0" fontId="7" fillId="27" borderId="1" xfId="0">
      <alignment horizontal="center" vertical="center" textRotation="0" indent="0" justifyLastLine="false" shrinkToFit="false"/>
    </xf>
    <xf numFmtId="0" fontId="8" fillId="27" borderId="1" xfId="0">
      <alignment horizontal="center" vertical="center" textRotation="0" indent="0" justifyLastLine="false" shrinkToFit="false"/>
    </xf>
    <xf numFmtId="0" fontId="7" fillId="27" borderId="22" xfId="0">
      <alignment horizontal="center" vertical="center" textRotation="0" indent="0" justifyLastLine="false" shrinkToFit="false"/>
    </xf>
    <xf numFmtId="0" fontId="0" fillId="26" borderId="1" xfId="0">
      <alignment horizontal="center" vertical="center"/>
    </xf>
    <xf fontId="10" fillId="22" borderId="28" xfId="0">
      <alignment vertical="center"/>
    </xf>
    <xf fontId="10" fillId="28" borderId="23" xfId="0">
      <alignment horizontal="center" vertical="center" wrapText="false"/>
    </xf>
    <xf fontId="7" fillId="28" borderId="24" xfId="0">
      <alignment horizontal="center" vertical="center" wrapText="false"/>
    </xf>
    <xf fontId="10" fillId="28" borderId="24" xfId="0">
      <alignment horizontal="center" vertical="center" wrapText="false"/>
    </xf>
    <xf fontId="10" fillId="28" borderId="25" xfId="0">
      <alignment horizontal="center" vertical="center" wrapText="false"/>
    </xf>
    <xf numFmtId="0" fontId="8" fillId="21" borderId="17" xfId="0">
      <alignment horizontal="center" vertical="center"/>
    </xf>
    <xf numFmtId="0" fontId="0" fillId="29" borderId="21" xfId="0">
      <alignment horizontal="center" vertical="center" textRotation="0" indent="0" justifyLastLine="false" shrinkToFit="false"/>
    </xf>
    <xf numFmtId="0" fontId="0" fillId="29" borderId="1" xfId="0">
      <alignment horizontal="center" vertical="center" textRotation="0" indent="0" justifyLastLine="false" shrinkToFit="false"/>
    </xf>
    <xf fontId="10" fillId="24" borderId="28" xfId="0">
      <alignment horizontal="center" vertical="center" wrapText="false"/>
    </xf>
    <xf fontId="10" fillId="24" borderId="20" xfId="0">
      <alignment horizontal="center" vertical="center" wrapText="false"/>
    </xf>
    <xf fontId="12" fillId="15" borderId="16" xfId="0">
      <alignment vertical="center" wrapText="false"/>
    </xf>
    <xf fontId="0" fillId="0" borderId="16" xfId="0">
      <alignment vertical="center"/>
    </xf>
    <xf fontId="10" fillId="28" borderId="28" xfId="0">
      <alignment horizontal="center" vertical="center" wrapText="false"/>
    </xf>
    <xf fontId="7" fillId="28" borderId="17" xfId="0">
      <alignment horizontal="center" vertical="center" wrapText="false"/>
    </xf>
    <xf fontId="10" fillId="28" borderId="17" xfId="0">
      <alignment horizontal="center" vertical="center" wrapText="false"/>
    </xf>
    <xf fontId="10" fillId="28" borderId="20" xfId="0">
      <alignment horizontal="center" vertical="center" wrapText="false"/>
    </xf>
    <xf fontId="7" fillId="30" borderId="23" xfId="0">
      <alignment horizontal="center" vertical="center" wrapText="false"/>
    </xf>
    <xf fontId="7" fillId="30" borderId="24" xfId="0">
      <alignment horizontal="center" vertical="center" wrapText="false"/>
    </xf>
    <xf fontId="10" fillId="30" borderId="24" xfId="0">
      <alignment horizontal="center" vertical="center"/>
    </xf>
    <xf fontId="10" fillId="30" borderId="24" xfId="0">
      <alignment horizontal="center" vertical="center" wrapText="false"/>
    </xf>
    <xf fontId="10" fillId="30" borderId="25" xfId="0">
      <alignment horizontal="center" vertical="center" wrapText="false"/>
    </xf>
    <xf fontId="7" fillId="25" borderId="16" xfId="0">
      <alignment horizontal="center" vertical="center" wrapText="false"/>
    </xf>
    <xf fontId="7" fillId="25" borderId="17" xfId="0">
      <alignment horizontal="center" vertical="center" wrapText="false"/>
    </xf>
    <xf fontId="8" fillId="25" borderId="17" xfId="0">
      <alignment horizontal="center" vertical="center"/>
    </xf>
    <xf fontId="13" fillId="25" borderId="17" xfId="0">
      <alignment horizontal="center" vertical="center"/>
    </xf>
    <xf fontId="11" fillId="25" borderId="20" xfId="0">
      <alignment horizontal="center" vertical="center" wrapText="false"/>
    </xf>
    <xf fontId="8" fillId="25" borderId="16" xfId="0">
      <alignment horizontal="center" vertical="center"/>
    </xf>
    <xf fontId="8" fillId="25" borderId="18" xfId="0">
      <alignment horizontal="center" vertical="center"/>
    </xf>
    <xf fontId="10" fillId="30" borderId="28" xfId="0">
      <alignment horizontal="center" vertical="center" wrapText="false"/>
    </xf>
    <xf fontId="7" fillId="30" borderId="17" xfId="0">
      <alignment horizontal="center" vertical="center" wrapText="false"/>
    </xf>
    <xf fontId="10" fillId="30" borderId="17" xfId="0">
      <alignment horizontal="center" vertical="center"/>
    </xf>
    <xf fontId="10" fillId="30" borderId="17" xfId="0">
      <alignment horizontal="center" vertical="center" wrapText="false"/>
    </xf>
    <xf fontId="10" fillId="30" borderId="20" xfId="0">
      <alignment horizontal="center" vertical="center" wrapText="false"/>
    </xf>
    <xf fontId="7" fillId="31" borderId="23" xfId="0">
      <alignment horizontal="center" vertical="center" wrapText="false"/>
    </xf>
    <xf fontId="7" fillId="31" borderId="24" xfId="0">
      <alignment horizontal="center" vertical="center" wrapText="false"/>
    </xf>
    <xf fontId="10" fillId="31" borderId="24" xfId="0">
      <alignment horizontal="center" vertical="center"/>
    </xf>
    <xf fontId="10" fillId="31" borderId="24" xfId="0">
      <alignment horizontal="center" vertical="center" wrapText="false"/>
    </xf>
    <xf fontId="10" fillId="31" borderId="25" xfId="0">
      <alignment horizontal="center" vertical="center" wrapText="false"/>
    </xf>
    <xf fontId="0" fillId="4" borderId="23" xfId="0">
      <alignment horizontal="center" vertical="center"/>
    </xf>
    <xf fontId="0" fillId="4" borderId="26" xfId="0">
      <alignment horizontal="center" vertical="center"/>
    </xf>
    <xf fontId="10" fillId="28" borderId="16" xfId="0">
      <alignment horizontal="center" vertical="center" wrapText="false"/>
    </xf>
    <xf fontId="10" fillId="28" borderId="18" xfId="0">
      <alignment horizontal="center" vertical="center" wrapText="false"/>
    </xf>
    <xf fontId="10" fillId="28" borderId="19" xfId="0">
      <alignment horizontal="center" vertical="center" wrapText="true"/>
    </xf>
    <xf fontId="10" fillId="32" borderId="18" xfId="0">
      <alignment horizontal="center" vertical="center" wrapText="true"/>
    </xf>
    <xf fontId="8" fillId="24" borderId="17" xfId="0">
      <alignment horizontal="center" vertical="center"/>
    </xf>
    <xf fontId="7" fillId="25" borderId="20" xfId="0">
      <alignment horizontal="center" vertical="center" wrapText="false"/>
    </xf>
    <xf fontId="7" fillId="30" borderId="28" xfId="0">
      <alignment horizontal="center" vertical="center" wrapText="false"/>
    </xf>
    <xf fontId="10" fillId="30" borderId="23" xfId="0">
      <alignment horizontal="center" vertical="center" wrapText="false"/>
    </xf>
    <xf fontId="5" fillId="33" borderId="26" xfId="0">
      <alignment horizontal="center" vertical="center"/>
    </xf>
    <xf fontId="5" fillId="15" borderId="16" xfId="0">
      <alignment vertical="center"/>
    </xf>
    <xf fontId="8" fillId="34" borderId="17" xfId="0">
      <alignment horizontal="center" vertical="center"/>
    </xf>
    <xf fontId="7" fillId="24" borderId="20" xfId="0">
      <alignment horizontal="center" vertical="center" wrapText="false"/>
    </xf>
    <xf fontId="8" fillId="24" borderId="16" xfId="0">
      <alignment horizontal="center" vertical="center"/>
    </xf>
    <xf fontId="8" fillId="24" borderId="18" xfId="0">
      <alignment horizontal="center" vertical="center"/>
    </xf>
    <xf fontId="12" fillId="15" borderId="28" xfId="0">
      <alignment vertical="center" wrapText="false"/>
    </xf>
    <xf fontId="7" fillId="35" borderId="23" xfId="0">
      <alignment horizontal="center" vertical="center" wrapText="false"/>
    </xf>
    <xf fontId="7" fillId="35" borderId="24" xfId="0">
      <alignment horizontal="center" vertical="center" wrapText="false"/>
    </xf>
    <xf fontId="10" fillId="35" borderId="24" xfId="0">
      <alignment horizontal="center" vertical="center"/>
    </xf>
    <xf fontId="10" fillId="35" borderId="24" xfId="0">
      <alignment horizontal="center" vertical="center" wrapText="false"/>
    </xf>
    <xf fontId="10" fillId="35" borderId="25" xfId="0">
      <alignment horizontal="center" vertical="center" wrapText="false"/>
    </xf>
    <xf fontId="7" fillId="30" borderId="27" xfId="0">
      <alignment horizontal="center" vertical="center" wrapText="false"/>
    </xf>
    <xf fontId="10" fillId="30" borderId="18" xfId="0">
      <alignment horizontal="center" vertical="center" wrapText="false"/>
    </xf>
    <xf fontId="10" fillId="30" borderId="19" xfId="0">
      <alignment horizontal="center" vertical="center" wrapText="true"/>
    </xf>
    <xf fontId="10" fillId="31" borderId="18" xfId="0">
      <alignment horizontal="center" vertical="center" wrapText="true"/>
    </xf>
    <xf fontId="8" fillId="36" borderId="17" xfId="0">
      <alignment horizontal="center" vertical="center"/>
    </xf>
    <xf fontId="0" fillId="4" borderId="0" xfId="0">
      <alignment horizontal="center" vertical="center"/>
    </xf>
    <xf fontId="10" fillId="35" borderId="28" xfId="0">
      <alignment horizontal="center" vertical="center" wrapText="false"/>
    </xf>
    <xf fontId="7" fillId="35" borderId="17" xfId="0">
      <alignment horizontal="center" vertical="center" wrapText="false"/>
    </xf>
    <xf fontId="10" fillId="35" borderId="17" xfId="0">
      <alignment horizontal="center" vertical="center"/>
    </xf>
    <xf fontId="10" fillId="35" borderId="17" xfId="0">
      <alignment horizontal="center" vertical="center" wrapText="false"/>
    </xf>
    <xf fontId="10" fillId="35" borderId="20" xfId="0">
      <alignment horizontal="center" vertical="center" wrapText="false"/>
    </xf>
    <xf fontId="7" fillId="37" borderId="24" xfId="0">
      <alignment horizontal="center" vertical="center" wrapText="false"/>
    </xf>
    <xf fontId="0" fillId="4" borderId="24" xfId="0">
      <alignment horizontal="center" vertical="center"/>
    </xf>
    <xf fontId="10" fillId="37" borderId="25" xfId="0">
      <alignment horizontal="center" vertical="center" wrapText="false"/>
    </xf>
    <xf fontId="0" fillId="0" borderId="33" xfId="0">
      <alignment vertical="center"/>
    </xf>
    <xf fontId="7" fillId="31" borderId="16" xfId="0">
      <alignment horizontal="center" vertical="center" wrapText="false"/>
    </xf>
    <xf fontId="7" fillId="31" borderId="17" xfId="0">
      <alignment horizontal="center" vertical="center" wrapText="false"/>
    </xf>
    <xf fontId="8" fillId="31" borderId="17" xfId="0">
      <alignment horizontal="center" vertical="center"/>
    </xf>
    <xf fontId="7" fillId="31" borderId="20" xfId="0">
      <alignment horizontal="center" vertical="center" wrapText="false"/>
    </xf>
    <xf fontId="8" fillId="31" borderId="16" xfId="0">
      <alignment horizontal="center" vertical="center"/>
    </xf>
    <xf fontId="8" fillId="31" borderId="18" xfId="0">
      <alignment horizontal="center" vertical="center"/>
    </xf>
    <xf fontId="10" fillId="38" borderId="28" xfId="0">
      <alignment horizontal="center" vertical="center" wrapText="false"/>
    </xf>
    <xf fontId="7" fillId="38" borderId="17" xfId="0">
      <alignment horizontal="center" vertical="center" wrapText="false"/>
    </xf>
    <xf fontId="10" fillId="38" borderId="17" xfId="0">
      <alignment horizontal="center" vertical="center"/>
    </xf>
    <xf fontId="10" fillId="38" borderId="17" xfId="0">
      <alignment horizontal="center" vertical="center" wrapText="false"/>
    </xf>
    <xf fontId="10" fillId="38" borderId="20" xfId="0">
      <alignment horizontal="center" vertical="center" wrapText="false"/>
    </xf>
    <xf fontId="7" fillId="38" borderId="23" xfId="0">
      <alignment horizontal="center" vertical="center" wrapText="false"/>
    </xf>
    <xf fontId="7" fillId="38" borderId="24" xfId="0">
      <alignment horizontal="center" vertical="center" wrapText="false"/>
    </xf>
    <xf fontId="10" fillId="38" borderId="24" xfId="0">
      <alignment horizontal="center" vertical="center"/>
    </xf>
    <xf fontId="10" fillId="38" borderId="24" xfId="0">
      <alignment horizontal="center" vertical="center" wrapText="false"/>
    </xf>
    <xf fontId="10" fillId="38" borderId="25" xfId="0">
      <alignment horizontal="center" vertical="center" wrapText="false"/>
    </xf>
    <xf fontId="8" fillId="39" borderId="17" xfId="0">
      <alignment horizontal="center" vertical="center"/>
    </xf>
    <xf numFmtId="0" fontId="0" fillId="40" borderId="21" xfId="0">
      <alignment horizontal="center" vertical="center" textRotation="0" indent="0" justifyLastLine="false" shrinkToFit="false"/>
    </xf>
    <xf numFmtId="0" fontId="0" fillId="40" borderId="1" xfId="0">
      <alignment horizontal="center" vertical="center" textRotation="0" indent="0" justifyLastLine="false" shrinkToFit="false"/>
    </xf>
    <xf numFmtId="0" fontId="7" fillId="40" borderId="1" xfId="0">
      <alignment horizontal="center" vertical="center" textRotation="0" indent="0" justifyLastLine="false" shrinkToFit="false"/>
    </xf>
    <xf numFmtId="0" fontId="8" fillId="40" borderId="1" xfId="0">
      <alignment horizontal="center" vertical="center" textRotation="0" indent="0" justifyLastLine="false" shrinkToFit="false"/>
    </xf>
    <xf numFmtId="0" fontId="7" fillId="40" borderId="22" xfId="0">
      <alignment horizontal="center" vertical="center" textRotation="0" indent="0" justifyLastLine="false" shrinkToFit="false"/>
    </xf>
    <xf numFmtId="0" fontId="0" fillId="40" borderId="1" xfId="0">
      <alignment horizontal="center" vertical="center"/>
    </xf>
    <xf fontId="7" fillId="41" borderId="23" xfId="0">
      <alignment horizontal="center" vertical="center" wrapText="false"/>
    </xf>
    <xf fontId="7" fillId="41" borderId="24" xfId="0">
      <alignment horizontal="center" vertical="center" wrapText="false"/>
    </xf>
    <xf fontId="10" fillId="41" borderId="24" xfId="0">
      <alignment horizontal="center" vertical="center"/>
    </xf>
    <xf fontId="10" fillId="41" borderId="24" xfId="0">
      <alignment horizontal="center" vertical="center" wrapText="false"/>
    </xf>
    <xf fontId="10" fillId="41" borderId="25" xfId="0">
      <alignment horizontal="center" vertical="center" wrapText="false"/>
    </xf>
    <xf fontId="7" fillId="35" borderId="27" xfId="0">
      <alignment horizontal="center" vertical="center" wrapText="false"/>
    </xf>
    <xf fontId="10" fillId="35" borderId="18" xfId="0">
      <alignment horizontal="center" vertical="center" wrapText="false"/>
    </xf>
    <xf fontId="10" fillId="35" borderId="19" xfId="0">
      <alignment horizontal="center" vertical="center" wrapText="true"/>
    </xf>
    <xf fontId="10" fillId="37" borderId="18" xfId="0">
      <alignment horizontal="center" vertical="center" wrapText="true"/>
    </xf>
    <xf fontId="7" fillId="39" borderId="17" xfId="0">
      <alignment horizontal="center" vertical="center" wrapText="false"/>
    </xf>
    <xf fontId="8" fillId="39" borderId="18" xfId="0">
      <alignment horizontal="center" vertical="center"/>
    </xf>
    <xf fontId="10" fillId="42" borderId="28" xfId="0">
      <alignment horizontal="center" vertical="center" wrapText="false"/>
    </xf>
    <xf fontId="7" fillId="42" borderId="17" xfId="0">
      <alignment horizontal="center" vertical="center" wrapText="false"/>
    </xf>
    <xf fontId="10" fillId="42" borderId="17" xfId="0">
      <alignment horizontal="center" vertical="center"/>
    </xf>
    <xf fontId="10" fillId="42" borderId="17" xfId="0">
      <alignment horizontal="center" vertical="center" wrapText="false"/>
    </xf>
    <xf fontId="10" fillId="42" borderId="20" xfId="0">
      <alignment horizontal="center" vertical="center" wrapText="false"/>
    </xf>
    <xf fontId="7" fillId="43" borderId="23" xfId="0">
      <alignment horizontal="center" vertical="center" wrapText="false"/>
    </xf>
    <xf fontId="7" fillId="43" borderId="24" xfId="0">
      <alignment horizontal="center" vertical="center" wrapText="false"/>
    </xf>
    <xf fontId="10" fillId="43" borderId="24" xfId="0">
      <alignment horizontal="center" vertical="center"/>
    </xf>
    <xf fontId="10" fillId="43" borderId="24" xfId="0">
      <alignment horizontal="center" vertical="center" wrapText="false"/>
    </xf>
    <xf fontId="10" fillId="43" borderId="25" xfId="0">
      <alignment horizontal="center" vertical="center" wrapText="false"/>
    </xf>
    <xf fontId="7" fillId="20" borderId="34" xfId="0">
      <alignment horizontal="center" vertical="center" wrapText="false"/>
    </xf>
    <xf fontId="7" fillId="20" borderId="17" xfId="0">
      <alignment horizontal="center" vertical="center" wrapText="false"/>
    </xf>
    <xf fontId="10" fillId="20" borderId="17" xfId="0">
      <alignment horizontal="center" vertical="center"/>
    </xf>
    <xf fontId="10" fillId="20" borderId="17" xfId="0">
      <alignment horizontal="center" vertical="center" wrapText="false"/>
    </xf>
    <xf fontId="10" fillId="20" borderId="20" xfId="0">
      <alignment horizontal="center" vertical="center" wrapText="false"/>
    </xf>
    <xf fontId="7" fillId="44" borderId="35" xfId="0">
      <alignment horizontal="center" vertical="center" wrapText="false"/>
    </xf>
    <xf fontId="7" fillId="44" borderId="36" xfId="0">
      <alignment horizontal="center" vertical="center" wrapText="false"/>
    </xf>
    <xf fontId="10" fillId="44" borderId="36" xfId="0">
      <alignment horizontal="center" vertical="center"/>
    </xf>
    <xf fontId="10" fillId="44" borderId="36" xfId="0">
      <alignment horizontal="center" vertical="center" wrapText="false"/>
    </xf>
    <xf fontId="10" fillId="44" borderId="37" xfId="0">
      <alignment horizontal="center" vertical="center" wrapText="false"/>
    </xf>
    <xf fontId="5" fillId="4" borderId="29" xfId="0">
      <alignment horizontal="center" vertical="center"/>
    </xf>
    <xf fontId="5" fillId="4" borderId="30" xfId="0">
      <alignment horizontal="center" vertical="center"/>
    </xf>
    <xf fontId="7" fillId="38" borderId="16" xfId="0">
      <alignment horizontal="center" vertical="center" wrapText="false"/>
    </xf>
    <xf fontId="10" fillId="38" borderId="18" xfId="0">
      <alignment horizontal="center" vertical="center" wrapText="false"/>
    </xf>
    <xf fontId="10" fillId="38" borderId="19" xfId="0">
      <alignment horizontal="center" vertical="center" wrapText="true"/>
    </xf>
    <xf fontId="10" fillId="45" borderId="18" xfId="0">
      <alignment horizontal="center" vertical="center" wrapText="true"/>
    </xf>
    <xf fontId="7" fillId="37" borderId="16" xfId="0">
      <alignment horizontal="center" vertical="center" wrapText="false"/>
    </xf>
    <xf fontId="7" fillId="37" borderId="17" xfId="0">
      <alignment horizontal="center" vertical="center" wrapText="false"/>
    </xf>
    <xf fontId="8" fillId="37" borderId="17" xfId="0">
      <alignment horizontal="center" vertical="center"/>
    </xf>
    <xf fontId="7" fillId="37" borderId="20" xfId="0">
      <alignment horizontal="center" vertical="center" wrapText="false"/>
    </xf>
    <xf fontId="8" fillId="37" borderId="16" xfId="0">
      <alignment horizontal="center" vertical="center"/>
    </xf>
    <xf fontId="8" fillId="37" borderId="18" xfId="0">
      <alignment horizontal="center" vertical="center"/>
    </xf>
    <xf fontId="9" fillId="4" borderId="0" xfId="0">
      <alignment horizontal="center" vertical="center"/>
    </xf>
    <xf fontId="10" fillId="43" borderId="28" xfId="0">
      <alignment horizontal="center" vertical="center" wrapText="false"/>
    </xf>
    <xf fontId="7" fillId="43" borderId="17" xfId="0">
      <alignment horizontal="center" vertical="center" wrapText="false"/>
    </xf>
    <xf fontId="10" fillId="43" borderId="17" xfId="0">
      <alignment horizontal="center" vertical="center"/>
    </xf>
    <xf fontId="10" fillId="43" borderId="17" xfId="0">
      <alignment horizontal="center" vertical="center" wrapText="false"/>
    </xf>
    <xf fontId="10" fillId="43" borderId="20" xfId="0">
      <alignment horizontal="center" vertical="center" wrapText="false"/>
    </xf>
    <xf fontId="9" fillId="2" borderId="38" xfId="0">
      <alignment horizontal="center" vertical="center"/>
    </xf>
    <xf fontId="9" fillId="2" borderId="39" xfId="0">
      <alignment horizontal="center" vertical="center"/>
    </xf>
    <xf fontId="0" fillId="0" borderId="40" xfId="0">
      <alignment vertical="center"/>
    </xf>
    <xf fontId="0" fillId="0" borderId="41" xfId="0">
      <alignment vertical="center"/>
    </xf>
    <xf fontId="9" fillId="4" borderId="42" xfId="0">
      <alignment horizontal="center" vertical="center"/>
    </xf>
    <xf fontId="9" fillId="4" borderId="43" xfId="0">
      <alignment horizontal="center" vertical="center"/>
    </xf>
    <xf fontId="7" fillId="41" borderId="16" xfId="0">
      <alignment horizontal="center" vertical="center" wrapText="false"/>
    </xf>
    <xf fontId="7" fillId="41" borderId="17" xfId="0">
      <alignment horizontal="center" vertical="center" wrapText="false"/>
    </xf>
    <xf fontId="10" fillId="41" borderId="17" xfId="0">
      <alignment horizontal="center" vertical="center"/>
    </xf>
    <xf fontId="10" fillId="41" borderId="17" xfId="0">
      <alignment horizontal="center" vertical="center" wrapText="false"/>
    </xf>
    <xf fontId="10" fillId="41" borderId="18" xfId="0">
      <alignment horizontal="center" vertical="center" wrapText="false"/>
    </xf>
    <xf fontId="10" fillId="41" borderId="19" xfId="0">
      <alignment horizontal="center" vertical="center" wrapText="true"/>
    </xf>
    <xf fontId="10" fillId="42" borderId="18" xfId="0">
      <alignment horizontal="center" vertical="center" wrapText="true"/>
    </xf>
    <xf fontId="7" fillId="37" borderId="44" xfId="0">
      <alignment horizontal="center" vertical="center" wrapText="false"/>
    </xf>
    <xf numFmtId="0" fontId="0" fillId="46" borderId="21" xfId="0">
      <alignment horizontal="center" vertical="center" textRotation="0" indent="0" justifyLastLine="false" shrinkToFit="false"/>
    </xf>
    <xf numFmtId="0" fontId="0" fillId="46" borderId="1" xfId="0">
      <alignment horizontal="center" vertical="center" textRotation="0" indent="0" justifyLastLine="false" shrinkToFit="false"/>
    </xf>
    <xf numFmtId="0" fontId="7" fillId="46" borderId="1" xfId="0">
      <alignment horizontal="center" vertical="center" textRotation="0" indent="0" justifyLastLine="false" shrinkToFit="false"/>
    </xf>
    <xf numFmtId="0" fontId="7" fillId="46" borderId="22" xfId="0">
      <alignment horizontal="center" vertical="center" textRotation="0" indent="0" justifyLastLine="false" shrinkToFit="false"/>
    </xf>
    <xf fontId="9" fillId="2" borderId="0" xfId="0">
      <alignment horizontal="center" vertical="center"/>
    </xf>
    <xf fontId="7" fillId="35" borderId="16" xfId="0">
      <alignment horizontal="center" vertical="center" wrapText="false"/>
    </xf>
    <xf numFmtId="0" fontId="0" fillId="47" borderId="21" xfId="0">
      <alignment horizontal="center" vertical="center" textRotation="0" indent="0" justifyLastLine="false" shrinkToFit="false"/>
    </xf>
    <xf numFmtId="0" fontId="0" fillId="47" borderId="1" xfId="0">
      <alignment horizontal="center" vertical="center" textRotation="0" indent="0" justifyLastLine="false" shrinkToFit="false"/>
    </xf>
    <xf fontId="0" fillId="4" borderId="0" xfId="0">
      <alignment vertical="center"/>
    </xf>
    <xf fontId="14" fillId="43" borderId="17" xfId="0">
      <alignment horizontal="center" vertical="center" wrapText="false"/>
    </xf>
    <xf fontId="14" fillId="43" borderId="20" xfId="0">
      <alignment horizontal="center" vertical="center" wrapText="false"/>
    </xf>
    <xf fontId="7" fillId="20" borderId="1" xfId="0">
      <alignment horizontal="center" vertical="center" wrapText="false"/>
    </xf>
    <xf fontId="5" fillId="10" borderId="16" xfId="0">
      <alignment vertical="center"/>
    </xf>
    <xf fontId="7" fillId="42" borderId="44" xfId="0">
      <alignment horizontal="center" vertical="center" wrapText="false"/>
    </xf>
    <xf fontId="10" fillId="42" borderId="18" xfId="0">
      <alignment horizontal="center" vertical="center" wrapText="false"/>
    </xf>
    <xf fontId="10" fillId="42" borderId="19" xfId="0">
      <alignment horizontal="center" vertical="center" wrapText="true"/>
    </xf>
    <xf fontId="7" fillId="45" borderId="16" xfId="0">
      <alignment horizontal="center" vertical="center" wrapText="false"/>
    </xf>
    <xf fontId="7" fillId="45" borderId="17" xfId="0">
      <alignment horizontal="center" vertical="center" wrapText="false"/>
    </xf>
    <xf fontId="8" fillId="45" borderId="17" xfId="0">
      <alignment horizontal="center" vertical="center"/>
    </xf>
    <xf fontId="7" fillId="45" borderId="20" xfId="0">
      <alignment horizontal="center" vertical="center" wrapText="false"/>
    </xf>
    <xf fontId="8" fillId="45" borderId="16" xfId="0">
      <alignment horizontal="center" vertical="center"/>
    </xf>
    <xf fontId="8" fillId="45" borderId="18" xfId="0">
      <alignment horizontal="center" vertical="center"/>
    </xf>
    <xf fontId="7" fillId="43" borderId="45" xfId="0">
      <alignment horizontal="center" vertical="center" wrapText="false"/>
    </xf>
    <xf fontId="7" fillId="43" borderId="46" xfId="0">
      <alignment horizontal="center" vertical="center" wrapText="false"/>
    </xf>
    <xf fontId="10" fillId="43" borderId="46" xfId="0">
      <alignment horizontal="center" vertical="center"/>
    </xf>
    <xf fontId="14" fillId="43" borderId="46" xfId="0">
      <alignment horizontal="center" vertical="center" wrapText="false"/>
    </xf>
    <xf fontId="14" fillId="43" borderId="47" xfId="0">
      <alignment horizontal="center" vertical="center" wrapText="false"/>
    </xf>
    <xf fontId="7" fillId="20" borderId="48" xfId="0">
      <alignment horizontal="center" vertical="center" wrapText="false"/>
    </xf>
    <xf fontId="5" fillId="20" borderId="48" xfId="0">
      <alignment horizontal="center" vertical="center"/>
    </xf>
    <xf fontId="7" fillId="43" borderId="49" xfId="0">
      <alignment horizontal="center" vertical="center" wrapText="false"/>
    </xf>
    <xf fontId="10" fillId="43" borderId="18" xfId="0">
      <alignment horizontal="center" vertical="center" wrapText="false"/>
    </xf>
    <xf fontId="10" fillId="43" borderId="19" xfId="0">
      <alignment horizontal="center" vertical="center" wrapText="true"/>
    </xf>
    <xf fontId="10" fillId="44" borderId="18" xfId="0">
      <alignment horizontal="center" vertical="center" wrapText="true"/>
    </xf>
    <xf fontId="7" fillId="44" borderId="16" xfId="0">
      <alignment horizontal="center" vertical="center" wrapText="false"/>
    </xf>
    <xf fontId="7" fillId="48" borderId="17" xfId="0">
      <alignment horizontal="center" vertical="center" wrapText="false"/>
    </xf>
    <xf fontId="8" fillId="48" borderId="17" xfId="0">
      <alignment horizontal="center" vertical="center"/>
    </xf>
    <xf fontId="11" fillId="48" borderId="17" xfId="0">
      <alignment horizontal="center" vertical="center" wrapText="false"/>
    </xf>
    <xf fontId="11" fillId="48" borderId="20" xfId="0">
      <alignment horizontal="center" vertical="center" wrapText="false"/>
    </xf>
    <xf fontId="8" fillId="48" borderId="16" xfId="0">
      <alignment horizontal="center" vertical="center"/>
    </xf>
    <xf fontId="8" fillId="48" borderId="18" xfId="0">
      <alignment horizontal="center" vertical="center"/>
    </xf>
    <xf fontId="9" fillId="4" borderId="50" xfId="0">
      <alignment horizontal="center" vertical="center"/>
    </xf>
    <xf fontId="5" fillId="4" borderId="51" xfId="0">
      <alignment horizontal="center" vertical="center"/>
    </xf>
    <xf fontId="5" fillId="15" borderId="52" xfId="0">
      <alignment vertical="center"/>
    </xf>
    <xf fontId="15" fillId="4" borderId="0" xfId="0">
      <alignment horizontal="center" vertical="center"/>
    </xf>
    <xf fontId="0" fillId="14" borderId="14" xfId="0">
      <alignment vertical="center"/>
    </xf>
    <xf fontId="0" fillId="14" borderId="15" xfId="0">
      <alignment vertical="center"/>
    </xf>
    <xf fontId="7" fillId="11" borderId="23" xfId="0">
      <alignment horizontal="center" vertical="center" textRotation="0" wrapText="false" indent="0" justifyLastLine="false" shrinkToFit="false"/>
    </xf>
    <xf fontId="7" fillId="11" borderId="24" xfId="0">
      <alignment horizontal="center" vertical="center" textRotation="0" wrapText="false" indent="0" justifyLastLine="false" shrinkToFit="false"/>
    </xf>
    <xf fontId="6" fillId="11" borderId="24" xfId="0">
      <alignment horizontal="center" vertical="center" textRotation="0" indent="0" justifyLastLine="false" shrinkToFit="false"/>
    </xf>
    <xf fontId="6" fillId="11" borderId="25" xfId="0">
      <alignment horizontal="center" vertical="center" textRotation="0" indent="0" justifyLastLine="false" shrinkToFit="false"/>
    </xf>
    <xf fontId="6" fillId="20" borderId="23" xfId="0">
      <alignment horizontal="center" vertical="center" textRotation="0" wrapText="true" indent="0" justifyLastLine="false" shrinkToFit="false"/>
    </xf>
    <xf fontId="9" fillId="20" borderId="26" xfId="0">
      <alignment horizontal="center" vertical="center"/>
    </xf>
    <xf fontId="8" fillId="44" borderId="17" xfId="0">
      <alignment horizontal="center" vertical="center"/>
    </xf>
    <xf fontId="11" fillId="44" borderId="17" xfId="0">
      <alignment horizontal="center" vertical="center" wrapText="false"/>
    </xf>
    <xf fontId="11" fillId="44" borderId="20" xfId="0">
      <alignment horizontal="center" vertical="center" wrapText="false"/>
    </xf>
    <xf numFmtId="0" fontId="8" fillId="46" borderId="1" xfId="0">
      <alignment horizontal="center" vertical="center" textRotation="0" indent="0" justifyLastLine="false" shrinkToFit="false"/>
    </xf>
    <xf numFmtId="0" fontId="0" fillId="46" borderId="1" xfId="0">
      <alignment horizontal="center" vertical="center"/>
    </xf>
    <xf fontId="6" fillId="11" borderId="28" xfId="0">
      <alignment horizontal="center" vertical="center" textRotation="0" indent="0" justifyLastLine="false" shrinkToFit="false"/>
    </xf>
    <xf fontId="6" fillId="12" borderId="29" xfId="0">
      <alignment horizontal="center" vertical="center" textRotation="0" wrapText="true" indent="0" justifyLastLine="false" shrinkToFit="false"/>
    </xf>
    <xf fontId="9" fillId="12" borderId="30" xfId="0">
      <alignment horizontal="center" vertical="center"/>
    </xf>
    <xf fontId="7" fillId="17" borderId="29" xfId="0">
      <alignment horizontal="center" vertical="center" wrapText="false"/>
    </xf>
    <xf fontId="7" fillId="17" borderId="53" xfId="0">
      <alignment horizontal="center" vertical="center" wrapText="false"/>
    </xf>
    <xf fontId="10" fillId="17" borderId="48" xfId="0">
      <alignment horizontal="center" vertical="center"/>
    </xf>
    <xf fontId="10" fillId="17" borderId="48" xfId="0">
      <alignment horizontal="center" vertical="center" wrapText="false"/>
    </xf>
    <xf fontId="5" fillId="15" borderId="54" xfId="0">
      <alignment vertical="center"/>
    </xf>
    <xf fontId="7" fillId="43" borderId="55" xfId="0">
      <alignment horizontal="center" vertical="center" wrapText="false"/>
    </xf>
    <xf fontId="10" fillId="43" borderId="55" xfId="0">
      <alignment horizontal="center" vertical="center"/>
    </xf>
    <xf fontId="10" fillId="43" borderId="55" xfId="0">
      <alignment horizontal="center" vertical="center" wrapText="false"/>
    </xf>
    <xf fontId="10" fillId="43" borderId="56" xfId="0">
      <alignment horizontal="center" vertical="center" wrapText="false"/>
    </xf>
    <xf fontId="10" fillId="43" borderId="57" xfId="0">
      <alignment horizontal="center" vertical="center" wrapText="true"/>
    </xf>
    <xf fontId="10" fillId="44" borderId="58" xfId="0">
      <alignment horizontal="center" vertical="center" wrapText="true"/>
    </xf>
    <xf fontId="12" fillId="0" borderId="27" xfId="0">
      <alignment vertical="center" wrapText="false"/>
    </xf>
    <xf fontId="7" fillId="44" borderId="59" xfId="0">
      <alignment horizontal="center" vertical="center" wrapText="false"/>
    </xf>
    <xf fontId="8" fillId="44" borderId="59" xfId="0">
      <alignment horizontal="center" vertical="center"/>
    </xf>
    <xf fontId="11" fillId="44" borderId="59" xfId="0">
      <alignment horizontal="center" vertical="center" wrapText="false"/>
    </xf>
    <xf fontId="11" fillId="44" borderId="60" xfId="0">
      <alignment horizontal="center" vertical="center" wrapText="false"/>
    </xf>
    <xf fontId="8" fillId="48" borderId="27" xfId="0">
      <alignment horizontal="center" vertical="center"/>
    </xf>
    <xf fontId="8" fillId="48" borderId="61" xfId="0">
      <alignment horizontal="center" vertical="center"/>
    </xf>
    <xf numFmtId="0" fontId="0" fillId="49" borderId="21" xfId="0">
      <alignment horizontal="center" vertical="center" textRotation="0" indent="0" justifyLastLine="false" shrinkToFit="false"/>
    </xf>
    <xf numFmtId="0" fontId="0" fillId="49" borderId="1" xfId="0">
      <alignment horizontal="center" vertical="center" textRotation="0" indent="0" justifyLastLine="false" shrinkToFit="false"/>
    </xf>
    <xf numFmtId="0" fontId="7" fillId="49" borderId="1" xfId="0">
      <alignment horizontal="center" vertical="center" textRotation="0" indent="0" justifyLastLine="false" shrinkToFit="false"/>
    </xf>
    <xf numFmtId="0" fontId="8" fillId="49" borderId="1" xfId="0">
      <alignment horizontal="center" vertical="center" textRotation="0" indent="0" justifyLastLine="false" shrinkToFit="false"/>
    </xf>
    <xf numFmtId="0" fontId="7" fillId="49" borderId="22" xfId="0">
      <alignment horizontal="center" vertical="center" textRotation="0" indent="0" justifyLastLine="false" shrinkToFit="false"/>
    </xf>
    <xf fontId="10" fillId="17" borderId="62" xfId="0">
      <alignment horizontal="center" vertical="center" wrapText="false"/>
    </xf>
    <xf fontId="0" fillId="0" borderId="63" xfId="0">
      <alignment vertical="center"/>
    </xf>
    <xf fontId="7" fillId="18" borderId="53" xfId="0">
      <alignment horizontal="center" vertical="center" wrapText="false"/>
    </xf>
    <xf fontId="10" fillId="18" borderId="48" xfId="0">
      <alignment horizontal="center" vertical="center"/>
    </xf>
    <xf fontId="10" fillId="18" borderId="48" xfId="0">
      <alignment horizontal="center" vertical="center" wrapText="false"/>
    </xf>
    <xf fontId="0" fillId="2" borderId="23" xfId="0">
      <alignment horizontal="center" vertical="center"/>
    </xf>
    <xf fontId="0" fillId="2" borderId="26" xfId="0">
      <alignment horizontal="center" vertical="center"/>
    </xf>
    <xf fontId="15" fillId="2" borderId="64" xfId="0">
      <alignment horizontal="center" vertical="center"/>
    </xf>
    <xf fontId="15" fillId="2" borderId="65" xfId="0">
      <alignment horizontal="center" vertical="center"/>
    </xf>
    <xf fontId="5" fillId="10" borderId="65" xfId="0">
      <alignment vertical="center"/>
    </xf>
    <xf fontId="5" fillId="10" borderId="66" xfId="0">
      <alignment vertical="center"/>
    </xf>
    <xf fontId="15" fillId="2" borderId="67" xfId="0">
      <alignment horizontal="center" vertical="center"/>
    </xf>
    <xf fontId="9" fillId="0" borderId="50" xfId="0">
      <alignment horizontal="center" vertical="center"/>
    </xf>
    <xf fontId="16" fillId="0" borderId="51" xfId="0">
      <alignment horizontal="center" vertical="center"/>
    </xf>
    <xf fontId="0" fillId="0" borderId="51" xfId="0">
      <alignment vertical="center"/>
    </xf>
    <xf fontId="0" fillId="0" borderId="51" xfId="0">
      <alignment horizontal="center" vertical="center"/>
    </xf>
    <xf fontId="0" fillId="0" borderId="68" xfId="0">
      <alignment horizontal="center" vertical="center"/>
    </xf>
    <xf fontId="0" fillId="0" borderId="69" xfId="0">
      <alignment vertical="center"/>
    </xf>
    <xf fontId="0" fillId="12" borderId="1" xfId="0">
      <alignment horizontal="center" vertical="center"/>
    </xf>
    <xf fontId="7" fillId="22" borderId="23" xfId="0">
      <alignment horizontal="center" vertical="center" wrapText="false"/>
    </xf>
    <xf fontId="5" fillId="2" borderId="26" xfId="0">
      <alignment horizontal="center" vertical="center"/>
    </xf>
    <xf fontId="17" fillId="0" borderId="0" xfId="0">
      <alignment vertical="center" wrapText="false"/>
    </xf>
    <xf numFmtId="0" fontId="18" fillId="49" borderId="1" xfId="0">
      <alignment horizontal="center" vertical="center" textRotation="0" indent="0" justifyLastLine="false" shrinkToFit="false"/>
    </xf>
    <xf fontId="7" fillId="49" borderId="1" xfId="0">
      <alignment horizontal="center" vertical="center" textRotation="0"/>
    </xf>
    <xf fontId="7" fillId="49" borderId="22" xfId="0">
      <alignment horizontal="center" vertical="center" textRotation="0"/>
    </xf>
    <xf fontId="7" fillId="24" borderId="70" xfId="0">
      <alignment horizontal="center" vertical="center" wrapText="false"/>
    </xf>
    <xf fontId="0" fillId="0" borderId="71" xfId="0">
      <alignment vertical="center"/>
    </xf>
    <xf fontId="0" fillId="0" borderId="72" xfId="0">
      <alignment vertical="center"/>
    </xf>
    <xf fontId="0" fillId="14" borderId="6" xfId="0">
      <alignment vertical="center"/>
    </xf>
    <xf fontId="0" fillId="14" borderId="7" xfId="0">
      <alignment vertical="center"/>
    </xf>
    <xf fontId="4" fillId="8" borderId="8" xfId="0">
      <alignment horizontal="center" vertical="center"/>
    </xf>
    <xf fontId="19" fillId="7" borderId="6" xfId="0">
      <alignment horizontal="center" vertical="center" textRotation="0" indent="0" justifyLastLine="false" shrinkToFit="false"/>
    </xf>
    <xf fontId="4" fillId="8" borderId="73" xfId="0">
      <alignment horizontal="center" vertical="center"/>
    </xf>
    <xf fontId="0" fillId="0" borderId="74" xfId="0">
      <alignment vertical="center"/>
    </xf>
    <xf fontId="7" fillId="34" borderId="17" xfId="0">
      <alignment horizontal="center" vertical="center" wrapText="false"/>
    </xf>
    <xf fontId="0" fillId="0" borderId="75" xfId="0">
      <alignment vertical="center"/>
    </xf>
    <xf fontId="7" fillId="25" borderId="24" xfId="0">
      <alignment horizontal="center" vertical="center" wrapText="false"/>
    </xf>
    <xf fontId="10" fillId="25" borderId="24" xfId="0">
      <alignment horizontal="center" vertical="center"/>
    </xf>
    <xf fontId="10" fillId="25" borderId="25" xfId="0">
      <alignment horizontal="center" vertical="center" wrapText="false"/>
    </xf>
    <xf fontId="5" fillId="2" borderId="23" xfId="0">
      <alignment horizontal="center" vertical="center"/>
    </xf>
    <xf fontId="20" fillId="11" borderId="17" xfId="0">
      <alignment horizontal="center" vertical="center" textRotation="0" indent="0" justifyLastLine="false" shrinkToFit="false"/>
    </xf>
    <xf fontId="8" fillId="12" borderId="34" xfId="0">
      <alignment horizontal="center" vertical="center"/>
    </xf>
    <xf fontId="8" fillId="12" borderId="76" xfId="0">
      <alignment horizontal="center" vertical="center"/>
    </xf>
    <xf numFmtId="0" fontId="0" fillId="50" borderId="21" xfId="0">
      <alignment horizontal="center" vertical="center" textRotation="0" indent="0" justifyLastLine="false" shrinkToFit="false"/>
    </xf>
    <xf numFmtId="0" fontId="0" fillId="50" borderId="1" xfId="0">
      <alignment horizontal="center" vertical="center" textRotation="0" indent="0" justifyLastLine="false" shrinkToFit="false"/>
    </xf>
    <xf numFmtId="0" fontId="7" fillId="50" borderId="1" xfId="0">
      <alignment horizontal="center" vertical="center" textRotation="0" indent="0" justifyLastLine="false" shrinkToFit="false"/>
    </xf>
    <xf numFmtId="0" fontId="8" fillId="50" borderId="1" xfId="0">
      <alignment horizontal="center" vertical="center" textRotation="0" indent="0" justifyLastLine="false" shrinkToFit="false"/>
    </xf>
    <xf numFmtId="0" fontId="7" fillId="50" borderId="22" xfId="0">
      <alignment horizontal="center" vertical="center" textRotation="0" indent="0" justifyLastLine="false" shrinkToFit="false"/>
    </xf>
    <xf fontId="7" fillId="4" borderId="77" xfId="0">
      <alignment horizontal="center" vertical="center" wrapText="false"/>
    </xf>
    <xf fontId="10" fillId="28" borderId="78" xfId="0">
      <alignment horizontal="center" vertical="center" wrapText="false"/>
    </xf>
    <xf fontId="7" fillId="18" borderId="79" xfId="0">
      <alignment horizontal="center" vertical="center" wrapText="false"/>
    </xf>
    <xf fontId="10" fillId="18" borderId="18" xfId="0">
      <alignment horizontal="center" vertical="center" wrapText="false"/>
    </xf>
    <xf fontId="10" fillId="18" borderId="19" xfId="0">
      <alignment horizontal="center" vertical="center" wrapText="true"/>
    </xf>
    <xf fontId="21" fillId="18" borderId="17" xfId="0">
      <alignment horizontal="center" vertical="center" wrapText="false"/>
    </xf>
    <xf fontId="8" fillId="18" borderId="34" xfId="0">
      <alignment horizontal="center" vertical="center"/>
    </xf>
    <xf fontId="8" fillId="18" borderId="76" xfId="0">
      <alignment horizontal="center" vertical="center"/>
    </xf>
    <xf numFmtId="0" fontId="0" fillId="0" borderId="80" xfId="0">
      <alignment horizontal="center" vertical="center" textRotation="0" indent="0" justifyLastLine="false" shrinkToFit="false"/>
    </xf>
    <xf numFmtId="0" fontId="0" fillId="51" borderId="81" xfId="0">
      <alignment horizontal="center" vertical="center" textRotation="0" indent="0" justifyLastLine="false" shrinkToFit="false"/>
    </xf>
    <xf numFmtId="0" fontId="0" fillId="51" borderId="80" xfId="0">
      <alignment horizontal="center" vertical="center" textRotation="0" indent="0" justifyLastLine="false" shrinkToFit="false"/>
    </xf>
    <xf numFmtId="0" fontId="7" fillId="51" borderId="1" xfId="0">
      <alignment horizontal="center" vertical="center" textRotation="0" indent="0" justifyLastLine="false" shrinkToFit="false"/>
    </xf>
    <xf numFmtId="0" fontId="8" fillId="51" borderId="1" xfId="0">
      <alignment horizontal="center" vertical="center" textRotation="0" indent="0" justifyLastLine="false" shrinkToFit="false"/>
    </xf>
    <xf numFmtId="0" fontId="7" fillId="51" borderId="22" xfId="0">
      <alignment horizontal="center" vertical="center" textRotation="0" indent="0" justifyLastLine="false" shrinkToFit="false"/>
    </xf>
    <xf numFmtId="0" fontId="0" fillId="51" borderId="1" xfId="0">
      <alignment horizontal="center" vertical="center" textRotation="0" indent="0" justifyLastLine="false" shrinkToFit="false"/>
    </xf>
    <xf fontId="7" fillId="33" borderId="0" xfId="0">
      <alignment horizontal="center" vertical="center" wrapText="false"/>
    </xf>
    <xf fontId="7" fillId="31" borderId="70" xfId="0">
      <alignment horizontal="center" vertical="center" wrapText="false"/>
    </xf>
    <xf fontId="0" fillId="0" borderId="80" xfId="0">
      <alignment vertical="center"/>
    </xf>
    <xf fontId="0" fillId="0" borderId="81" xfId="0">
      <alignment vertical="center"/>
    </xf>
    <xf numFmtId="0" fontId="18" fillId="51" borderId="1" xfId="0">
      <alignment horizontal="center" vertical="center" textRotation="0" indent="0" justifyLastLine="false" shrinkToFit="false"/>
    </xf>
    <xf fontId="7" fillId="51" borderId="1" xfId="0">
      <alignment horizontal="center" vertical="center" textRotation="0"/>
    </xf>
    <xf fontId="7" fillId="51" borderId="22" xfId="0">
      <alignment horizontal="center" vertical="center" textRotation="0"/>
    </xf>
    <xf fontId="5" fillId="15" borderId="82" xfId="0">
      <alignment vertical="center"/>
    </xf>
    <xf fontId="7" fillId="22" borderId="49" xfId="0">
      <alignment horizontal="center" vertical="center" wrapText="false"/>
    </xf>
    <xf fontId="7" fillId="21" borderId="16" xfId="0">
      <alignment horizontal="center" vertical="center" wrapText="false"/>
    </xf>
    <xf fontId="21" fillId="21" borderId="17" xfId="0">
      <alignment horizontal="center" vertical="center" wrapText="false"/>
    </xf>
    <xf fontId="8" fillId="21" borderId="34" xfId="0">
      <alignment horizontal="center" vertical="center"/>
    </xf>
    <xf fontId="8" fillId="21" borderId="76" xfId="0">
      <alignment horizontal="center" vertical="center"/>
    </xf>
    <xf numFmtId="0" fontId="0" fillId="51" borderId="1" xfId="0">
      <alignment horizontal="center" vertical="center"/>
    </xf>
    <xf fontId="10" fillId="43" borderId="62" xfId="0">
      <alignment horizontal="center" vertical="center" wrapText="false"/>
    </xf>
    <xf fontId="7" fillId="37" borderId="78" xfId="0">
      <alignment horizontal="center" vertical="center" wrapText="false"/>
    </xf>
    <xf fontId="5" fillId="15" borderId="83" xfId="0">
      <alignment vertical="center"/>
    </xf>
    <xf fontId="10" fillId="35" borderId="84" xfId="0">
      <alignment horizontal="center" vertical="center" wrapText="false"/>
    </xf>
    <xf fontId="21" fillId="25" borderId="17" xfId="0">
      <alignment horizontal="center" vertical="center" wrapText="false"/>
    </xf>
    <xf fontId="8" fillId="25" borderId="34" xfId="0">
      <alignment horizontal="center" vertical="center"/>
    </xf>
    <xf fontId="8" fillId="25" borderId="76" xfId="0">
      <alignment horizontal="center" vertical="center"/>
    </xf>
    <xf fontId="10" fillId="33" borderId="0" xfId="0">
      <alignment horizontal="center" vertical="center" wrapText="false"/>
    </xf>
    <xf fontId="7" fillId="52" borderId="24" xfId="0">
      <alignment horizontal="center" vertical="center" wrapText="false"/>
    </xf>
    <xf fontId="10" fillId="38" borderId="85" xfId="0">
      <alignment horizontal="center" vertical="center"/>
    </xf>
    <xf fontId="10" fillId="38" borderId="85" xfId="0">
      <alignment horizontal="center" vertical="center" wrapText="false"/>
    </xf>
    <xf numFmtId="0" fontId="7" fillId="51" borderId="80" xfId="0">
      <alignment horizontal="center" vertical="center" textRotation="0" indent="0" justifyLastLine="false" shrinkToFit="false"/>
    </xf>
    <xf numFmtId="0" fontId="8" fillId="51" borderId="80" xfId="0">
      <alignment horizontal="center" vertical="center" textRotation="0" indent="0" justifyLastLine="false" shrinkToFit="false"/>
    </xf>
    <xf numFmtId="0" fontId="7" fillId="51" borderId="86" xfId="0">
      <alignment horizontal="center" vertical="center" textRotation="0" indent="0" justifyLastLine="false" shrinkToFit="false"/>
    </xf>
    <xf numFmtId="0" fontId="0" fillId="51" borderId="80" xfId="0">
      <alignment horizontal="center" vertical="center"/>
    </xf>
    <xf fontId="5" fillId="4" borderId="87" xfId="0">
      <alignment vertical="center"/>
    </xf>
    <xf fontId="5" fillId="4" borderId="88" xfId="0">
      <alignment vertical="center"/>
    </xf>
    <xf fontId="12" fillId="10" borderId="16" xfId="0">
      <alignment vertical="center" wrapText="false"/>
    </xf>
    <xf fontId="10" fillId="25" borderId="17" xfId="0">
      <alignment horizontal="center" vertical="center"/>
    </xf>
    <xf fontId="10" fillId="25" borderId="18" xfId="0">
      <alignment horizontal="center" vertical="center" wrapText="false"/>
    </xf>
    <xf fontId="0" fillId="0" borderId="1" xfId="0">
      <alignment horizontal="center" vertical="center"/>
    </xf>
    <xf fontId="12" fillId="0" borderId="1" xfId="0">
      <alignment horizontal="center" vertical="center"/>
    </xf>
    <xf fontId="10" fillId="33" borderId="77" xfId="0">
      <alignment horizontal="center" vertical="center" wrapText="false"/>
    </xf>
    <xf fontId="10" fillId="4" borderId="77" xfId="0">
      <alignment horizontal="center" vertical="center" wrapText="false"/>
    </xf>
    <xf fontId="7" fillId="44" borderId="29" xfId="0">
      <alignment horizontal="center" vertical="center" wrapText="false"/>
    </xf>
    <xf fontId="7" fillId="44" borderId="24" xfId="0">
      <alignment horizontal="center" vertical="center" wrapText="false"/>
    </xf>
    <xf fontId="10" fillId="44" borderId="24" xfId="0">
      <alignment horizontal="center" vertical="center"/>
    </xf>
    <xf fontId="10" fillId="44" borderId="24" xfId="0">
      <alignment horizontal="center" vertical="center" wrapText="false"/>
    </xf>
    <xf fontId="10" fillId="44" borderId="25" xfId="0">
      <alignment horizontal="center" vertical="center" wrapText="false"/>
    </xf>
    <xf fontId="10" fillId="32" borderId="89" xfId="0">
      <alignment horizontal="center" vertical="center" wrapText="false"/>
    </xf>
    <xf fontId="7" fillId="32" borderId="17" xfId="0">
      <alignment horizontal="center" vertical="center" wrapText="false"/>
    </xf>
    <xf fontId="10" fillId="32" borderId="17" xfId="0">
      <alignment horizontal="center" vertical="center" wrapText="false"/>
    </xf>
    <xf fontId="10" fillId="32" borderId="18" xfId="0">
      <alignment horizontal="center" vertical="center" wrapText="false"/>
    </xf>
    <xf fontId="10" fillId="32" borderId="19" xfId="0">
      <alignment horizontal="center" vertical="center" wrapText="true"/>
    </xf>
    <xf fontId="10" fillId="32" borderId="16" xfId="0">
      <alignment horizontal="center" vertical="center" wrapText="true"/>
    </xf>
    <xf fontId="10" fillId="43" borderId="84" xfId="0">
      <alignment horizontal="center" vertical="center" wrapText="false"/>
    </xf>
    <xf fontId="0" fillId="0" borderId="79" xfId="0">
      <alignment vertical="center"/>
    </xf>
    <xf fontId="7" fillId="32" borderId="90" xfId="0">
      <alignment horizontal="center" vertical="center" wrapText="false"/>
    </xf>
    <xf fontId="7" fillId="32" borderId="91" xfId="0">
      <alignment horizontal="center" vertical="center" wrapText="false"/>
    </xf>
    <xf fontId="7" fillId="32" borderId="92" xfId="0">
      <alignment horizontal="center" vertical="center" wrapText="false"/>
    </xf>
    <xf fontId="22" fillId="32" borderId="34" xfId="0">
      <alignment horizontal="center" vertical="center" wrapText="false"/>
    </xf>
    <xf fontId="22" fillId="32" borderId="76" xfId="0">
      <alignment horizontal="center" vertical="center" wrapText="false"/>
    </xf>
    <xf fontId="8" fillId="0" borderId="0" xfId="0">
      <alignment vertical="center"/>
    </xf>
    <xf fontId="0" fillId="0" borderId="93" xfId="0">
      <alignment vertical="center"/>
    </xf>
    <xf fontId="7" fillId="43" borderId="36" xfId="0">
      <alignment horizontal="center" vertical="center" wrapText="false"/>
    </xf>
    <xf fontId="10" fillId="43" borderId="36" xfId="0">
      <alignment horizontal="center" vertical="center"/>
    </xf>
    <xf fontId="10" fillId="43" borderId="36" xfId="0">
      <alignment horizontal="center" vertical="center" wrapText="false"/>
    </xf>
    <xf fontId="10" fillId="43" borderId="94" xfId="0">
      <alignment horizontal="center" vertical="center" wrapText="false"/>
    </xf>
    <xf fontId="5" fillId="4" borderId="78" xfId="0">
      <alignment horizontal="center" vertical="center"/>
    </xf>
    <xf fontId="5" fillId="4" borderId="95" xfId="0">
      <alignment horizontal="center" vertical="center"/>
    </xf>
    <xf fontId="0" fillId="0" borderId="96" xfId="0">
      <alignment vertical="center"/>
    </xf>
    <xf fontId="7" fillId="28" borderId="91" xfId="0">
      <alignment horizontal="center" vertical="center" wrapText="false"/>
    </xf>
    <xf fontId="9" fillId="4" borderId="38" xfId="0">
      <alignment horizontal="center" vertical="center"/>
    </xf>
    <xf fontId="9" fillId="4" borderId="39" xfId="0">
      <alignment horizontal="center" vertical="center"/>
    </xf>
    <xf fontId="5" fillId="15" borderId="97" xfId="0">
      <alignment vertical="center"/>
    </xf>
    <xf fontId="5" fillId="15" borderId="98" xfId="0">
      <alignment vertical="center"/>
    </xf>
    <xf fontId="21" fillId="31" borderId="17" xfId="0">
      <alignment horizontal="center" vertical="center" wrapText="false"/>
    </xf>
    <xf fontId="8" fillId="31" borderId="34" xfId="0">
      <alignment horizontal="center" vertical="center"/>
    </xf>
    <xf fontId="8" fillId="31" borderId="76" xfId="0">
      <alignment horizontal="center" vertical="center"/>
    </xf>
    <xf fontId="7" fillId="30" borderId="49" xfId="0">
      <alignment horizontal="center" vertical="center" wrapText="false"/>
    </xf>
    <xf fontId="21" fillId="39" borderId="17" xfId="0">
      <alignment horizontal="center" vertical="center" wrapText="false"/>
    </xf>
    <xf fontId="8" fillId="39" borderId="76" xfId="0">
      <alignment horizontal="center" vertical="center"/>
    </xf>
    <xf fontId="4" fillId="5" borderId="12" xfId="0">
      <alignment horizontal="center" vertical="center" textRotation="0" indent="0" justifyLastLine="false" shrinkToFit="false"/>
    </xf>
    <xf fontId="4" fillId="5" borderId="13" xfId="0">
      <alignment horizontal="center" vertical="center" textRotation="0" indent="0" justifyLastLine="false" shrinkToFit="false"/>
    </xf>
    <xf fontId="21" fillId="37" borderId="17" xfId="0">
      <alignment horizontal="center" vertical="center" wrapText="false"/>
    </xf>
    <xf fontId="8" fillId="37" borderId="34" xfId="0">
      <alignment horizontal="center" vertical="center"/>
    </xf>
    <xf fontId="8" fillId="37" borderId="76" xfId="0">
      <alignment horizontal="center" vertical="center"/>
    </xf>
    <xf fontId="7" fillId="35" borderId="49" xfId="0">
      <alignment horizontal="center" vertical="center" wrapText="false"/>
    </xf>
    <xf fontId="7" fillId="35" borderId="44" xfId="0">
      <alignment horizontal="center" vertical="center" wrapText="false"/>
    </xf>
    <xf fontId="21" fillId="37" borderId="44" xfId="0">
      <alignment horizontal="center" vertical="center" wrapText="false"/>
    </xf>
    <xf fontId="5" fillId="15" borderId="99" xfId="0">
      <alignment vertical="center"/>
    </xf>
    <xf fontId="5" fillId="10" borderId="83" xfId="0">
      <alignment vertical="center"/>
    </xf>
    <xf fontId="10" fillId="37" borderId="17" xfId="0">
      <alignment horizontal="center" vertical="center"/>
    </xf>
    <xf fontId="10" fillId="37" borderId="17" xfId="0">
      <alignment horizontal="center" vertical="center" wrapText="false"/>
    </xf>
    <xf fontId="10" fillId="37" borderId="18" xfId="0">
      <alignment horizontal="center" vertical="center" wrapText="false"/>
    </xf>
    <xf fontId="10" fillId="37" borderId="19" xfId="0">
      <alignment horizontal="center" vertical="center" wrapText="true"/>
    </xf>
    <xf fontId="21" fillId="45" borderId="17" xfId="0">
      <alignment horizontal="center" vertical="center" wrapText="false"/>
    </xf>
    <xf fontId="8" fillId="45" borderId="34" xfId="0">
      <alignment horizontal="center" vertical="center"/>
    </xf>
    <xf fontId="8" fillId="45" borderId="76" xfId="0">
      <alignment horizontal="center" vertical="center"/>
    </xf>
    <xf fontId="21" fillId="48" borderId="17" xfId="0">
      <alignment horizontal="center" vertical="center" wrapText="false"/>
    </xf>
    <xf fontId="8" fillId="48" borderId="34" xfId="0">
      <alignment horizontal="center" vertical="center"/>
    </xf>
    <xf fontId="8" fillId="48" borderId="76" xfId="0">
      <alignment horizontal="center" vertical="center"/>
    </xf>
    <xf fontId="7" fillId="24" borderId="29" xfId="0">
      <alignment horizontal="center" vertical="center" wrapText="false"/>
    </xf>
    <xf fontId="5" fillId="15" borderId="100" xfId="0">
      <alignment vertical="center"/>
    </xf>
    <xf fontId="21" fillId="44" borderId="59" xfId="0">
      <alignment horizontal="center" vertical="center" wrapText="false"/>
    </xf>
    <xf fontId="5" fillId="10" borderId="52" xfId="0">
      <alignment vertical="center"/>
    </xf>
    <xf fontId="7" fillId="44" borderId="17" xfId="0">
      <alignment horizontal="center" vertical="center" wrapText="false"/>
    </xf>
    <xf fontId="10" fillId="44" borderId="17" xfId="0">
      <alignment horizontal="center" vertical="center"/>
    </xf>
    <xf fontId="10" fillId="44" borderId="17" xfId="0">
      <alignment horizontal="center" vertical="center" wrapText="false"/>
    </xf>
    <xf fontId="10" fillId="44" borderId="18" xfId="0">
      <alignment horizontal="center" vertical="center" wrapText="false"/>
    </xf>
    <xf fontId="10" fillId="44" borderId="19" xfId="0">
      <alignment horizontal="center" vertical="center" wrapText="true"/>
    </xf>
    <xf fontId="0" fillId="0" borderId="101" xfId="0">
      <alignment vertical="center"/>
    </xf>
    <xf fontId="0" fillId="0" borderId="102" xfId="0">
      <alignment horizontal="center" vertical="center"/>
    </xf>
    <xf fontId="0" fillId="0" borderId="103" xfId="0">
      <alignment horizontal="center" vertical="center"/>
    </xf>
    <xf fontId="7" fillId="30" borderId="29" xfId="0">
      <alignment horizontal="center" vertical="center" wrapText="false"/>
    </xf>
    <xf fontId="4" fillId="5" borderId="0" xfId="0">
      <alignment horizontal="left" vertical="center" textRotation="0" wrapText="true" indent="0" justifyLastLine="false" shrinkToFit="false"/>
    </xf>
    <xf fontId="15" fillId="4" borderId="64" xfId="0">
      <alignment horizontal="center" vertical="center"/>
    </xf>
    <xf fontId="7" fillId="35" borderId="29" xfId="0">
      <alignment horizontal="center" vertical="center" wrapText="false"/>
    </xf>
    <xf fontId="7" fillId="45" borderId="23" xfId="0">
      <alignment horizontal="center" vertical="center" wrapText="false"/>
    </xf>
    <xf fontId="7" fillId="53" borderId="24" xfId="0">
      <alignment horizontal="center" vertical="center" wrapText="false"/>
    </xf>
    <xf fontId="10" fillId="45" borderId="85" xfId="0">
      <alignment horizontal="center" vertical="center"/>
    </xf>
    <xf fontId="10" fillId="45" borderId="85" xfId="0">
      <alignment horizontal="center" vertical="center" wrapText="false"/>
    </xf>
    <xf fontId="7" fillId="17" borderId="79" xfId="0">
      <alignment horizontal="center" vertical="center" wrapText="false"/>
    </xf>
    <xf fontId="7" fillId="43" borderId="29" xfId="0">
      <alignment horizontal="center" vertical="center" wrapText="false"/>
    </xf>
    <xf fontId="5" fillId="15" borderId="104" xfId="0">
      <alignment vertical="center"/>
    </xf>
    <xf fontId="7" fillId="21" borderId="27" xfId="0">
      <alignment horizontal="center" vertical="center" wrapText="false"/>
    </xf>
    <xf fontId="5" fillId="15" borderId="32" xfId="0">
      <alignment vertical="center"/>
    </xf>
    <xf fontId="5" fillId="15" borderId="38" xfId="0">
      <alignment vertical="center"/>
    </xf>
    <xf fontId="8" fillId="22" borderId="17" xfId="0">
      <alignment horizontal="center" vertical="center"/>
    </xf>
    <xf fontId="7" fillId="22" borderId="20" xfId="0">
      <alignment horizontal="center" vertical="center" wrapText="false"/>
    </xf>
    <xf fontId="8" fillId="22" borderId="34" xfId="0">
      <alignment horizontal="center" vertical="center"/>
    </xf>
    <xf fontId="8" fillId="22" borderId="76" xfId="0">
      <alignment horizontal="center" vertical="center"/>
    </xf>
    <xf fontId="4" fillId="5" borderId="105" xfId="0">
      <alignment horizontal="center" vertical="center" textRotation="0" indent="0" justifyLastLine="false" shrinkToFit="false"/>
    </xf>
    <xf fontId="4" fillId="5" borderId="106" xfId="0">
      <alignment horizontal="center" vertical="center" textRotation="0" indent="0" justifyLastLine="false" shrinkToFit="false"/>
    </xf>
    <xf fontId="5" fillId="15" borderId="106" xfId="0">
      <alignment vertical="center"/>
    </xf>
    <xf fontId="5" fillId="15" borderId="107" xfId="0">
      <alignment vertical="center"/>
    </xf>
    <xf fontId="4" fillId="6" borderId="108" xfId="0">
      <alignment horizontal="center" vertical="center"/>
    </xf>
    <xf fontId="7" fillId="16" borderId="109" xfId="0">
      <alignment horizontal="center" vertical="center" textRotation="0" wrapText="false" indent="0" justifyLastLine="false" shrinkToFit="false"/>
    </xf>
    <xf fontId="6" fillId="16" borderId="110" xfId="0">
      <alignment horizontal="center" vertical="center" textRotation="0" indent="0" justifyLastLine="false" shrinkToFit="false"/>
    </xf>
    <xf fontId="6" fillId="20" borderId="111" xfId="0">
      <alignment horizontal="center" vertical="center" textRotation="0" wrapText="true" indent="0" justifyLastLine="false" shrinkToFit="false"/>
    </xf>
    <xf fontId="10" fillId="28" borderId="79" xfId="0">
      <alignment horizontal="center" vertical="center" wrapText="false"/>
    </xf>
    <xf fontId="7" fillId="17" borderId="112" xfId="0">
      <alignment horizontal="center" vertical="center" wrapText="false"/>
    </xf>
    <xf fontId="10" fillId="17" borderId="113" xfId="0">
      <alignment horizontal="center" vertical="center" wrapText="false"/>
    </xf>
    <xf fontId="5" fillId="4" borderId="111" xfId="0">
      <alignment horizontal="center" vertical="center"/>
    </xf>
    <xf fontId="5" fillId="15" borderId="114" xfId="0">
      <alignment vertical="center"/>
    </xf>
    <xf fontId="21" fillId="32" borderId="91" xfId="0">
      <alignment horizontal="center" vertical="center" wrapText="false"/>
    </xf>
    <xf fontId="0" fillId="0" borderId="115" xfId="0">
      <alignment vertical="center"/>
    </xf>
    <xf fontId="7" fillId="28" borderId="116" xfId="0">
      <alignment horizontal="center" vertical="center" wrapText="false"/>
    </xf>
    <xf fontId="22" fillId="28" borderId="91" xfId="0">
      <alignment horizontal="center" vertical="center" wrapText="false"/>
    </xf>
    <xf fontId="7" fillId="28" borderId="92" xfId="0">
      <alignment horizontal="center" vertical="center" wrapText="false"/>
    </xf>
    <xf fontId="7" fillId="28" borderId="34" xfId="0">
      <alignment horizontal="center" vertical="center" wrapText="false"/>
    </xf>
    <xf fontId="7" fillId="28" borderId="76" xfId="0">
      <alignment horizontal="center" vertical="center" wrapText="false"/>
    </xf>
    <xf fontId="0" fillId="0" borderId="117" xfId="0">
      <alignment vertical="center"/>
    </xf>
    <xf fontId="10" fillId="18" borderId="113" xfId="0">
      <alignment horizontal="center" vertical="center" wrapText="false"/>
    </xf>
    <xf fontId="0" fillId="2" borderId="111" xfId="0">
      <alignment horizontal="center" vertical="center"/>
    </xf>
    <xf fontId="0" fillId="0" borderId="118" xfId="0">
      <alignment vertical="center"/>
    </xf>
    <xf fontId="7" fillId="21" borderId="109" xfId="0">
      <alignment horizontal="center" vertical="center" wrapText="false"/>
    </xf>
    <xf fontId="7" fillId="21" borderId="24" xfId="0">
      <alignment horizontal="center" vertical="center" wrapText="false"/>
    </xf>
    <xf fontId="10" fillId="21" borderId="24" xfId="0">
      <alignment horizontal="center" vertical="center"/>
    </xf>
    <xf fontId="10" fillId="21" borderId="24" xfId="0">
      <alignment horizontal="center" vertical="center" wrapText="false"/>
    </xf>
    <xf fontId="10" fillId="21" borderId="110" xfId="0">
      <alignment horizontal="center" vertical="center" wrapText="false"/>
    </xf>
    <xf fontId="7" fillId="25" borderId="112" xfId="0">
      <alignment horizontal="center" vertical="center" wrapText="false"/>
    </xf>
    <xf fontId="10" fillId="25" borderId="110" xfId="0">
      <alignment horizontal="center" vertical="center" wrapText="false"/>
    </xf>
    <xf fontId="0" fillId="14" borderId="119" xfId="0">
      <alignment vertical="center"/>
    </xf>
    <xf fontId="0" fillId="0" borderId="119" xfId="0">
      <alignment vertical="center"/>
    </xf>
    <xf fontId="10" fillId="32" borderId="112" xfId="0">
      <alignment horizontal="center" vertical="center" wrapText="false"/>
    </xf>
    <xf fontId="7" fillId="32" borderId="24" xfId="0">
      <alignment horizontal="center" vertical="center" wrapText="false"/>
    </xf>
    <xf fontId="10" fillId="32" borderId="24" xfId="0">
      <alignment horizontal="center" vertical="center" wrapText="false"/>
    </xf>
    <xf fontId="10" fillId="32" borderId="110" xfId="0">
      <alignment horizontal="center" vertical="center" wrapText="false"/>
    </xf>
    <xf fontId="7" fillId="31" borderId="112" xfId="0">
      <alignment horizontal="center" vertical="center" wrapText="false"/>
    </xf>
    <xf fontId="10" fillId="31" borderId="110" xfId="0">
      <alignment horizontal="center" vertical="center" wrapText="false"/>
    </xf>
    <xf fontId="10" fillId="45" borderId="17" xfId="0">
      <alignment horizontal="center" vertical="center"/>
    </xf>
    <xf fontId="10" fillId="45" borderId="17" xfId="0">
      <alignment horizontal="center" vertical="center" wrapText="false"/>
    </xf>
    <xf fontId="10" fillId="45" borderId="18" xfId="0">
      <alignment horizontal="center" vertical="center" wrapText="false"/>
    </xf>
    <xf fontId="10" fillId="45" borderId="19" xfId="0">
      <alignment horizontal="center" vertical="center" wrapText="true"/>
    </xf>
    <xf fontId="8" fillId="41" borderId="17" xfId="0">
      <alignment horizontal="center" vertical="center"/>
    </xf>
    <xf fontId="7" fillId="41" borderId="20" xfId="0">
      <alignment horizontal="center" vertical="center" wrapText="false"/>
    </xf>
    <xf fontId="8" fillId="41" borderId="34" xfId="0">
      <alignment horizontal="center" vertical="center"/>
    </xf>
    <xf fontId="8" fillId="41" borderId="76" xfId="0">
      <alignment horizontal="center" vertical="center"/>
    </xf>
    <xf fontId="7" fillId="37" borderId="112" xfId="0">
      <alignment horizontal="center" vertical="center" wrapText="false"/>
    </xf>
    <xf fontId="10" fillId="37" borderId="24" xfId="0">
      <alignment horizontal="center" vertical="center"/>
    </xf>
    <xf fontId="10" fillId="37" borderId="24" xfId="0">
      <alignment horizontal="center" vertical="center" wrapText="false"/>
    </xf>
    <xf fontId="10" fillId="37" borderId="110" xfId="0">
      <alignment horizontal="center" vertical="center" wrapText="false"/>
    </xf>
    <xf fontId="7" fillId="43" borderId="27" xfId="0">
      <alignment horizontal="center" vertical="center" wrapText="false"/>
    </xf>
    <xf fontId="0" fillId="0" borderId="120" xfId="0">
      <alignment vertical="center"/>
    </xf>
    <xf fontId="7" fillId="43" borderId="59" xfId="0">
      <alignment horizontal="center" vertical="center" wrapText="false"/>
    </xf>
    <xf fontId="8" fillId="43" borderId="59" xfId="0">
      <alignment horizontal="center" vertical="center"/>
    </xf>
    <xf fontId="7" fillId="43" borderId="60" xfId="0">
      <alignment horizontal="center" vertical="center" wrapText="false"/>
    </xf>
    <xf fontId="8" fillId="43" borderId="34" xfId="0">
      <alignment horizontal="center" vertical="center"/>
    </xf>
    <xf fontId="8" fillId="43" borderId="76" xfId="0">
      <alignment horizontal="center" vertical="center"/>
    </xf>
    <xf fontId="7" fillId="45" borderId="112" xfId="0">
      <alignment horizontal="center" vertical="center" wrapText="false"/>
    </xf>
    <xf fontId="7" fillId="45" borderId="121" xfId="0">
      <alignment horizontal="center" vertical="center" wrapText="false"/>
    </xf>
    <xf fontId="10" fillId="45" borderId="122" xfId="0">
      <alignment horizontal="center" vertical="center"/>
    </xf>
    <xf fontId="10" fillId="45" borderId="122" xfId="0">
      <alignment horizontal="center" vertical="center" wrapText="false"/>
    </xf>
    <xf fontId="10" fillId="45" borderId="123" xfId="0">
      <alignment horizontal="center" vertical="center" wrapText="false"/>
    </xf>
    <xf fontId="0" fillId="2" borderId="124" xfId="0">
      <alignment horizontal="center" vertical="center"/>
    </xf>
    <xf fontId="7" fillId="12" borderId="34" xfId="0">
      <alignment horizontal="center" vertical="center" wrapText="false"/>
    </xf>
    <xf fontId="7" fillId="12" borderId="1" xfId="0">
      <alignment horizontal="center" vertical="center" wrapText="false"/>
    </xf>
    <xf fontId="0" fillId="20" borderId="1" xfId="0">
      <alignment horizontal="center" vertical="center"/>
    </xf>
    <xf fontId="5" fillId="20" borderId="76" xfId="0">
      <alignment horizontal="center" vertical="center"/>
    </xf>
    <xf fontId="0" fillId="4" borderId="21" xfId="0">
      <alignment horizontal="center" vertical="center"/>
    </xf>
    <xf fontId="0" fillId="4" borderId="125" xfId="0">
      <alignment horizontal="center" vertical="center"/>
    </xf>
    <xf fontId="0" fillId="0" borderId="126" xfId="0">
      <alignment vertical="center"/>
    </xf>
    <xf fontId="7" fillId="44" borderId="55" xfId="0">
      <alignment horizontal="center" vertical="center" wrapText="false"/>
    </xf>
    <xf fontId="10" fillId="44" borderId="55" xfId="0">
      <alignment horizontal="center" vertical="center"/>
    </xf>
    <xf fontId="10" fillId="44" borderId="55" xfId="0">
      <alignment horizontal="center" vertical="center" wrapText="false"/>
    </xf>
    <xf fontId="10" fillId="44" borderId="56" xfId="0">
      <alignment horizontal="center" vertical="center" wrapText="false"/>
    </xf>
    <xf fontId="10" fillId="44" borderId="57" xfId="0">
      <alignment horizontal="center" vertical="center" wrapText="true"/>
    </xf>
    <xf fontId="7" fillId="42" borderId="127" xfId="0">
      <alignment horizontal="center" vertical="center" wrapText="false"/>
    </xf>
    <xf fontId="7" fillId="42" borderId="128" xfId="0">
      <alignment horizontal="center" vertical="center" wrapText="false"/>
    </xf>
    <xf fontId="10" fillId="42" borderId="128" xfId="0">
      <alignment horizontal="center" vertical="center"/>
    </xf>
    <xf fontId="10" fillId="42" borderId="128" xfId="0">
      <alignment horizontal="center" vertical="center" wrapText="false"/>
    </xf>
    <xf fontId="10" fillId="42" borderId="129" xfId="0">
      <alignment horizontal="center" vertical="center" wrapText="false"/>
    </xf>
    <xf fontId="0" fillId="2" borderId="130" xfId="0">
      <alignment horizontal="center" vertical="center"/>
    </xf>
    <xf fontId="15" fillId="2" borderId="131" xfId="0">
      <alignment horizontal="center" vertical="center"/>
    </xf>
    <xf fontId="15" fillId="2" borderId="132" xfId="0">
      <alignment horizontal="center" vertical="center"/>
    </xf>
    <xf fontId="0" fillId="10" borderId="132" xfId="0">
      <alignment vertical="center"/>
    </xf>
    <xf fontId="15" fillId="2" borderId="133" xfId="0">
      <alignment horizontal="center" vertical="center"/>
    </xf>
    <xf fontId="7" fillId="44" borderId="112" xfId="0">
      <alignment horizontal="center" vertical="center" wrapText="false"/>
    </xf>
    <xf fontId="10" fillId="44" borderId="110" xfId="0">
      <alignment horizontal="center" vertical="center" wrapText="false"/>
    </xf>
    <xf fontId="0" fillId="10" borderId="6" xfId="0">
      <alignment vertical="center"/>
    </xf>
    <xf fontId="0" fillId="10" borderId="7" xfId="0">
      <alignment vertical="center"/>
    </xf>
    <xf fontId="0" fillId="14" borderId="134" xfId="0">
      <alignment vertical="center"/>
    </xf>
    <xf fontId="7" fillId="44" borderId="135" xfId="0">
      <alignment horizontal="center" vertical="center" wrapText="false"/>
    </xf>
    <xf fontId="10" fillId="44" borderId="135" xfId="0">
      <alignment horizontal="center" vertical="center"/>
    </xf>
    <xf fontId="10" fillId="44" borderId="135" xfId="0">
      <alignment horizontal="center" vertical="center" wrapText="false"/>
    </xf>
    <xf fontId="10" fillId="44" borderId="136" xfId="0">
      <alignment horizontal="center" vertical="center" wrapText="false"/>
    </xf>
    <xf fontId="0" fillId="2" borderId="30" xfId="0">
      <alignment horizontal="center" vertical="center"/>
    </xf>
    <xf fontId="9" fillId="2" borderId="134" xfId="0">
      <alignment horizontal="center" vertical="center"/>
    </xf>
    <xf fontId="9" fillId="2" borderId="137" xfId="0">
      <alignment horizontal="center" vertical="center"/>
    </xf>
    <xf fontId="0" fillId="14" borderId="138" xfId="0">
      <alignment vertical="center"/>
    </xf>
    <xf fontId="0" fillId="14" borderId="139" xfId="0">
      <alignment vertical="center"/>
    </xf>
    <xf fontId="9" fillId="2" borderId="140" xfId="0">
      <alignment horizontal="center" vertical="center"/>
    </xf>
    <xf fontId="9" fillId="2" borderId="42" xfId="0">
      <alignment horizontal="center" vertical="center"/>
    </xf>
    <xf fontId="23" fillId="0" borderId="0" xfId="0">
      <alignment vertical="center" wrapText="false"/>
    </xf>
    <xf fontId="0" fillId="10" borderId="104" xfId="0">
      <alignment vertical="center"/>
    </xf>
    <xf fontId="0" fillId="10" borderId="32" xfId="0">
      <alignment vertical="center"/>
    </xf>
    <xf fontId="10" fillId="21" borderId="17" xfId="0">
      <alignment horizontal="center" vertical="center"/>
    </xf>
    <xf fontId="10" fillId="21" borderId="17" xfId="0">
      <alignment horizontal="center" vertical="center" wrapText="false"/>
    </xf>
    <xf fontId="10" fillId="21" borderId="18" xfId="0">
      <alignment horizontal="center" vertical="center" wrapText="false"/>
    </xf>
    <xf fontId="10" fillId="21" borderId="19" xfId="0">
      <alignment horizontal="center" vertical="center" wrapText="true"/>
    </xf>
    <xf numFmtId="0" fontId="10" fillId="21" borderId="17" xfId="0">
      <alignment horizontal="center" vertical="center"/>
    </xf>
    <xf fontId="10" fillId="25" borderId="19" xfId="0">
      <alignment horizontal="center" vertical="center" wrapText="true"/>
    </xf>
    <xf fontId="12" fillId="14" borderId="16" xfId="0">
      <alignment vertical="center" wrapText="false"/>
    </xf>
    <xf fontId="10" fillId="32" borderId="79" xfId="0">
      <alignment horizontal="center" vertical="center" wrapText="false"/>
    </xf>
    <xf fontId="0" fillId="14" borderId="79" xfId="0">
      <alignment vertical="center"/>
    </xf>
    <xf fontId="0" fillId="14" borderId="104" xfId="0">
      <alignment vertical="center"/>
    </xf>
    <xf fontId="0" fillId="14" borderId="32" xfId="0">
      <alignment vertical="center"/>
    </xf>
    <xf fontId="7" fillId="31" borderId="27" xfId="0">
      <alignment horizontal="center" vertical="center" wrapText="false"/>
    </xf>
    <xf fontId="10" fillId="31" borderId="17" xfId="0">
      <alignment horizontal="center" vertical="center"/>
    </xf>
    <xf fontId="10" fillId="31" borderId="17" xfId="0">
      <alignment horizontal="center" vertical="center" wrapText="false"/>
    </xf>
    <xf fontId="10" fillId="31" borderId="18" xfId="0">
      <alignment horizontal="center" vertical="center" wrapText="false"/>
    </xf>
    <xf fontId="10" fillId="31" borderId="19" xfId="0">
      <alignment horizontal="center" vertical="center" wrapText="true"/>
    </xf>
    <xf fontId="7" fillId="37" borderId="27" xfId="0">
      <alignment horizontal="center" vertical="center" wrapText="false"/>
    </xf>
    <xf fontId="7" fillId="42" borderId="16" xfId="0">
      <alignment horizontal="center" vertical="center" wrapText="false"/>
    </xf>
    <xf fontId="0" fillId="14" borderId="16" xfId="0">
      <alignment vertical="center"/>
    </xf>
    <xf fontId="7" fillId="44" borderId="27" xfId="0">
      <alignment horizontal="center" vertical="center" wrapText="false"/>
    </xf>
    <xf fontId="0" fillId="14" borderId="141" xfId="0">
      <alignment vertical="center"/>
    </xf>
    <xf fontId="0" fillId="14" borderId="132" xfId="0">
      <alignment vertical="center"/>
    </xf>
    <xf fontId="6" fillId="7" borderId="0" xfId="0">
      <alignment horizontal="left" vertical="center" textRotation="0" wrapText="true" indent="0" justifyLastLine="false" shrinkToFit="false"/>
    </xf>
    <xf fontId="6" fillId="8" borderId="0" xfId="0">
      <alignment horizontal="left" vertical="center" wrapText="true"/>
    </xf>
    <xf fontId="4" fillId="7" borderId="142" xfId="0">
      <alignment horizontal="center" vertical="center" textRotation="0" indent="0" justifyLastLine="false" shrinkToFit="false"/>
    </xf>
    <xf fontId="4" fillId="7" borderId="143" xfId="0">
      <alignment horizontal="center" vertical="center" textRotation="0" indent="0" justifyLastLine="false" shrinkToFit="false"/>
    </xf>
    <xf fontId="0" fillId="0" borderId="143" xfId="0">
      <alignment vertical="center"/>
    </xf>
    <xf fontId="0" fillId="0" borderId="144" xfId="0">
      <alignment vertical="center"/>
    </xf>
    <xf fontId="6" fillId="8" borderId="145" xfId="0">
      <alignment horizontal="center" vertical="center"/>
    </xf>
    <xf fontId="0" fillId="0" borderId="146" xfId="0">
      <alignment vertical="center"/>
    </xf>
    <xf fontId="0" fillId="0" borderId="147" xfId="0">
      <alignment vertical="center"/>
    </xf>
    <xf fontId="6" fillId="11" borderId="85" xfId="0">
      <alignment horizontal="center" vertical="center" textRotation="0" indent="0" justifyLastLine="false" shrinkToFit="false"/>
    </xf>
    <xf fontId="7" fillId="11" borderId="85" xfId="0">
      <alignment horizontal="center" vertical="center" textRotation="0" wrapText="false"/>
    </xf>
    <xf fontId="6" fillId="11" borderId="148" xfId="0">
      <alignment horizontal="center" vertical="center" textRotation="0" wrapText="true" indent="0" justifyLastLine="false" shrinkToFit="false"/>
    </xf>
    <xf fontId="8" fillId="12" borderId="0" xfId="0">
      <alignment horizontal="center" vertical="center"/>
    </xf>
    <xf fontId="8" fillId="12" borderId="149" xfId="0">
      <alignment horizontal="center" vertical="center"/>
    </xf>
    <xf fontId="7" fillId="25" borderId="122" xfId="0">
      <alignment horizontal="center" vertical="center" wrapText="false"/>
    </xf>
    <xf fontId="8" fillId="25" borderId="122" xfId="0">
      <alignment horizontal="center" vertical="center"/>
    </xf>
    <xf fontId="7" fillId="25" borderId="85" xfId="0">
      <alignment horizontal="center" vertical="center" wrapText="false"/>
    </xf>
    <xf fontId="8" fillId="25" borderId="85" xfId="0">
      <alignment horizontal="center" vertical="center"/>
    </xf>
    <xf fontId="11" fillId="25" borderId="85" xfId="0">
      <alignment horizontal="center" vertical="center" wrapText="false"/>
    </xf>
    <xf fontId="8" fillId="25" borderId="148" xfId="0">
      <alignment horizontal="center" vertical="center" wrapText="true"/>
    </xf>
    <xf fontId="8" fillId="25" borderId="0" xfId="0">
      <alignment horizontal="center" vertical="center"/>
    </xf>
    <xf fontId="8" fillId="25" borderId="149" xfId="0">
      <alignment horizontal="center" vertical="center"/>
    </xf>
    <xf fontId="0" fillId="0" borderId="150" xfId="0">
      <alignment vertical="center"/>
    </xf>
    <xf fontId="8" fillId="25" borderId="87" xfId="0">
      <alignment horizontal="center" vertical="center"/>
    </xf>
    <xf fontId="0" fillId="0" borderId="151" xfId="0">
      <alignment vertical="center"/>
    </xf>
    <xf fontId="0" fillId="0" borderId="152" xfId="0">
      <alignment vertical="center"/>
    </xf>
    <xf fontId="7" fillId="24" borderId="150" xfId="0">
      <alignment horizontal="center" vertical="center" wrapText="false"/>
    </xf>
    <xf fontId="8" fillId="24" borderId="150" xfId="0">
      <alignment horizontal="center" vertical="center"/>
    </xf>
    <xf fontId="8" fillId="24" borderId="149" xfId="0">
      <alignment horizontal="center" vertical="center"/>
    </xf>
    <xf fontId="7" fillId="18" borderId="122" xfId="0">
      <alignment horizontal="center" vertical="center" wrapText="false"/>
    </xf>
    <xf fontId="8" fillId="18" borderId="122" xfId="0">
      <alignment horizontal="center" vertical="center"/>
    </xf>
    <xf fontId="7" fillId="31" borderId="85" xfId="0">
      <alignment horizontal="center" vertical="center" wrapText="false"/>
    </xf>
    <xf fontId="8" fillId="18" borderId="85" xfId="0">
      <alignment horizontal="center" vertical="center"/>
    </xf>
    <xf fontId="11" fillId="18" borderId="85" xfId="0">
      <alignment horizontal="center" vertical="center" wrapText="false"/>
    </xf>
    <xf fontId="8" fillId="18" borderId="148" xfId="0">
      <alignment horizontal="center" vertical="center" wrapText="true"/>
    </xf>
    <xf fontId="8" fillId="18" borderId="0" xfId="0">
      <alignment horizontal="center" vertical="center"/>
    </xf>
    <xf fontId="8" fillId="18" borderId="149" xfId="0">
      <alignment horizontal="center" vertical="center"/>
    </xf>
    <xf fontId="7" fillId="18" borderId="85" xfId="0">
      <alignment horizontal="center" vertical="center" wrapText="false"/>
    </xf>
    <xf fontId="7" fillId="17" borderId="150" xfId="0">
      <alignment horizontal="center" vertical="center" wrapText="false"/>
    </xf>
    <xf fontId="8" fillId="17" borderId="150" xfId="0">
      <alignment horizontal="center" vertical="center"/>
    </xf>
    <xf fontId="8" fillId="54" borderId="148" xfId="0">
      <alignment horizontal="center" vertical="center" wrapText="true"/>
    </xf>
    <xf fontId="8" fillId="17" borderId="149" xfId="0">
      <alignment horizontal="center" vertical="center"/>
    </xf>
    <xf fontId="7" fillId="17" borderId="85" xfId="0">
      <alignment horizontal="center" vertical="center" wrapText="false"/>
    </xf>
    <xf fontId="8" fillId="17" borderId="148" xfId="0">
      <alignment horizontal="center" vertical="center" wrapText="true"/>
    </xf>
    <xf fontId="0" fillId="0" borderId="153" xfId="0">
      <alignment vertical="center"/>
    </xf>
    <xf fontId="7" fillId="31" borderId="122" xfId="0">
      <alignment horizontal="center" vertical="center" wrapText="false"/>
    </xf>
    <xf fontId="8" fillId="31" borderId="122" xfId="0">
      <alignment horizontal="center" vertical="center"/>
    </xf>
    <xf fontId="8" fillId="31" borderId="85" xfId="0">
      <alignment horizontal="center" vertical="center"/>
    </xf>
    <xf fontId="8" fillId="31" borderId="148" xfId="0">
      <alignment horizontal="center" vertical="center" wrapText="true"/>
    </xf>
    <xf fontId="8" fillId="31" borderId="0" xfId="0">
      <alignment horizontal="center" vertical="center"/>
    </xf>
    <xf fontId="8" fillId="39" borderId="0" xfId="0">
      <alignment horizontal="center" vertical="center"/>
    </xf>
    <xf fontId="8" fillId="31" borderId="149" xfId="0">
      <alignment horizontal="center" vertical="center"/>
    </xf>
    <xf fontId="24" fillId="0" borderId="0" xfId="0">
      <alignment vertical="center"/>
    </xf>
    <xf fontId="7" fillId="30" borderId="150" xfId="0">
      <alignment horizontal="center" vertical="center" wrapText="false"/>
    </xf>
    <xf fontId="8" fillId="30" borderId="150" xfId="0">
      <alignment horizontal="center" vertical="center"/>
    </xf>
    <xf fontId="8" fillId="39" borderId="85" xfId="0">
      <alignment horizontal="center" vertical="center"/>
    </xf>
    <xf fontId="8" fillId="39" borderId="148" xfId="0">
      <alignment horizontal="center" vertical="center" wrapText="true"/>
    </xf>
    <xf fontId="8" fillId="30" borderId="149" xfId="0">
      <alignment horizontal="center" vertical="center"/>
    </xf>
    <xf fontId="11" fillId="31" borderId="85" xfId="0">
      <alignment horizontal="center" vertical="center" wrapText="false"/>
    </xf>
    <xf fontId="7" fillId="32" borderId="122" xfId="0">
      <alignment horizontal="center" vertical="center" wrapText="false"/>
    </xf>
    <xf fontId="8" fillId="32" borderId="122" xfId="0">
      <alignment horizontal="center" vertical="center"/>
    </xf>
    <xf fontId="7" fillId="32" borderId="85" xfId="0">
      <alignment horizontal="center" vertical="center" wrapText="false"/>
    </xf>
    <xf fontId="8" fillId="55" borderId="0" xfId="0">
      <alignment horizontal="center" vertical="center"/>
    </xf>
    <xf fontId="8" fillId="32" borderId="0" xfId="0">
      <alignment horizontal="center" vertical="center"/>
    </xf>
    <xf fontId="8" fillId="32" borderId="149" xfId="0">
      <alignment horizontal="center" vertical="center"/>
    </xf>
    <xf fontId="0" fillId="0" borderId="154" xfId="0">
      <alignment vertical="center"/>
    </xf>
    <xf fontId="7" fillId="32" borderId="155" xfId="0">
      <alignment horizontal="center" vertical="center" wrapText="false"/>
    </xf>
    <xf fontId="8" fillId="28" borderId="0" xfId="0">
      <alignment horizontal="center" vertical="center"/>
    </xf>
    <xf fontId="8" fillId="32" borderId="85" xfId="0">
      <alignment horizontal="center" vertical="center"/>
    </xf>
    <xf fontId="8" fillId="32" borderId="148" xfId="0">
      <alignment horizontal="center" vertical="center" wrapText="true"/>
    </xf>
    <xf fontId="11" fillId="32" borderId="85" xfId="0">
      <alignment horizontal="center" vertical="center" wrapText="false"/>
    </xf>
    <xf fontId="0" fillId="0" borderId="156" xfId="0">
      <alignment vertical="center"/>
    </xf>
    <xf fontId="8" fillId="37" borderId="0" xfId="0">
      <alignment horizontal="center" vertical="center"/>
    </xf>
    <xf fontId="7" fillId="37" borderId="122" xfId="0">
      <alignment horizontal="center" vertical="center" wrapText="false"/>
    </xf>
    <xf fontId="8" fillId="37" borderId="122" xfId="0">
      <alignment horizontal="center" vertical="center"/>
    </xf>
    <xf fontId="7" fillId="37" borderId="85" xfId="0">
      <alignment horizontal="center" vertical="center" wrapText="false"/>
    </xf>
    <xf fontId="8" fillId="37" borderId="85" xfId="0">
      <alignment horizontal="center" vertical="center"/>
    </xf>
    <xf fontId="8" fillId="37" borderId="148" xfId="0">
      <alignment horizontal="center" vertical="center" wrapText="true"/>
    </xf>
    <xf fontId="8" fillId="37" borderId="149" xfId="0">
      <alignment horizontal="center" vertical="center"/>
    </xf>
    <xf fontId="7" fillId="35" borderId="150" xfId="0">
      <alignment horizontal="center" vertical="center" wrapText="false"/>
    </xf>
    <xf fontId="8" fillId="35" borderId="150" xfId="0">
      <alignment horizontal="center" vertical="center"/>
    </xf>
    <xf fontId="8" fillId="35" borderId="149" xfId="0">
      <alignment horizontal="center" vertical="center"/>
    </xf>
    <xf fontId="7" fillId="37" borderId="155" xfId="0">
      <alignment horizontal="center" vertical="center" wrapText="false"/>
    </xf>
    <xf fontId="7" fillId="21" borderId="122" xfId="0">
      <alignment horizontal="center" vertical="center" wrapText="false"/>
    </xf>
    <xf fontId="8" fillId="21" borderId="122" xfId="0">
      <alignment horizontal="center" vertical="center"/>
    </xf>
    <xf fontId="7" fillId="56" borderId="85" xfId="0">
      <alignment horizontal="center" vertical="center" wrapText="false"/>
    </xf>
    <xf fontId="8" fillId="56" borderId="85" xfId="0">
      <alignment horizontal="center" vertical="center"/>
    </xf>
    <xf fontId="7" fillId="21" borderId="85" xfId="0">
      <alignment horizontal="center" vertical="center" wrapText="false"/>
    </xf>
    <xf fontId="8" fillId="56" borderId="148" xfId="0">
      <alignment horizontal="center" vertical="center" wrapText="true"/>
    </xf>
    <xf fontId="8" fillId="56" borderId="0" xfId="0">
      <alignment horizontal="center" vertical="center"/>
    </xf>
    <xf fontId="8" fillId="21" borderId="0" xfId="0">
      <alignment horizontal="center" vertical="center"/>
    </xf>
    <xf fontId="8" fillId="21" borderId="149" xfId="0">
      <alignment horizontal="center" vertical="center"/>
    </xf>
    <xf fontId="8" fillId="21" borderId="85" xfId="0">
      <alignment horizontal="center" vertical="center"/>
    </xf>
    <xf fontId="8" fillId="21" borderId="148" xfId="0">
      <alignment horizontal="center" vertical="center" wrapText="true"/>
    </xf>
    <xf numFmtId="0" fontId="8" fillId="56" borderId="148" xfId="0">
      <alignment horizontal="center" vertical="center" wrapText="true"/>
    </xf>
    <xf numFmtId="0" fontId="8" fillId="21" borderId="148" xfId="0">
      <alignment horizontal="center" vertical="center" wrapText="true"/>
    </xf>
    <xf fontId="8" fillId="22" borderId="149" xfId="0">
      <alignment horizontal="center" vertical="center"/>
    </xf>
    <xf fontId="7" fillId="22" borderId="150" xfId="0">
      <alignment horizontal="center" vertical="center" wrapText="false"/>
    </xf>
    <xf fontId="8" fillId="22" borderId="150" xfId="0">
      <alignment horizontal="center" vertical="center"/>
    </xf>
    <xf fontId="7" fillId="22" borderId="85" xfId="0">
      <alignment horizontal="center" vertical="center" wrapText="false"/>
    </xf>
    <xf fontId="8" fillId="22" borderId="85" xfId="0">
      <alignment horizontal="center" vertical="center"/>
    </xf>
    <xf fontId="8" fillId="22" borderId="148" xfId="0">
      <alignment horizontal="center" vertical="center" wrapText="true"/>
    </xf>
    <xf fontId="8" fillId="22" borderId="0" xfId="0">
      <alignment horizontal="center" vertical="center"/>
    </xf>
    <xf fontId="7" fillId="44" borderId="122" xfId="0">
      <alignment horizontal="center" vertical="center" wrapText="false"/>
    </xf>
    <xf fontId="8" fillId="44" borderId="122" xfId="0">
      <alignment horizontal="center" vertical="center"/>
    </xf>
    <xf fontId="7" fillId="48" borderId="85" xfId="0">
      <alignment horizontal="center" vertical="center" wrapText="false"/>
    </xf>
    <xf fontId="8" fillId="48" borderId="85" xfId="0">
      <alignment horizontal="center" vertical="center"/>
    </xf>
    <xf fontId="11" fillId="48" borderId="85" xfId="0">
      <alignment horizontal="center" vertical="center" wrapText="false"/>
    </xf>
    <xf fontId="8" fillId="48" borderId="148" xfId="0">
      <alignment horizontal="center" vertical="center" wrapText="true"/>
    </xf>
    <xf fontId="8" fillId="48" borderId="0" xfId="0">
      <alignment horizontal="center" vertical="center"/>
    </xf>
    <xf fontId="8" fillId="44" borderId="0" xfId="0">
      <alignment horizontal="center" vertical="center"/>
    </xf>
    <xf fontId="8" fillId="44" borderId="149" xfId="0">
      <alignment horizontal="center" vertical="center"/>
    </xf>
    <xf fontId="7" fillId="44" borderId="85" xfId="0">
      <alignment horizontal="center" vertical="center" wrapText="false"/>
    </xf>
    <xf fontId="8" fillId="44" borderId="85" xfId="0">
      <alignment horizontal="center" vertical="center"/>
    </xf>
    <xf fontId="11" fillId="44" borderId="85" xfId="0">
      <alignment horizontal="center" vertical="center" wrapText="false"/>
    </xf>
    <xf fontId="8" fillId="44" borderId="148" xfId="0">
      <alignment horizontal="center" vertical="center" wrapText="true"/>
    </xf>
    <xf fontId="7" fillId="43" borderId="150" xfId="0">
      <alignment horizontal="center" vertical="center" wrapText="false"/>
    </xf>
    <xf fontId="8" fillId="43" borderId="150" xfId="0">
      <alignment horizontal="center" vertical="center"/>
    </xf>
    <xf fontId="8" fillId="43" borderId="149" xfId="0">
      <alignment horizontal="center" vertical="center"/>
    </xf>
    <xf fontId="0" fillId="0" borderId="157" xfId="0">
      <alignment vertical="center"/>
    </xf>
    <xf fontId="7" fillId="45" borderId="85" xfId="0">
      <alignment horizontal="center" vertical="center" wrapText="false"/>
    </xf>
    <xf fontId="8" fillId="45" borderId="85" xfId="0">
      <alignment horizontal="center" vertical="center"/>
    </xf>
    <xf fontId="11" fillId="45" borderId="85" xfId="0">
      <alignment horizontal="center" vertical="center" wrapText="false"/>
    </xf>
    <xf fontId="8" fillId="45" borderId="148" xfId="0">
      <alignment horizontal="center" vertical="center" wrapText="true"/>
    </xf>
    <xf fontId="8" fillId="45" borderId="0" xfId="0">
      <alignment horizontal="center" vertical="center"/>
    </xf>
    <xf fontId="8" fillId="45" borderId="149" xfId="0">
      <alignment horizontal="center" vertical="center"/>
    </xf>
    <xf fontId="7" fillId="0" borderId="158" xfId="0">
      <alignment horizontal="center" vertical="center" wrapText="false"/>
    </xf>
    <xf fontId="8" fillId="0" borderId="158" xfId="0">
      <alignment horizontal="center" vertical="center"/>
    </xf>
    <xf fontId="11" fillId="0" borderId="158" xfId="0">
      <alignment horizontal="center" vertical="center" wrapText="false"/>
    </xf>
    <xf fontId="8" fillId="0" borderId="159" xfId="0">
      <alignment horizontal="center" vertical="center" wrapText="true"/>
    </xf>
    <xf fontId="8" fillId="0" borderId="138" xfId="0">
      <alignment horizontal="center" vertical="center"/>
    </xf>
    <xf fontId="8" fillId="0" borderId="139" xfId="0">
      <alignment horizontal="center" vertical="center"/>
    </xf>
    <xf fontId="8" fillId="0" borderId="0" xfId="0">
      <alignment horizontal="center" vertical="center"/>
    </xf>
    <xf fontId="7" fillId="0" borderId="0" xfId="0">
      <alignment horizontal="center" vertical="center" wrapText="false"/>
    </xf>
    <xf fontId="11" fillId="0" borderId="0" xfId="0">
      <alignment horizontal="center" vertical="center" wrapText="false"/>
    </xf>
    <xf fontId="8" fillId="0" borderId="0" xfId="0">
      <alignment horizontal="center" vertical="center" wrapText="true"/>
    </xf>
    <xf fontId="8" fillId="0" borderId="0" xfId="0">
      <alignment horizontal="center" vertical="center" justifyLastLine="false" shrinkToFit="false"/>
    </xf>
    <xf fontId="7" fillId="0" borderId="0" xfId="0">
      <alignment horizontal="center" vertical="center" wrapText="false" justifyLastLine="false" shrinkToFit="false"/>
    </xf>
    <xf fontId="25" fillId="0" borderId="0" xfId="0">
      <alignment horizontal="center" vertical="center" wrapText="false" justifyLastLine="false" shrinkToFit="false"/>
    </xf>
    <xf fontId="8" fillId="0" borderId="0" xfId="0">
      <alignment horizontal="center" vertical="center" wrapText="true" justifyLastLine="false" shrinkToFit="false"/>
    </xf>
    <xf fontId="6" fillId="5" borderId="0" xfId="0">
      <alignment horizontal="left" vertical="center" textRotation="0" wrapText="true" indent="0" justifyLastLine="false" shrinkToFit="false"/>
    </xf>
    <xf fontId="6" fillId="8" borderId="73" xfId="0">
      <alignment horizontal="center" vertical="center"/>
    </xf>
    <xf fontId="0" fillId="0" borderId="160" xfId="0">
      <alignment vertical="center"/>
    </xf>
    <xf fontId="6" fillId="11" borderId="122" xfId="0">
      <alignment horizontal="center" vertical="center" textRotation="0" indent="0" justifyLastLine="false" shrinkToFit="false"/>
    </xf>
    <xf fontId="7" fillId="11" borderId="122" xfId="0">
      <alignment horizontal="center" vertical="center" textRotation="0" wrapText="false" indent="0" justifyLastLine="false" shrinkToFit="false"/>
    </xf>
    <xf fontId="6" fillId="11" borderId="161" xfId="0">
      <alignment horizontal="center" vertical="center" textRotation="0" wrapText="true" indent="0" justifyLastLine="false" shrinkToFit="false"/>
    </xf>
    <xf fontId="8" fillId="12" borderId="1" xfId="0">
      <alignment horizontal="center" vertical="center"/>
    </xf>
    <xf fontId="7" fillId="18" borderId="91" xfId="0">
      <alignment horizontal="center" vertical="center" wrapText="false"/>
    </xf>
    <xf fontId="8" fillId="18" borderId="91" xfId="0">
      <alignment horizontal="center" vertical="center"/>
    </xf>
    <xf fontId="11" fillId="18" borderId="91" xfId="0">
      <alignment horizontal="center" vertical="center" wrapText="false"/>
    </xf>
    <xf fontId="8" fillId="18" borderId="92" xfId="0">
      <alignment horizontal="center" vertical="center" wrapText="true"/>
    </xf>
    <xf fontId="5" fillId="13" borderId="34" xfId="0">
      <alignment horizontal="center" vertical="center" textRotation="0" indent="0" justifyLastLine="false" shrinkToFit="false"/>
    </xf>
    <xf fontId="5" fillId="13" borderId="1" xfId="0">
      <alignment horizontal="center" vertical="center" textRotation="0" indent="0" justifyLastLine="false" shrinkToFit="false"/>
    </xf>
    <xf fontId="8" fillId="18" borderId="1" xfId="0">
      <alignment horizontal="center" vertical="center"/>
    </xf>
    <xf fontId="26" fillId="0" borderId="91" xfId="0">
      <alignment vertical="center"/>
    </xf>
    <xf fontId="5" fillId="0" borderId="1" xfId="0">
      <alignment vertical="center"/>
    </xf>
    <xf fontId="26" fillId="0" borderId="76" xfId="0">
      <alignment vertical="center"/>
    </xf>
    <xf fontId="8" fillId="54" borderId="92" xfId="0">
      <alignment horizontal="center" vertical="center" wrapText="true"/>
    </xf>
    <xf fontId="8" fillId="17" borderId="1" xfId="0">
      <alignment horizontal="center" vertical="center"/>
    </xf>
    <xf fontId="5" fillId="13" borderId="34" xfId="0">
      <alignment horizontal="center" vertical="center"/>
    </xf>
    <xf fontId="7" fillId="21" borderId="91" xfId="0">
      <alignment horizontal="center" vertical="center" wrapText="false"/>
    </xf>
    <xf fontId="8" fillId="21" borderId="91" xfId="0">
      <alignment horizontal="center" vertical="center"/>
    </xf>
    <xf fontId="7" fillId="56" borderId="91" xfId="0">
      <alignment horizontal="center" vertical="center" wrapText="false"/>
    </xf>
    <xf fontId="8" fillId="56" borderId="91" xfId="0">
      <alignment horizontal="center" vertical="center"/>
    </xf>
    <xf fontId="8" fillId="56" borderId="92" xfId="0">
      <alignment horizontal="center" vertical="center" wrapText="true"/>
    </xf>
    <xf fontId="5" fillId="26" borderId="34" xfId="0">
      <alignment horizontal="center" vertical="center"/>
    </xf>
    <xf fontId="5" fillId="26" borderId="1" xfId="0">
      <alignment horizontal="center" vertical="center"/>
    </xf>
    <xf fontId="8" fillId="21" borderId="1" xfId="0">
      <alignment horizontal="center" vertical="center"/>
    </xf>
    <xf fontId="5" fillId="26" borderId="34" xfId="0">
      <alignment horizontal="center" vertical="center" textRotation="0" indent="0" justifyLastLine="false" shrinkToFit="false"/>
    </xf>
    <xf fontId="5" fillId="26" borderId="1" xfId="0">
      <alignment horizontal="center" vertical="center" textRotation="0" indent="0" justifyLastLine="false" shrinkToFit="false"/>
    </xf>
    <xf fontId="0" fillId="0" borderId="76" xfId="0">
      <alignment vertical="center"/>
    </xf>
    <xf fontId="8" fillId="21" borderId="92" xfId="0">
      <alignment horizontal="center" vertical="center" wrapText="true"/>
    </xf>
    <xf fontId="8" fillId="56" borderId="34" xfId="0">
      <alignment horizontal="center" vertical="center"/>
    </xf>
    <xf fontId="8" fillId="56" borderId="1" xfId="0">
      <alignment horizontal="center" vertical="center"/>
    </xf>
    <xf numFmtId="0" fontId="8" fillId="21" borderId="92" xfId="0">
      <alignment horizontal="center" vertical="center" wrapText="true"/>
    </xf>
    <xf numFmtId="0" fontId="8" fillId="56" borderId="92" xfId="0">
      <alignment horizontal="center" vertical="center" wrapText="true"/>
    </xf>
    <xf numFmtId="0" fontId="8" fillId="21" borderId="91" xfId="0">
      <alignment horizontal="center" vertical="center"/>
    </xf>
    <xf fontId="22" fillId="25" borderId="91" xfId="0">
      <alignment horizontal="center" vertical="center" wrapText="false"/>
    </xf>
    <xf fontId="8" fillId="25" borderId="91" xfId="0">
      <alignment horizontal="center" vertical="center"/>
    </xf>
    <xf fontId="7" fillId="25" borderId="91" xfId="0">
      <alignment horizontal="center" vertical="center" wrapText="false"/>
    </xf>
    <xf fontId="8" fillId="25" borderId="92" xfId="0">
      <alignment horizontal="center" vertical="center" wrapText="true"/>
    </xf>
    <xf fontId="5" fillId="40" borderId="34" xfId="0">
      <alignment horizontal="center" vertical="center"/>
    </xf>
    <xf fontId="5" fillId="40" borderId="1" xfId="0">
      <alignment horizontal="center" vertical="center"/>
    </xf>
    <xf fontId="8" fillId="25" borderId="1" xfId="0">
      <alignment horizontal="center" vertical="center"/>
    </xf>
    <xf fontId="27" fillId="0" borderId="91" xfId="0">
      <alignment vertical="center"/>
    </xf>
    <xf fontId="28" fillId="25" borderId="91" xfId="0">
      <alignment horizontal="center" vertical="center"/>
    </xf>
    <xf fontId="5" fillId="40" borderId="34" xfId="0">
      <alignment horizontal="center" vertical="center" textRotation="0" indent="0" justifyLastLine="false" shrinkToFit="false"/>
    </xf>
    <xf fontId="5" fillId="40" borderId="1" xfId="0">
      <alignment horizontal="center" vertical="center" textRotation="0" indent="0" justifyLastLine="false" shrinkToFit="false"/>
    </xf>
    <xf fontId="22" fillId="32" borderId="91" xfId="0">
      <alignment horizontal="center" vertical="center" wrapText="false"/>
    </xf>
    <xf fontId="8" fillId="32" borderId="91" xfId="0">
      <alignment horizontal="center" vertical="center"/>
    </xf>
    <xf fontId="5" fillId="46" borderId="34" xfId="0">
      <alignment horizontal="center" vertical="center" textRotation="0" indent="0" justifyLastLine="false" shrinkToFit="false"/>
    </xf>
    <xf fontId="5" fillId="46" borderId="1" xfId="0">
      <alignment horizontal="center" vertical="center" textRotation="0" indent="0" justifyLastLine="false" shrinkToFit="false"/>
    </xf>
    <xf fontId="8" fillId="32" borderId="1" xfId="0">
      <alignment horizontal="center" vertical="center"/>
    </xf>
    <xf fontId="8" fillId="32" borderId="76" xfId="0">
      <alignment horizontal="center" vertical="center"/>
    </xf>
    <xf fontId="8" fillId="32" borderId="92" xfId="0">
      <alignment horizontal="center" vertical="center" wrapText="true"/>
    </xf>
    <xf fontId="5" fillId="46" borderId="1" xfId="0">
      <alignment horizontal="center" vertical="center"/>
    </xf>
    <xf fontId="22" fillId="31" borderId="91" xfId="0">
      <alignment horizontal="center" vertical="center" wrapText="false"/>
    </xf>
    <xf fontId="8" fillId="31" borderId="91" xfId="0">
      <alignment horizontal="center" vertical="center"/>
    </xf>
    <xf fontId="7" fillId="31" borderId="91" xfId="0">
      <alignment horizontal="center" vertical="center" wrapText="false"/>
    </xf>
    <xf fontId="29" fillId="31" borderId="91" xfId="0">
      <alignment horizontal="center" vertical="center" wrapText="false"/>
    </xf>
    <xf fontId="8" fillId="31" borderId="92" xfId="0">
      <alignment horizontal="center" vertical="center" wrapText="true"/>
    </xf>
    <xf fontId="5" fillId="49" borderId="34" xfId="0">
      <alignment horizontal="center" vertical="center" textRotation="0" indent="0" justifyLastLine="false" shrinkToFit="false"/>
    </xf>
    <xf fontId="5" fillId="49" borderId="1" xfId="0">
      <alignment horizontal="center" vertical="center" textRotation="0" indent="0" justifyLastLine="false" shrinkToFit="false"/>
    </xf>
    <xf fontId="8" fillId="31" borderId="1" xfId="0">
      <alignment horizontal="center" vertical="center"/>
    </xf>
    <xf fontId="7" fillId="30" borderId="91" xfId="0">
      <alignment horizontal="center" vertical="center" wrapText="false"/>
    </xf>
    <xf fontId="8" fillId="30" borderId="91" xfId="0">
      <alignment horizontal="center" vertical="center"/>
    </xf>
    <xf fontId="18" fillId="57" borderId="91" xfId="0">
      <alignment horizontal="center" vertical="center" textRotation="0" indent="0" justifyLastLine="false" shrinkToFit="false"/>
    </xf>
    <xf fontId="8" fillId="30" borderId="92" xfId="0">
      <alignment horizontal="center" vertical="center" wrapText="true"/>
    </xf>
    <xf fontId="5" fillId="57" borderId="34" xfId="0">
      <alignment horizontal="center" vertical="center" textRotation="0" indent="0" justifyLastLine="false" shrinkToFit="false"/>
    </xf>
    <xf fontId="5" fillId="57" borderId="1" xfId="0">
      <alignment horizontal="center" vertical="center" textRotation="0" indent="0" justifyLastLine="false" shrinkToFit="false"/>
    </xf>
    <xf fontId="8" fillId="30" borderId="1" xfId="0">
      <alignment horizontal="center" vertical="center"/>
    </xf>
    <xf fontId="8" fillId="30" borderId="76" xfId="0">
      <alignment horizontal="center" vertical="center"/>
    </xf>
    <xf fontId="8" fillId="45" borderId="162" xfId="0">
      <alignment horizontal="center" vertical="center" wrapText="true"/>
    </xf>
    <xf fontId="8" fillId="45" borderId="1" xfId="0">
      <alignment horizontal="center" vertical="center"/>
    </xf>
    <xf fontId="11" fillId="37" borderId="91" xfId="0">
      <alignment horizontal="center" vertical="center" wrapText="false"/>
    </xf>
    <xf fontId="8" fillId="37" borderId="91" xfId="0">
      <alignment horizontal="center" vertical="center"/>
    </xf>
    <xf fontId="7" fillId="37" borderId="91" xfId="0">
      <alignment horizontal="center" vertical="center" wrapText="false"/>
    </xf>
    <xf fontId="8" fillId="37" borderId="92" xfId="0">
      <alignment horizontal="center" vertical="center" wrapText="true"/>
    </xf>
    <xf fontId="5" fillId="50" borderId="34" xfId="0">
      <alignment horizontal="center" vertical="center" textRotation="0" indent="0" justifyLastLine="false" shrinkToFit="false"/>
    </xf>
    <xf fontId="5" fillId="50" borderId="1" xfId="0">
      <alignment horizontal="center" vertical="center" textRotation="0" indent="0" justifyLastLine="false" shrinkToFit="false"/>
    </xf>
    <xf fontId="8" fillId="37" borderId="1" xfId="0">
      <alignment horizontal="center" vertical="center"/>
    </xf>
    <xf fontId="22" fillId="37" borderId="91" xfId="0">
      <alignment horizontal="center" vertical="center" wrapText="false"/>
    </xf>
    <xf fontId="5" fillId="10" borderId="1" xfId="0">
      <alignment vertical="center"/>
    </xf>
    <xf fontId="11" fillId="44" borderId="91" xfId="0">
      <alignment horizontal="center" vertical="center" wrapText="false"/>
    </xf>
    <xf fontId="8" fillId="44" borderId="91" xfId="0">
      <alignment horizontal="center" vertical="center"/>
    </xf>
    <xf fontId="7" fillId="48" borderId="91" xfId="0">
      <alignment horizontal="center" vertical="center" wrapText="false"/>
    </xf>
    <xf fontId="8" fillId="48" borderId="91" xfId="0">
      <alignment horizontal="center" vertical="center"/>
    </xf>
    <xf fontId="11" fillId="48" borderId="91" xfId="0">
      <alignment horizontal="center" vertical="center" wrapText="false"/>
    </xf>
    <xf fontId="8" fillId="48" borderId="92" xfId="0">
      <alignment horizontal="center" vertical="center" wrapText="true"/>
    </xf>
    <xf fontId="5" fillId="51" borderId="34" xfId="0">
      <alignment horizontal="center" vertical="center" textRotation="0" indent="0" justifyLastLine="false" shrinkToFit="false"/>
    </xf>
    <xf fontId="5" fillId="51" borderId="1" xfId="0">
      <alignment horizontal="center" vertical="center" textRotation="0" indent="0" justifyLastLine="false" shrinkToFit="false"/>
    </xf>
    <xf fontId="8" fillId="44" borderId="1" xfId="0">
      <alignment horizontal="center" vertical="center"/>
    </xf>
    <xf fontId="8" fillId="44" borderId="76" xfId="0">
      <alignment horizontal="center" vertical="center"/>
    </xf>
    <xf fontId="30" fillId="0" borderId="91" xfId="0">
      <alignment vertical="center"/>
    </xf>
    <xf fontId="5" fillId="0" borderId="91" xfId="0">
      <alignment vertical="center"/>
    </xf>
    <xf fontId="22" fillId="43" borderId="91" xfId="0">
      <alignment horizontal="center" vertical="center" wrapText="false"/>
    </xf>
    <xf fontId="8" fillId="43" borderId="91" xfId="0">
      <alignment horizontal="center" vertical="center"/>
    </xf>
    <xf fontId="7" fillId="43" borderId="91" xfId="0">
      <alignment horizontal="center" vertical="center" wrapText="false"/>
    </xf>
    <xf fontId="18" fillId="58" borderId="91" xfId="0">
      <alignment horizontal="center" vertical="center" textRotation="0" indent="0" justifyLastLine="false" shrinkToFit="false"/>
    </xf>
    <xf fontId="8" fillId="43" borderId="92" xfId="0">
      <alignment horizontal="center" vertical="center" wrapText="true"/>
    </xf>
    <xf fontId="5" fillId="58" borderId="34" xfId="0">
      <alignment horizontal="center" vertical="center"/>
    </xf>
    <xf fontId="5" fillId="58" borderId="1" xfId="0">
      <alignment horizontal="center" vertical="center"/>
    </xf>
    <xf fontId="5" fillId="15" borderId="1" xfId="0">
      <alignment vertical="center"/>
    </xf>
    <xf fontId="8" fillId="44" borderId="92" xfId="0">
      <alignment horizontal="center" vertical="center" wrapText="true"/>
    </xf>
    <xf fontId="7" fillId="44" borderId="91" xfId="0">
      <alignment horizontal="center" vertical="center" wrapText="false"/>
    </xf>
    <xf fontId="5" fillId="51" borderId="34" xfId="0">
      <alignment horizontal="center" vertical="center"/>
    </xf>
    <xf fontId="5" fillId="51" borderId="1" xfId="0">
      <alignment horizontal="center" vertical="center"/>
    </xf>
    <xf fontId="8" fillId="44" borderId="102" xfId="0">
      <alignment horizontal="center" vertical="center"/>
    </xf>
    <xf fontId="8" fillId="44" borderId="163" xfId="0">
      <alignment horizontal="center" vertical="center"/>
    </xf>
    <xf fontId="5" fillId="10" borderId="163" xfId="0">
      <alignment vertical="center"/>
    </xf>
    <xf fontId="0" fillId="0" borderId="103" xfId="0">
      <alignment vertical="center"/>
    </xf>
    <xf fontId="4" fillId="7" borderId="164" xfId="0">
      <alignment horizontal="center" vertical="center" textRotation="0" indent="0" justifyLastLine="false" shrinkToFit="false"/>
    </xf>
    <xf fontId="4" fillId="7" borderId="145" xfId="0">
      <alignment horizontal="center" vertical="center" textRotation="0" indent="0" justifyLastLine="false" shrinkToFit="false"/>
    </xf>
    <xf fontId="0" fillId="0" borderId="145" xfId="0">
      <alignment vertical="center"/>
    </xf>
    <xf fontId="6" fillId="8" borderId="165" xfId="0">
      <alignment horizontal="center" vertical="center"/>
    </xf>
    <xf fontId="0" fillId="0" borderId="166" xfId="0">
      <alignment vertical="center"/>
    </xf>
    <xf fontId="0" fillId="0" borderId="167" xfId="0">
      <alignment vertical="center"/>
    </xf>
    <xf fontId="6" fillId="11" borderId="20" xfId="0">
      <alignment horizontal="center" vertical="center" textRotation="0" wrapText="true" indent="0" justifyLastLine="false" shrinkToFit="false"/>
    </xf>
    <xf fontId="8" fillId="12" borderId="28" xfId="0">
      <alignment horizontal="center" vertical="center"/>
    </xf>
    <xf fontId="8" fillId="12" borderId="17" xfId="0">
      <alignment horizontal="center" vertical="center"/>
    </xf>
    <xf fontId="8" fillId="12" borderId="168" xfId="0">
      <alignment horizontal="center" vertical="center"/>
    </xf>
    <xf fontId="14" fillId="18" borderId="17" xfId="0">
      <alignment horizontal="center" vertical="center" wrapText="false"/>
    </xf>
    <xf fontId="10" fillId="18" borderId="20" xfId="0">
      <alignment horizontal="center" vertical="center" wrapText="true"/>
    </xf>
    <xf fontId="8" fillId="18" borderId="28" xfId="0">
      <alignment horizontal="center" vertical="center"/>
    </xf>
    <xf fontId="8" fillId="18" borderId="168" xfId="0">
      <alignment horizontal="center" vertical="center"/>
    </xf>
    <xf fontId="10" fillId="17" borderId="20" xfId="0">
      <alignment horizontal="center" vertical="center" wrapText="true"/>
    </xf>
    <xf fontId="8" fillId="17" borderId="28" xfId="0">
      <alignment horizontal="center" vertical="center"/>
    </xf>
    <xf fontId="8" fillId="17" borderId="17" xfId="0">
      <alignment horizontal="center" vertical="center"/>
    </xf>
    <xf fontId="8" fillId="17" borderId="168" xfId="0">
      <alignment horizontal="center" vertical="center"/>
    </xf>
    <xf fontId="10" fillId="21" borderId="28" xfId="0">
      <alignment horizontal="center" vertical="center" wrapText="false"/>
    </xf>
    <xf fontId="10" fillId="21" borderId="20" xfId="0">
      <alignment horizontal="center" vertical="center" wrapText="true"/>
    </xf>
    <xf fontId="8" fillId="21" borderId="28" xfId="0">
      <alignment horizontal="center" vertical="center"/>
    </xf>
    <xf fontId="8" fillId="21" borderId="168" xfId="0">
      <alignment horizontal="center" vertical="center"/>
    </xf>
    <xf fontId="0" fillId="0" borderId="28" xfId="0">
      <alignment vertical="center"/>
    </xf>
    <xf fontId="10" fillId="25" borderId="28" xfId="0">
      <alignment horizontal="center" vertical="center" wrapText="false"/>
    </xf>
    <xf fontId="10" fillId="25" borderId="17" xfId="0">
      <alignment horizontal="center" vertical="center" wrapText="false"/>
    </xf>
    <xf fontId="10" fillId="25" borderId="17" xfId="0">
      <alignment horizontal="center" vertical="center"/>
    </xf>
    <xf fontId="14" fillId="25" borderId="17" xfId="0">
      <alignment horizontal="center" vertical="center"/>
    </xf>
    <xf fontId="14" fillId="25" borderId="17" xfId="0">
      <alignment horizontal="center" vertical="center" wrapText="false"/>
    </xf>
    <xf fontId="10" fillId="25" borderId="20" xfId="0">
      <alignment horizontal="center" vertical="center" wrapText="true"/>
    </xf>
    <xf fontId="8" fillId="25" borderId="28" xfId="0">
      <alignment horizontal="center" vertical="center"/>
    </xf>
    <xf fontId="8" fillId="25" borderId="17" xfId="0">
      <alignment horizontal="center" vertical="center"/>
    </xf>
    <xf fontId="8" fillId="25" borderId="168" xfId="0">
      <alignment horizontal="center" vertical="center"/>
    </xf>
    <xf fontId="10" fillId="32" borderId="28" xfId="0">
      <alignment horizontal="center" vertical="center" wrapText="false"/>
    </xf>
    <xf fontId="31" fillId="32" borderId="17" xfId="0">
      <alignment horizontal="center" vertical="center" wrapText="false"/>
    </xf>
    <xf fontId="10" fillId="32" borderId="20" xfId="0">
      <alignment horizontal="center" vertical="center" wrapText="true"/>
    </xf>
    <xf fontId="26" fillId="46" borderId="28" xfId="0">
      <alignment horizontal="center" vertical="center" textRotation="0" indent="0" justifyLastLine="false" shrinkToFit="false"/>
    </xf>
    <xf fontId="26" fillId="46" borderId="17" xfId="0">
      <alignment horizontal="center" vertical="center" textRotation="0" indent="0" justifyLastLine="false" shrinkToFit="false"/>
    </xf>
    <xf fontId="8" fillId="32" borderId="17" xfId="0">
      <alignment horizontal="center" vertical="center"/>
    </xf>
    <xf fontId="8" fillId="32" borderId="168" xfId="0">
      <alignment horizontal="center" vertical="center"/>
    </xf>
    <xf fontId="0" fillId="46" borderId="28" xfId="0">
      <alignment horizontal="center" vertical="center" textRotation="0" indent="0" justifyLastLine="false" shrinkToFit="false"/>
    </xf>
    <xf fontId="0" fillId="46" borderId="17" xfId="0">
      <alignment horizontal="center" vertical="center" textRotation="0" indent="0" justifyLastLine="false" shrinkToFit="false"/>
    </xf>
    <xf fontId="10" fillId="31" borderId="28" xfId="0">
      <alignment horizontal="center" vertical="center" wrapText="false"/>
    </xf>
    <xf fontId="10" fillId="39" borderId="17" xfId="0">
      <alignment horizontal="center" vertical="center"/>
    </xf>
    <xf fontId="10" fillId="31" borderId="20" xfId="0">
      <alignment horizontal="center" vertical="center" wrapText="true"/>
    </xf>
    <xf fontId="8" fillId="31" borderId="28" xfId="0">
      <alignment horizontal="center" vertical="center"/>
    </xf>
    <xf fontId="8" fillId="31" borderId="168" xfId="0">
      <alignment horizontal="center" vertical="center"/>
    </xf>
    <xf fontId="7" fillId="31" borderId="28" xfId="0">
      <alignment horizontal="center" vertical="center" wrapText="false"/>
    </xf>
    <xf fontId="12" fillId="0" borderId="28" xfId="0">
      <alignment vertical="center" wrapText="false"/>
    </xf>
    <xf fontId="10" fillId="39" borderId="17" xfId="0">
      <alignment horizontal="center" vertical="center" wrapText="false"/>
    </xf>
    <xf fontId="0" fillId="0" borderId="168" xfId="0">
      <alignment vertical="center"/>
    </xf>
    <xf fontId="10" fillId="37" borderId="28" xfId="0">
      <alignment horizontal="center" vertical="center" wrapText="false"/>
    </xf>
    <xf fontId="10" fillId="37" borderId="20" xfId="0">
      <alignment horizontal="center" vertical="center" wrapText="true"/>
    </xf>
    <xf fontId="8" fillId="37" borderId="28" xfId="0">
      <alignment horizontal="center" vertical="center"/>
    </xf>
    <xf fontId="8" fillId="37" borderId="168" xfId="0">
      <alignment horizontal="center" vertical="center"/>
    </xf>
    <xf fontId="10" fillId="45" borderId="28" xfId="0">
      <alignment horizontal="center" vertical="center" wrapText="false"/>
    </xf>
    <xf fontId="10" fillId="53" borderId="17" xfId="0">
      <alignment horizontal="center" vertical="center" wrapText="false"/>
    </xf>
    <xf fontId="10" fillId="45" borderId="20" xfId="0">
      <alignment horizontal="center" vertical="center" wrapText="true"/>
    </xf>
    <xf fontId="8" fillId="45" borderId="28" xfId="0">
      <alignment horizontal="center" vertical="center"/>
    </xf>
    <xf fontId="8" fillId="45" borderId="168" xfId="0">
      <alignment horizontal="center" vertical="center"/>
    </xf>
    <xf fontId="14" fillId="42" borderId="17" xfId="0">
      <alignment horizontal="center" vertical="center" wrapText="false"/>
    </xf>
    <xf fontId="10" fillId="42" borderId="20" xfId="0">
      <alignment horizontal="center" vertical="center" wrapText="true"/>
    </xf>
    <xf fontId="8" fillId="42" borderId="28" xfId="0">
      <alignment horizontal="center" vertical="center"/>
    </xf>
    <xf fontId="8" fillId="42" borderId="17" xfId="0">
      <alignment horizontal="center" vertical="center"/>
    </xf>
    <xf fontId="8" fillId="42" borderId="168" xfId="0">
      <alignment horizontal="center" vertical="center"/>
    </xf>
    <xf fontId="10" fillId="44" borderId="28" xfId="0">
      <alignment horizontal="center" vertical="center" wrapText="false"/>
    </xf>
    <xf fontId="10" fillId="48" borderId="17" xfId="0">
      <alignment horizontal="center" vertical="center" wrapText="false"/>
    </xf>
    <xf fontId="10" fillId="48" borderId="17" xfId="0">
      <alignment horizontal="center" vertical="center"/>
    </xf>
    <xf fontId="14" fillId="48" borderId="17" xfId="0">
      <alignment horizontal="center" vertical="center" wrapText="false"/>
    </xf>
    <xf fontId="10" fillId="48" borderId="20" xfId="0">
      <alignment horizontal="center" vertical="center" wrapText="true"/>
    </xf>
    <xf fontId="8" fillId="48" borderId="28" xfId="0">
      <alignment horizontal="center" vertical="center"/>
    </xf>
    <xf fontId="8" fillId="44" borderId="168" xfId="0">
      <alignment horizontal="center" vertical="center"/>
    </xf>
    <xf fontId="14" fillId="44" borderId="17" xfId="0">
      <alignment horizontal="center" vertical="center" wrapText="false"/>
    </xf>
    <xf fontId="10" fillId="44" borderId="20" xfId="0">
      <alignment horizontal="center" vertical="center" wrapText="true"/>
    </xf>
    <xf fontId="8" fillId="43" borderId="168" xfId="0">
      <alignment horizontal="center" vertical="center"/>
    </xf>
    <xf fontId="7" fillId="44" borderId="169" xfId="0">
      <alignment horizontal="center" vertical="center" wrapText="false"/>
    </xf>
    <xf fontId="8" fillId="48" borderId="169" xfId="0">
      <alignment horizontal="center" vertical="center"/>
    </xf>
    <xf fontId="8" fillId="48" borderId="170" xfId="0">
      <alignment horizontal="center" vertical="center"/>
    </xf>
    <xf fontId="8" fillId="44" borderId="170" xfId="0">
      <alignment horizontal="center" vertical="center"/>
    </xf>
    <xf fontId="8" fillId="44" borderId="171" xfId="0">
      <alignment horizontal="center" vertical="center"/>
    </xf>
    <xf fontId="6" fillId="8" borderId="172" xfId="0">
      <alignment horizontal="center" vertical="center"/>
    </xf>
    <xf fontId="0" fillId="0" borderId="173" xfId="0">
      <alignment vertical="center"/>
    </xf>
    <xf fontId="0" fillId="0" borderId="174" xfId="0">
      <alignment vertical="center"/>
    </xf>
    <xf fontId="7" fillId="11" borderId="85" xfId="0">
      <alignment horizontal="center" vertical="center" textRotation="0" wrapText="false" indent="0" justifyLastLine="false" shrinkToFit="false"/>
    </xf>
    <xf fontId="6" fillId="11" borderId="162" xfId="0">
      <alignment horizontal="center" vertical="center" textRotation="0" wrapText="true" indent="0" justifyLastLine="false" shrinkToFit="false"/>
    </xf>
    <xf fontId="8" fillId="12" borderId="175" xfId="0">
      <alignment horizontal="center" vertical="center"/>
    </xf>
    <xf fontId="8" fillId="12" borderId="91" xfId="0">
      <alignment horizontal="center" vertical="center"/>
    </xf>
    <xf fontId="8" fillId="12" borderId="176" xfId="0">
      <alignment horizontal="center" vertical="center"/>
    </xf>
    <xf fontId="10" fillId="18" borderId="122" xfId="0">
      <alignment horizontal="center" vertical="center" wrapText="false"/>
    </xf>
    <xf fontId="10" fillId="18" borderId="85" xfId="0">
      <alignment horizontal="center" vertical="center" wrapText="false"/>
    </xf>
    <xf fontId="10" fillId="18" borderId="85" xfId="0">
      <alignment horizontal="center" vertical="center"/>
    </xf>
    <xf fontId="14" fillId="18" borderId="85" xfId="0">
      <alignment horizontal="center" vertical="center" wrapText="false"/>
    </xf>
    <xf fontId="10" fillId="18" borderId="162" xfId="0">
      <alignment horizontal="center" vertical="center" wrapText="true"/>
    </xf>
    <xf fontId="8" fillId="18" borderId="175" xfId="0">
      <alignment horizontal="center" vertical="center"/>
    </xf>
    <xf fontId="8" fillId="18" borderId="177" xfId="0">
      <alignment horizontal="center" vertical="center"/>
    </xf>
    <xf fontId="0" fillId="0" borderId="178" xfId="0">
      <alignment vertical="center"/>
    </xf>
    <xf fontId="10" fillId="17" borderId="85" xfId="0">
      <alignment horizontal="center" vertical="center" wrapText="false"/>
    </xf>
    <xf fontId="10" fillId="17" borderId="85" xfId="0">
      <alignment horizontal="center" vertical="center"/>
    </xf>
    <xf fontId="10" fillId="17" borderId="162" xfId="0">
      <alignment horizontal="center" vertical="center" wrapText="true"/>
    </xf>
    <xf fontId="8" fillId="17" borderId="175" xfId="0">
      <alignment horizontal="center" vertical="center"/>
    </xf>
    <xf fontId="8" fillId="17" borderId="91" xfId="0">
      <alignment horizontal="center" vertical="center"/>
    </xf>
    <xf fontId="10" fillId="22" borderId="122" xfId="0">
      <alignment horizontal="center" vertical="center" wrapText="false"/>
    </xf>
    <xf fontId="10" fillId="22" borderId="85" xfId="0">
      <alignment horizontal="center" vertical="center" wrapText="false"/>
    </xf>
    <xf fontId="10" fillId="22" borderId="85" xfId="0">
      <alignment horizontal="center" vertical="center"/>
    </xf>
    <xf fontId="10" fillId="22" borderId="162" xfId="0">
      <alignment horizontal="center" vertical="center" wrapText="true"/>
    </xf>
    <xf fontId="8" fillId="22" borderId="175" xfId="0">
      <alignment horizontal="center" vertical="center"/>
    </xf>
    <xf fontId="8" fillId="22" borderId="91" xfId="0">
      <alignment horizontal="center" vertical="center"/>
    </xf>
    <xf fontId="8" fillId="22" borderId="177" xfId="0">
      <alignment horizontal="center" vertical="center"/>
    </xf>
    <xf numFmtId="0" fontId="10" fillId="22" borderId="85" xfId="0">
      <alignment horizontal="center" vertical="center"/>
    </xf>
    <xf fontId="8" fillId="21" borderId="175" xfId="0">
      <alignment horizontal="center" vertical="center"/>
    </xf>
    <xf fontId="10" fillId="21" borderId="85" xfId="0">
      <alignment horizontal="center" vertical="center" wrapText="false"/>
    </xf>
    <xf numFmtId="0" fontId="10" fillId="21" borderId="85" xfId="0">
      <alignment horizontal="center" vertical="center"/>
    </xf>
    <xf numFmtId="0" fontId="10" fillId="21" borderId="162" xfId="0">
      <alignment horizontal="center" vertical="center" wrapText="true"/>
    </xf>
    <xf fontId="10" fillId="25" borderId="122" xfId="0">
      <alignment horizontal="center" vertical="center" wrapText="false"/>
    </xf>
    <xf fontId="10" fillId="25" borderId="1" xfId="0">
      <alignment horizontal="center" vertical="center" wrapText="false"/>
    </xf>
    <xf fontId="10" fillId="25" borderId="1" xfId="0">
      <alignment horizontal="center" vertical="center"/>
    </xf>
    <xf fontId="14" fillId="25" borderId="1" xfId="0">
      <alignment horizontal="center" vertical="center"/>
    </xf>
    <xf fontId="14" fillId="25" borderId="1" xfId="0">
      <alignment horizontal="center" vertical="center" wrapText="false"/>
    </xf>
    <xf fontId="10" fillId="25" borderId="1" xfId="0">
      <alignment horizontal="center" vertical="center" wrapText="true"/>
    </xf>
    <xf fontId="8" fillId="25" borderId="179" xfId="0">
      <alignment horizontal="center" vertical="center"/>
    </xf>
    <xf fontId="8" fillId="25" borderId="91" xfId="0">
      <alignment horizontal="center" vertical="center"/>
    </xf>
    <xf fontId="8" fillId="25" borderId="176" xfId="0">
      <alignment horizontal="center" vertical="center"/>
    </xf>
    <xf fontId="12" fillId="0" borderId="150" xfId="0">
      <alignment vertical="center" wrapText="false"/>
    </xf>
    <xf fontId="26" fillId="14" borderId="176" xfId="0">
      <alignment vertical="center"/>
    </xf>
    <xf fontId="32" fillId="14" borderId="180" xfId="0">
      <alignment vertical="center" wrapText="false"/>
    </xf>
    <xf fontId="10" fillId="36" borderId="1" xfId="0">
      <alignment horizontal="center" vertical="center"/>
    </xf>
    <xf fontId="10" fillId="25" borderId="1" xfId="0">
      <alignment horizontal="center" vertical="center"/>
    </xf>
    <xf fontId="10" fillId="36" borderId="1" xfId="0">
      <alignment horizontal="center" vertical="center" wrapText="true"/>
    </xf>
    <xf fontId="8" fillId="25" borderId="181" xfId="0">
      <alignment horizontal="center" vertical="center"/>
    </xf>
    <xf fontId="10" fillId="32" borderId="1" xfId="0">
      <alignment horizontal="center" vertical="center" wrapText="false"/>
    </xf>
    <xf fontId="10" fillId="32" borderId="91" xfId="0">
      <alignment horizontal="center" vertical="center" wrapText="false"/>
    </xf>
    <xf fontId="31" fillId="32" borderId="91" xfId="0">
      <alignment horizontal="center" vertical="center" wrapText="false"/>
    </xf>
    <xf fontId="10" fillId="32" borderId="92" xfId="0">
      <alignment horizontal="center" vertical="center" wrapText="true"/>
    </xf>
    <xf fontId="26" fillId="46" borderId="34" xfId="0">
      <alignment horizontal="center" vertical="center" textRotation="0" indent="0" justifyLastLine="false" shrinkToFit="false"/>
    </xf>
    <xf fontId="26" fillId="46" borderId="1" xfId="0">
      <alignment horizontal="center" vertical="center" textRotation="0" indent="0" justifyLastLine="false" shrinkToFit="false"/>
    </xf>
    <xf fontId="8" fillId="32" borderId="182" xfId="0">
      <alignment horizontal="center" vertical="center"/>
    </xf>
    <xf fontId="10" fillId="28" borderId="90" xfId="0">
      <alignment horizontal="center" vertical="center" wrapText="false"/>
    </xf>
    <xf fontId="10" fillId="28" borderId="183" xfId="0">
      <alignment horizontal="center" vertical="center" wrapText="true"/>
    </xf>
    <xf fontId="5" fillId="47" borderId="184" xfId="0">
      <alignment horizontal="center" vertical="center" textRotation="0" indent="0" justifyLastLine="false" shrinkToFit="false"/>
    </xf>
    <xf fontId="5" fillId="47" borderId="80" xfId="0">
      <alignment horizontal="center" vertical="center" textRotation="0" indent="0" justifyLastLine="false" shrinkToFit="false"/>
    </xf>
    <xf fontId="8" fillId="28" borderId="80" xfId="0">
      <alignment horizontal="center" vertical="center"/>
    </xf>
    <xf fontId="0" fillId="0" borderId="185" xfId="0">
      <alignment vertical="center"/>
    </xf>
    <xf fontId="10" fillId="28" borderId="1" xfId="0">
      <alignment horizontal="center" vertical="center" wrapText="false"/>
    </xf>
    <xf fontId="10" fillId="28" borderId="21" xfId="0">
      <alignment horizontal="center" vertical="center" wrapText="false"/>
    </xf>
    <xf fontId="10" fillId="28" borderId="21" xfId="0">
      <alignment horizontal="center" vertical="center" wrapText="true"/>
    </xf>
    <xf fontId="5" fillId="47" borderId="21" xfId="0">
      <alignment horizontal="center" vertical="center" textRotation="0" indent="0" justifyLastLine="false" shrinkToFit="false"/>
    </xf>
    <xf fontId="5" fillId="47" borderId="1" xfId="0">
      <alignment horizontal="center" vertical="center" textRotation="0" indent="0" justifyLastLine="false" shrinkToFit="false"/>
    </xf>
    <xf fontId="8" fillId="28" borderId="1" xfId="0">
      <alignment horizontal="center" vertical="center"/>
    </xf>
    <xf fontId="10" fillId="31" borderId="150" xfId="0">
      <alignment horizontal="center" vertical="center" wrapText="false"/>
    </xf>
    <xf fontId="10" fillId="31" borderId="153" xfId="0">
      <alignment horizontal="center" vertical="center" wrapText="false"/>
    </xf>
    <xf fontId="10" fillId="31" borderId="153" xfId="0">
      <alignment horizontal="center" vertical="center"/>
    </xf>
    <xf fontId="10" fillId="31" borderId="186" xfId="0">
      <alignment horizontal="center" vertical="center" wrapText="true"/>
    </xf>
    <xf fontId="8" fillId="31" borderId="187" xfId="0">
      <alignment horizontal="center" vertical="center"/>
    </xf>
    <xf fontId="8" fillId="31" borderId="118" xfId="0">
      <alignment horizontal="center" vertical="center"/>
    </xf>
    <xf fontId="8" fillId="31" borderId="176" xfId="0">
      <alignment horizontal="center" vertical="center"/>
    </xf>
    <xf fontId="7" fillId="31" borderId="150" xfId="0">
      <alignment horizontal="center" vertical="center" wrapText="false"/>
    </xf>
    <xf fontId="10" fillId="31" borderId="85" xfId="0">
      <alignment horizontal="center" vertical="center" wrapText="false"/>
    </xf>
    <xf fontId="10" fillId="39" borderId="85" xfId="0">
      <alignment horizontal="center" vertical="center"/>
    </xf>
    <xf fontId="10" fillId="31" borderId="162" xfId="0">
      <alignment horizontal="center" vertical="center" wrapText="true"/>
    </xf>
    <xf fontId="8" fillId="31" borderId="175" xfId="0">
      <alignment horizontal="center" vertical="center"/>
    </xf>
    <xf fontId="10" fillId="39" borderId="85" xfId="0">
      <alignment horizontal="center" vertical="center" wrapText="false"/>
    </xf>
    <xf fontId="8" fillId="39" borderId="91" xfId="0">
      <alignment horizontal="center" vertical="center"/>
    </xf>
    <xf fontId="0" fillId="0" borderId="176" xfId="0">
      <alignment vertical="center"/>
    </xf>
    <xf fontId="10" fillId="31" borderId="188" xfId="0">
      <alignment horizontal="center" vertical="center" wrapText="false"/>
    </xf>
    <xf fontId="10" fillId="37" borderId="122" xfId="0">
      <alignment horizontal="center" vertical="center" wrapText="false"/>
    </xf>
    <xf fontId="10" fillId="37" borderId="85" xfId="0">
      <alignment horizontal="center" vertical="center" wrapText="false"/>
    </xf>
    <xf fontId="10" fillId="37" borderId="85" xfId="0">
      <alignment horizontal="center" vertical="center"/>
    </xf>
    <xf fontId="10" fillId="37" borderId="162" xfId="0">
      <alignment horizontal="center" vertical="center" wrapText="true"/>
    </xf>
    <xf fontId="8" fillId="37" borderId="175" xfId="0">
      <alignment horizontal="center" vertical="center"/>
    </xf>
    <xf fontId="8" fillId="37" borderId="177" xfId="0">
      <alignment horizontal="center" vertical="center"/>
    </xf>
    <xf fontId="0" fillId="0" borderId="189" xfId="0">
      <alignment vertical="center"/>
    </xf>
    <xf fontId="10" fillId="38" borderId="150" xfId="0">
      <alignment horizontal="center" vertical="center" wrapText="false"/>
    </xf>
    <xf fontId="10" fillId="52" borderId="85" xfId="0">
      <alignment horizontal="center" vertical="center" wrapText="false"/>
    </xf>
    <xf fontId="10" fillId="38" borderId="162" xfId="0">
      <alignment horizontal="center" vertical="center" wrapText="true"/>
    </xf>
    <xf fontId="8" fillId="38" borderId="175" xfId="0">
      <alignment horizontal="center" vertical="center"/>
    </xf>
    <xf fontId="8" fillId="38" borderId="91" xfId="0">
      <alignment horizontal="center" vertical="center"/>
    </xf>
    <xf fontId="8" fillId="38" borderId="177" xfId="0">
      <alignment horizontal="center" vertical="center"/>
    </xf>
    <xf fontId="10" fillId="41" borderId="150" xfId="0">
      <alignment horizontal="center" vertical="center" wrapText="false"/>
    </xf>
    <xf fontId="10" fillId="42" borderId="85" xfId="0">
      <alignment horizontal="center" vertical="center" wrapText="false"/>
    </xf>
    <xf fontId="10" fillId="42" borderId="85" xfId="0">
      <alignment horizontal="center" vertical="center"/>
    </xf>
    <xf fontId="14" fillId="42" borderId="85" xfId="0">
      <alignment horizontal="center" vertical="center" wrapText="false"/>
    </xf>
    <xf fontId="10" fillId="42" borderId="162" xfId="0">
      <alignment horizontal="center" vertical="center" wrapText="true"/>
    </xf>
    <xf fontId="8" fillId="42" borderId="175" xfId="0">
      <alignment horizontal="center" vertical="center"/>
    </xf>
    <xf fontId="8" fillId="42" borderId="91" xfId="0">
      <alignment horizontal="center" vertical="center"/>
    </xf>
    <xf fontId="8" fillId="41" borderId="177" xfId="0">
      <alignment horizontal="center" vertical="center"/>
    </xf>
    <xf fontId="10" fillId="44" borderId="122" xfId="0">
      <alignment horizontal="center" vertical="center" wrapText="false"/>
    </xf>
    <xf fontId="10" fillId="48" borderId="85" xfId="0">
      <alignment horizontal="center" vertical="center" wrapText="false"/>
    </xf>
    <xf fontId="10" fillId="48" borderId="85" xfId="0">
      <alignment horizontal="center" vertical="center"/>
    </xf>
    <xf fontId="14" fillId="48" borderId="85" xfId="0">
      <alignment horizontal="center" vertical="center" wrapText="false"/>
    </xf>
    <xf fontId="10" fillId="48" borderId="162" xfId="0">
      <alignment horizontal="center" vertical="center" wrapText="true"/>
    </xf>
    <xf fontId="8" fillId="48" borderId="175" xfId="0">
      <alignment horizontal="center" vertical="center"/>
    </xf>
    <xf fontId="8" fillId="44" borderId="176" xfId="0">
      <alignment horizontal="center" vertical="center"/>
    </xf>
    <xf fontId="10" fillId="44" borderId="85" xfId="0">
      <alignment horizontal="center" vertical="center"/>
    </xf>
    <xf fontId="14" fillId="44" borderId="85" xfId="0">
      <alignment horizontal="center" vertical="center" wrapText="false"/>
    </xf>
    <xf fontId="10" fillId="44" borderId="162" xfId="0">
      <alignment horizontal="center" vertical="center" wrapText="true"/>
    </xf>
    <xf fontId="10" fillId="43" borderId="150" xfId="0">
      <alignment horizontal="center" vertical="center" wrapText="false"/>
    </xf>
    <xf fontId="8" fillId="43" borderId="176" xfId="0">
      <alignment horizontal="center" vertical="center"/>
    </xf>
    <xf fontId="10" fillId="44" borderId="85" xfId="0">
      <alignment horizontal="center" vertical="center" wrapText="false"/>
    </xf>
    <xf fontId="6" fillId="6" borderId="0" xfId="0">
      <alignment horizontal="left" vertical="center" wrapText="true"/>
    </xf>
    <xf fontId="4" fillId="5" borderId="143" xfId="0">
      <alignment horizontal="center" vertical="center" textRotation="0" indent="0" justifyLastLine="false" shrinkToFit="false"/>
    </xf>
    <xf fontId="6" fillId="6" borderId="145" xfId="0">
      <alignment horizontal="center" vertical="center"/>
    </xf>
    <xf fontId="0" fillId="0" borderId="190" xfId="0">
      <alignment vertical="center"/>
    </xf>
    <xf fontId="6" fillId="16" borderId="85" xfId="0">
      <alignment horizontal="center" vertical="center" textRotation="0" indent="0" justifyLastLine="false" shrinkToFit="false"/>
    </xf>
    <xf fontId="6" fillId="11" borderId="148" xfId="0">
      <alignment horizontal="center" vertical="center" textRotation="0" indent="0" justifyLastLine="false" shrinkToFit="false"/>
    </xf>
    <xf fontId="8" fillId="12" borderId="77" xfId="0">
      <alignment horizontal="center" vertical="center"/>
    </xf>
    <xf fontId="11" fillId="37" borderId="85" xfId="0">
      <alignment horizontal="center" vertical="center" wrapText="false"/>
    </xf>
    <xf fontId="8" fillId="37" borderId="148" xfId="0">
      <alignment horizontal="center" vertical="center"/>
    </xf>
    <xf fontId="8" fillId="37" borderId="77" xfId="0">
      <alignment horizontal="center" vertical="center"/>
    </xf>
    <xf fontId="8" fillId="37" borderId="87" xfId="0">
      <alignment horizontal="center" vertical="center"/>
    </xf>
    <xf fontId="8" fillId="32" borderId="148" xfId="0">
      <alignment horizontal="center" vertical="center"/>
    </xf>
    <xf fontId="8" fillId="32" borderId="77" xfId="0">
      <alignment horizontal="center" vertical="center"/>
    </xf>
    <xf fontId="8" fillId="31" borderId="148" xfId="0">
      <alignment horizontal="center" vertical="center"/>
    </xf>
    <xf fontId="8" fillId="31" borderId="77" xfId="0">
      <alignment horizontal="center" vertical="center"/>
    </xf>
    <xf fontId="7" fillId="20" borderId="122" xfId="0">
      <alignment horizontal="center" vertical="center" wrapText="false"/>
    </xf>
    <xf fontId="8" fillId="20" borderId="122" xfId="0">
      <alignment horizontal="center" vertical="center"/>
    </xf>
    <xf fontId="5" fillId="12" borderId="87" xfId="0">
      <alignment horizontal="center" vertical="center"/>
    </xf>
    <xf fontId="8" fillId="12" borderId="87" xfId="0">
      <alignment horizontal="center" vertical="center"/>
    </xf>
    <xf fontId="7" fillId="12" borderId="155" xfId="0">
      <alignment horizontal="center" vertical="center" wrapText="false"/>
    </xf>
    <xf fontId="8" fillId="12" borderId="148" xfId="0">
      <alignment horizontal="center" vertical="center"/>
    </xf>
    <xf fontId="33" fillId="12" borderId="77" xfId="0">
      <alignment horizontal="center" vertical="center"/>
    </xf>
    <xf fontId="8" fillId="20" borderId="149" xfId="0">
      <alignment horizontal="center" vertical="center"/>
    </xf>
    <xf fontId="0" fillId="0" borderId="191" xfId="0">
      <alignment vertical="center"/>
    </xf>
    <xf fontId="5" fillId="12" borderId="192" xfId="0">
      <alignment horizontal="center" vertical="center"/>
    </xf>
    <xf fontId="5" fillId="12" borderId="193" xfId="0">
      <alignment vertical="center"/>
    </xf>
    <xf fontId="5" fillId="20" borderId="192" xfId="0">
      <alignment horizontal="center" vertical="center"/>
    </xf>
    <xf fontId="8" fillId="20" borderId="0" xfId="0">
      <alignment horizontal="center" vertical="center"/>
    </xf>
    <xf fontId="7" fillId="30" borderId="85" xfId="0">
      <alignment horizontal="center" vertical="center" wrapText="false"/>
    </xf>
    <xf fontId="5" fillId="20" borderId="0" xfId="0">
      <alignment horizontal="center" vertical="center"/>
    </xf>
    <xf fontId="7" fillId="20" borderId="155" xfId="0">
      <alignment horizontal="center" vertical="center" wrapText="false"/>
    </xf>
    <xf fontId="8" fillId="18" borderId="148" xfId="0">
      <alignment horizontal="center" vertical="center"/>
    </xf>
    <xf fontId="8" fillId="18" borderId="77" xfId="0">
      <alignment horizontal="center" vertical="center"/>
    </xf>
    <xf fontId="8" fillId="25" borderId="148" xfId="0">
      <alignment horizontal="center" vertical="center"/>
    </xf>
    <xf fontId="8" fillId="25" borderId="77" xfId="0">
      <alignment horizontal="center" vertical="center"/>
    </xf>
    <xf fontId="34" fillId="25" borderId="77" xfId="0">
      <alignment horizontal="center" vertical="center"/>
    </xf>
    <xf fontId="7" fillId="0" borderId="85" xfId="0">
      <alignment horizontal="center" vertical="center" wrapText="false"/>
    </xf>
    <xf fontId="8" fillId="0" borderId="85" xfId="0">
      <alignment horizontal="center" vertical="center"/>
    </xf>
    <xf fontId="7" fillId="59" borderId="85" xfId="0">
      <alignment horizontal="center" vertical="center" wrapText="false"/>
    </xf>
    <xf fontId="8" fillId="59" borderId="85" xfId="0">
      <alignment horizontal="center" vertical="center"/>
    </xf>
    <xf fontId="11" fillId="59" borderId="85" xfId="0">
      <alignment horizontal="center" vertical="center" wrapText="false"/>
    </xf>
    <xf fontId="8" fillId="59" borderId="148" xfId="0">
      <alignment horizontal="center" vertical="center"/>
    </xf>
    <xf fontId="8" fillId="0" borderId="77" xfId="0">
      <alignment vertical="center"/>
    </xf>
    <xf fontId="8" fillId="0" borderId="149" xfId="0">
      <alignment horizontal="center" vertical="center"/>
    </xf>
    <xf fontId="8" fillId="0" borderId="159" xfId="0">
      <alignment horizontal="center" vertical="center"/>
    </xf>
    <xf fontId="8" fillId="0" borderId="138" xfId="0">
      <alignment vertical="center"/>
    </xf>
    <xf fontId="8" fillId="0" borderId="139" xfId="0">
      <alignment vertical="center"/>
    </xf>
    <xf fontId="35" fillId="4" borderId="0" xfId="0">
      <alignment horizontal="center" vertical="center"/>
    </xf>
    <xf fontId="35" fillId="5" borderId="194" xfId="0">
      <alignment horizontal="center" vertical="center"/>
    </xf>
    <xf fontId="5" fillId="15" borderId="195" xfId="0">
      <alignment vertical="center"/>
    </xf>
    <xf fontId="5" fillId="15" borderId="196" xfId="0">
      <alignment vertical="center"/>
    </xf>
    <xf fontId="8" fillId="4" borderId="0" xfId="0">
      <alignment vertical="center"/>
    </xf>
    <xf numFmtId="49" fontId="8" fillId="4" borderId="0" xfId="0">
      <alignment horizontal="center" vertical="center"/>
    </xf>
    <xf fontId="8" fillId="4" borderId="0" xfId="0">
      <alignment horizontal="center" vertical="center"/>
    </xf>
    <xf fontId="36" fillId="5" borderId="197" xfId="0">
      <alignment horizontal="center" vertical="center"/>
    </xf>
    <xf fontId="36" fillId="5" borderId="17" xfId="0">
      <alignment horizontal="center" vertical="center"/>
    </xf>
    <xf fontId="36" fillId="5" borderId="198" xfId="0">
      <alignment horizontal="center" vertical="center"/>
    </xf>
    <xf fontId="35" fillId="7" borderId="5" xfId="0">
      <alignment horizontal="center" vertical="center"/>
    </xf>
    <xf numFmtId="49" fontId="24" fillId="0" borderId="0" xfId="0">
      <alignment horizontal="center" vertical="center"/>
    </xf>
    <xf fontId="24" fillId="0" borderId="0" xfId="0">
      <alignment horizontal="center" vertical="center"/>
    </xf>
    <xf fontId="36" fillId="4" borderId="0" xfId="0">
      <alignment horizontal="center" vertical="center"/>
    </xf>
    <xf fontId="7" fillId="17" borderId="197" xfId="0">
      <alignment horizontal="center" vertical="center" wrapText="false"/>
    </xf>
    <xf fontId="10" fillId="17" borderId="198" xfId="0">
      <alignment horizontal="center" vertical="center" wrapText="false"/>
    </xf>
    <xf fontId="36" fillId="7" borderId="17" xfId="0">
      <alignment horizontal="center" vertical="center"/>
    </xf>
    <xf fontId="36" fillId="7" borderId="18" xfId="0">
      <alignment horizontal="center" vertical="center"/>
    </xf>
    <xf numFmtId="300" fontId="8" fillId="0" borderId="0" xfId="0">
      <alignment horizontal="center" vertical="center"/>
    </xf>
    <xf fontId="10" fillId="17" borderId="198" xfId="0">
      <alignment horizontal="center" vertical="center" wrapText="true"/>
    </xf>
    <xf numFmtId="49" fontId="8" fillId="0" borderId="0" xfId="0">
      <alignment horizontal="center" vertical="center"/>
    </xf>
    <xf fontId="7" fillId="22" borderId="197" xfId="0">
      <alignment horizontal="center" vertical="center" wrapText="false"/>
    </xf>
    <xf fontId="10" fillId="22" borderId="198" xfId="0">
      <alignment horizontal="center" vertical="center" wrapText="false"/>
    </xf>
    <xf fontId="7" fillId="24" borderId="197" xfId="0">
      <alignment horizontal="center" vertical="center" wrapText="false"/>
    </xf>
    <xf fontId="10" fillId="24" borderId="17" xfId="0">
      <alignment horizontal="center" vertical="center" wrapText="false"/>
    </xf>
    <xf fontId="10" fillId="24" borderId="198" xfId="0">
      <alignment horizontal="center" vertical="center" wrapText="false"/>
    </xf>
    <xf fontId="7" fillId="28" borderId="197" xfId="0">
      <alignment horizontal="center" vertical="center" wrapText="false"/>
    </xf>
    <xf fontId="10" fillId="28" borderId="198" xfId="0">
      <alignment horizontal="center" vertical="center" wrapText="false"/>
    </xf>
    <xf fontId="7" fillId="32" borderId="16" xfId="0">
      <alignment horizontal="center" vertical="center" wrapText="false"/>
    </xf>
    <xf fontId="7" fillId="30" borderId="197" xfId="0">
      <alignment horizontal="center" vertical="center" wrapText="false"/>
    </xf>
    <xf fontId="10" fillId="30" borderId="198" xfId="0">
      <alignment horizontal="center" vertical="center" wrapText="false"/>
    </xf>
    <xf fontId="7" fillId="30" borderId="16" xfId="0">
      <alignment horizontal="center" vertical="center" wrapText="false"/>
    </xf>
    <xf fontId="7" fillId="35" borderId="197" xfId="0">
      <alignment horizontal="center" vertical="center" wrapText="false"/>
    </xf>
    <xf fontId="10" fillId="35" borderId="198" xfId="0">
      <alignment horizontal="center" vertical="center" wrapText="false"/>
    </xf>
    <xf fontId="7" fillId="38" borderId="197" xfId="0">
      <alignment horizontal="center" vertical="center" wrapText="false"/>
    </xf>
    <xf fontId="10" fillId="38" borderId="198" xfId="0">
      <alignment horizontal="center" vertical="center" wrapText="false"/>
    </xf>
    <xf fontId="7" fillId="41" borderId="197" xfId="0">
      <alignment horizontal="center" vertical="center" wrapText="false"/>
    </xf>
    <xf fontId="10" fillId="41" borderId="198" xfId="0">
      <alignment horizontal="center" vertical="center" wrapText="false"/>
    </xf>
    <xf fontId="7" fillId="42" borderId="197" xfId="0">
      <alignment horizontal="center" vertical="center" wrapText="false"/>
    </xf>
    <xf fontId="10" fillId="42" borderId="198" xfId="0">
      <alignment horizontal="center" vertical="center" wrapText="false"/>
    </xf>
    <xf fontId="7" fillId="44" borderId="199" xfId="0">
      <alignment horizontal="center" vertical="center" wrapText="false"/>
    </xf>
    <xf fontId="10" fillId="44" borderId="200" xfId="0">
      <alignment horizontal="center" vertical="center" wrapText="false"/>
    </xf>
    <xf fontId="11" fillId="44" borderId="201" xfId="0">
      <alignment horizontal="center" vertical="center" wrapText="false"/>
    </xf>
    <xf fontId="7" fillId="0" borderId="202" xfId="0">
      <alignment horizontal="center" vertical="center" wrapText="false"/>
    </xf>
    <xf fontId="10" fillId="0" borderId="203" xfId="0">
      <alignment horizontal="center" vertical="center"/>
    </xf>
    <xf fontId="10" fillId="0" borderId="204" xfId="0">
      <alignment horizontal="center" vertical="center"/>
    </xf>
    <xf fontId="11" fillId="0" borderId="141" xfId="0">
      <alignment horizontal="center" vertical="center" wrapText="false"/>
    </xf>
    <xf fontId="10" fillId="0" borderId="205" xfId="0">
      <alignment horizontal="center" vertical="center"/>
    </xf>
    <xf fontId="10" fillId="0" borderId="206" xfId="0">
      <alignment horizontal="center" vertical="center"/>
    </xf>
    <xf fontId="35" fillId="7" borderId="194" xfId="0">
      <alignment horizontal="center" vertical="center"/>
    </xf>
    <xf fontId="26" fillId="0" borderId="195" xfId="0">
      <alignment vertical="center"/>
    </xf>
    <xf fontId="26" fillId="0" borderId="196" xfId="0">
      <alignment vertical="center"/>
    </xf>
    <xf fontId="35" fillId="60" borderId="5" xfId="0">
      <alignment horizontal="center" vertical="center"/>
    </xf>
    <xf fontId="5" fillId="0" borderId="6" xfId="0">
      <alignment vertical="center"/>
    </xf>
    <xf fontId="5" fillId="0" borderId="7" xfId="0">
      <alignment vertical="center"/>
    </xf>
    <xf fontId="5" fillId="0" borderId="195" xfId="0">
      <alignment vertical="center"/>
    </xf>
    <xf fontId="5" fillId="0" borderId="196" xfId="0">
      <alignment vertical="center"/>
    </xf>
    <xf fontId="36" fillId="7" borderId="197" xfId="0">
      <alignment horizontal="center" vertical="center"/>
    </xf>
    <xf fontId="36" fillId="7" borderId="198" xfId="0">
      <alignment horizontal="center" vertical="center"/>
    </xf>
    <xf fontId="36" fillId="60" borderId="17" xfId="0">
      <alignment horizontal="center" vertical="center"/>
    </xf>
    <xf fontId="7" fillId="18" borderId="197" xfId="0">
      <alignment horizontal="center" vertical="center" wrapText="false"/>
    </xf>
    <xf fontId="10" fillId="18" borderId="198" xfId="0">
      <alignment horizontal="center" vertical="center" wrapText="false"/>
    </xf>
    <xf fontId="7" fillId="54" borderId="16" xfId="0">
      <alignment horizontal="center" vertical="center" wrapText="false"/>
    </xf>
    <xf fontId="10" fillId="18" borderId="198" xfId="0">
      <alignment horizontal="center" vertical="center" wrapText="true"/>
    </xf>
    <xf fontId="7" fillId="56" borderId="16" xfId="0">
      <alignment horizontal="center" vertical="center" wrapText="false"/>
    </xf>
    <xf fontId="7" fillId="21" borderId="197" xfId="0">
      <alignment horizontal="center" vertical="center" wrapText="false"/>
    </xf>
    <xf fontId="10" fillId="21" borderId="198" xfId="0">
      <alignment horizontal="center" vertical="center" wrapText="false"/>
    </xf>
    <xf fontId="7" fillId="25" borderId="197" xfId="0">
      <alignment horizontal="center" vertical="center" wrapText="false"/>
    </xf>
    <xf fontId="10" fillId="25" borderId="198" xfId="0">
      <alignment horizontal="center" vertical="center" wrapText="false"/>
    </xf>
    <xf fontId="7" fillId="36" borderId="16" xfId="0">
      <alignment horizontal="center" vertical="center" wrapText="false"/>
    </xf>
    <xf fontId="7" fillId="32" borderId="197" xfId="0">
      <alignment horizontal="center" vertical="center" wrapText="false"/>
    </xf>
    <xf fontId="10" fillId="32" borderId="198" xfId="0">
      <alignment horizontal="center" vertical="center" wrapText="false"/>
    </xf>
    <xf fontId="7" fillId="55" borderId="16" xfId="0">
      <alignment horizontal="center" vertical="center" wrapText="false"/>
    </xf>
    <xf fontId="7" fillId="31" borderId="197" xfId="0">
      <alignment horizontal="center" vertical="center" wrapText="false"/>
    </xf>
    <xf fontId="10" fillId="31" borderId="198" xfId="0">
      <alignment horizontal="center" vertical="center" wrapText="false"/>
    </xf>
    <xf fontId="7" fillId="39" borderId="16" xfId="0">
      <alignment horizontal="center" vertical="center" wrapText="false"/>
    </xf>
    <xf fontId="7" fillId="37" borderId="197" xfId="0">
      <alignment horizontal="center" vertical="center" wrapText="false"/>
    </xf>
    <xf fontId="10" fillId="37" borderId="198" xfId="0">
      <alignment horizontal="center" vertical="center" wrapText="false"/>
    </xf>
    <xf fontId="7" fillId="61" borderId="16" xfId="0">
      <alignment horizontal="center" vertical="center" wrapText="false"/>
    </xf>
    <xf fontId="7" fillId="45" borderId="197" xfId="0">
      <alignment horizontal="center" vertical="center" wrapText="false"/>
    </xf>
    <xf fontId="10" fillId="45" borderId="198" xfId="0">
      <alignment horizontal="center" vertical="center" wrapText="false"/>
    </xf>
    <xf fontId="7" fillId="53" borderId="16" xfId="0">
      <alignment horizontal="center" vertical="center" wrapText="false"/>
    </xf>
    <xf fontId="7" fillId="62" borderId="16" xfId="0">
      <alignment horizontal="center" vertical="center" wrapText="false"/>
    </xf>
    <xf fontId="7" fillId="48" borderId="201" xfId="0">
      <alignment horizontal="center" vertical="center" wrapText="false"/>
    </xf>
    <xf fontId="7" fillId="0" borderId="141" xfId="0">
      <alignment horizontal="center" vertical="center" wrapText="false"/>
    </xf>
    <xf fontId="37" fillId="7" borderId="5" xfId="0">
      <alignment horizontal="center" vertical="center"/>
    </xf>
    <xf fontId="26" fillId="0" borderId="6" xfId="0">
      <alignment vertical="center"/>
    </xf>
    <xf fontId="26" fillId="0" borderId="7" xfId="0">
      <alignment vertical="center"/>
    </xf>
    <xf fontId="38" fillId="7" borderId="17" xfId="0">
      <alignment horizontal="center" vertical="center"/>
    </xf>
    <xf fontId="11" fillId="18" borderId="16" xfId="0">
      <alignment horizontal="center" vertical="center" wrapText="false"/>
    </xf>
    <xf fontId="11" fillId="21" borderId="16" xfId="0">
      <alignment horizontal="center" vertical="center" wrapText="false"/>
    </xf>
    <xf fontId="11" fillId="25" borderId="16" xfId="0">
      <alignment horizontal="center" vertical="center" wrapText="false"/>
    </xf>
    <xf fontId="11" fillId="32" borderId="16" xfId="0">
      <alignment horizontal="center" vertical="center" wrapText="false"/>
    </xf>
    <xf fontId="11" fillId="31" borderId="16" xfId="0">
      <alignment horizontal="center" vertical="center" wrapText="false"/>
    </xf>
    <xf fontId="11" fillId="37" borderId="16" xfId="0">
      <alignment horizontal="center" vertical="center" wrapText="false"/>
    </xf>
    <xf fontId="11" fillId="45" borderId="16" xfId="0">
      <alignment horizontal="center" vertical="center" wrapText="false"/>
    </xf>
    <xf fontId="11" fillId="42" borderId="16" xfId="0">
      <alignment horizontal="center" vertical="center" wrapText="false"/>
    </xf>
    <xf fontId="24" fillId="0" borderId="0" xfId="0">
      <alignment vertical="center" wrapText="true"/>
    </xf>
    <xf fontId="11" fillId="0" borderId="0" xfId="0">
      <alignment vertical="center" wrapText="false"/>
    </xf>
    <xf fontId="4" fillId="7" borderId="0" xfId="0">
      <alignment horizontal="left" vertical="center" textRotation="0" wrapText="true" indent="0" justifyLastLine="false" shrinkToFit="false"/>
    </xf>
    <xf fontId="4" fillId="8" borderId="0" xfId="0">
      <alignment horizontal="left" vertical="center" wrapText="true"/>
    </xf>
    <xf fontId="39" fillId="7" borderId="142" xfId="0">
      <alignment horizontal="center" vertical="center" textRotation="0" indent="0" justifyLastLine="false" shrinkToFit="false"/>
    </xf>
    <xf fontId="4" fillId="8" borderId="145" xfId="0">
      <alignment horizontal="center" vertical="center"/>
    </xf>
    <xf fontId="6" fillId="12" borderId="0" xfId="0">
      <alignment horizontal="center" vertical="center"/>
    </xf>
    <xf fontId="6" fillId="12" borderId="149" xfId="0">
      <alignment horizontal="center" vertical="center"/>
    </xf>
    <xf fontId="6" fillId="25" borderId="0" xfId="0">
      <alignment horizontal="center" vertical="center"/>
    </xf>
    <xf fontId="6" fillId="25" borderId="149" xfId="0">
      <alignment horizontal="center" vertical="center"/>
    </xf>
    <xf fontId="6" fillId="18" borderId="0" xfId="0">
      <alignment horizontal="center" vertical="center"/>
    </xf>
    <xf fontId="6" fillId="18" borderId="149" xfId="0">
      <alignment horizontal="center" vertical="center"/>
    </xf>
    <xf fontId="6" fillId="31" borderId="0" xfId="0">
      <alignment horizontal="center" vertical="center"/>
    </xf>
    <xf fontId="6" fillId="39" borderId="0" xfId="0">
      <alignment horizontal="center" vertical="center"/>
    </xf>
    <xf fontId="6" fillId="31" borderId="149" xfId="0">
      <alignment horizontal="center" vertical="center"/>
    </xf>
    <xf fontId="6" fillId="55" borderId="0" xfId="0">
      <alignment horizontal="center" vertical="center"/>
    </xf>
    <xf fontId="6" fillId="32" borderId="0" xfId="0">
      <alignment horizontal="center" vertical="center"/>
    </xf>
    <xf fontId="6" fillId="32" borderId="149" xfId="0">
      <alignment horizontal="center" vertical="center"/>
    </xf>
    <xf fontId="8" fillId="32" borderId="155" xfId="0">
      <alignment horizontal="center" vertical="center"/>
    </xf>
    <xf fontId="8" fillId="32" borderId="207" xfId="0">
      <alignment horizontal="center" vertical="center" wrapText="true"/>
    </xf>
    <xf fontId="6" fillId="28" borderId="0" xfId="0">
      <alignment horizontal="center" vertical="center"/>
    </xf>
    <xf fontId="7" fillId="28" borderId="150" xfId="0">
      <alignment horizontal="center" vertical="center" wrapText="false"/>
    </xf>
    <xf fontId="8" fillId="28" borderId="150" xfId="0">
      <alignment horizontal="center" vertical="center"/>
    </xf>
    <xf fontId="8" fillId="28" borderId="149" xfId="0">
      <alignment horizontal="center" vertical="center"/>
    </xf>
    <xf fontId="6" fillId="37" borderId="0" xfId="0">
      <alignment horizontal="center" vertical="center"/>
    </xf>
    <xf fontId="6" fillId="37" borderId="149" xfId="0">
      <alignment horizontal="center" vertical="center"/>
    </xf>
    <xf fontId="6" fillId="21" borderId="0" xfId="0">
      <alignment horizontal="center" vertical="center"/>
    </xf>
    <xf fontId="6" fillId="21" borderId="149" xfId="0">
      <alignment horizontal="center" vertical="center"/>
    </xf>
    <xf fontId="7" fillId="63" borderId="85" xfId="0">
      <alignment horizontal="center" vertical="center" wrapText="false"/>
    </xf>
    <xf fontId="34" fillId="21" borderId="148" xfId="0">
      <alignment horizontal="center" vertical="center" wrapText="true"/>
    </xf>
    <xf fontId="6" fillId="44" borderId="0" xfId="0">
      <alignment horizontal="center" vertical="center"/>
    </xf>
    <xf fontId="6" fillId="44" borderId="149" xfId="0">
      <alignment horizontal="center" vertical="center"/>
    </xf>
    <xf fontId="6" fillId="48" borderId="0" xfId="0">
      <alignment horizontal="center" vertical="center"/>
    </xf>
    <xf fontId="6" fillId="45" borderId="0" xfId="0">
      <alignment horizontal="center" vertical="center"/>
    </xf>
    <xf fontId="6" fillId="45" borderId="149" xfId="0">
      <alignment horizontal="center" vertical="center"/>
    </xf>
    <xf fontId="7" fillId="0" borderId="122" xfId="0">
      <alignment horizontal="center" vertical="center" wrapText="false"/>
    </xf>
    <xf fontId="8" fillId="0" borderId="122" xfId="0">
      <alignment horizontal="center" vertical="center"/>
    </xf>
    <xf fontId="11" fillId="0" borderId="122" xfId="0">
      <alignment horizontal="center" vertical="center" wrapText="false"/>
    </xf>
    <xf fontId="8" fillId="0" borderId="123" xfId="0">
      <alignment horizontal="center" vertical="center" wrapText="true"/>
    </xf>
    <xf fontId="6" fillId="0" borderId="77" xfId="0">
      <alignment horizontal="center" vertical="center"/>
    </xf>
    <xf fontId="6" fillId="0" borderId="149" xfId="0">
      <alignment horizontal="center" vertical="center"/>
    </xf>
    <xf fontId="13" fillId="21" borderId="87" xfId="0">
      <alignment horizontal="center" vertical="center"/>
    </xf>
    <xf fontId="8" fillId="21" borderId="87" xfId="0">
      <alignment horizontal="center" vertical="center"/>
    </xf>
    <xf fontId="40" fillId="21" borderId="87" xfId="0">
      <alignment horizontal="center" vertical="center"/>
    </xf>
    <xf fontId="6" fillId="0" borderId="0" xfId="0">
      <alignment vertical="center"/>
    </xf>
    <xf fontId="7" fillId="0" borderId="150" xfId="0">
      <alignment horizontal="center" vertical="center" wrapText="false"/>
    </xf>
    <xf fontId="8" fillId="0" borderId="150" xfId="0">
      <alignment horizontal="center" vertical="center"/>
    </xf>
    <xf fontId="7" fillId="12" borderId="122" xfId="0">
      <alignment horizontal="center" vertical="center" wrapText="false"/>
    </xf>
    <xf fontId="8" fillId="12" borderId="122" xfId="0">
      <alignment horizontal="center" vertical="center"/>
    </xf>
    <xf fontId="7" fillId="12" borderId="85" xfId="0">
      <alignment horizontal="center" vertical="center" wrapText="false"/>
    </xf>
    <xf fontId="8" fillId="12" borderId="85" xfId="0">
      <alignment horizontal="center" vertical="center"/>
    </xf>
    <xf fontId="24" fillId="12" borderId="0" xfId="0">
      <alignment horizontal="center" vertical="center"/>
    </xf>
    <xf fontId="7" fillId="31" borderId="155" xfId="0">
      <alignment horizontal="center" vertical="center" wrapText="false"/>
    </xf>
    <xf fontId="8" fillId="31" borderId="155" xfId="0">
      <alignment horizontal="center" vertical="center"/>
    </xf>
    <xf fontId="8" fillId="31" borderId="207" xfId="0">
      <alignment horizontal="center" vertical="center"/>
    </xf>
    <xf fontId="8" fillId="18" borderId="162" xfId="0">
      <alignment horizontal="center" vertical="center" wrapText="true"/>
    </xf>
    <xf fontId="8" fillId="21" borderId="162" xfId="0">
      <alignment horizontal="center" vertical="center" wrapText="true"/>
    </xf>
    <xf fontId="0" fillId="0" borderId="208" xfId="0">
      <alignment vertical="center"/>
    </xf>
    <xf fontId="8" fillId="21" borderId="176" xfId="0">
      <alignment horizontal="center" vertical="center"/>
    </xf>
    <xf numFmtId="0" fontId="8" fillId="21" borderId="162" xfId="0">
      <alignment horizontal="center" vertical="center" wrapText="true"/>
    </xf>
    <xf fontId="32" fillId="14" borderId="180" xfId="0">
      <alignment vertical="center" wrapText="false"/>
    </xf>
    <xf fontId="26" fillId="14" borderId="180" xfId="0">
      <alignment vertical="center"/>
    </xf>
    <xf numFmtId="0" fontId="8" fillId="21" borderId="85" xfId="0">
      <alignment horizontal="center" vertical="center"/>
    </xf>
    <xf fontId="7" fillId="21" borderId="77" xfId="0">
      <alignment horizontal="center" vertical="center" wrapText="false"/>
    </xf>
    <xf numFmtId="0" fontId="8" fillId="22" borderId="85" xfId="0">
      <alignment horizontal="center" vertical="center"/>
    </xf>
    <xf fontId="7" fillId="22" borderId="77" xfId="0">
      <alignment horizontal="center" vertical="center" wrapText="false"/>
    </xf>
    <xf numFmtId="0" fontId="8" fillId="22" borderId="162" xfId="0">
      <alignment horizontal="center" vertical="center" wrapText="true"/>
    </xf>
    <xf fontId="13" fillId="25" borderId="87" xfId="0">
      <alignment horizontal="center" vertical="center"/>
    </xf>
    <xf fontId="8" fillId="25" borderId="162" xfId="0">
      <alignment horizontal="center" vertical="center" wrapText="true"/>
    </xf>
    <xf fontId="8" fillId="25" borderId="175" xfId="0">
      <alignment horizontal="center" vertical="center"/>
    </xf>
    <xf fontId="17" fillId="0" borderId="150" xfId="0">
      <alignment vertical="center" wrapText="false"/>
    </xf>
    <xf fontId="8" fillId="36" borderId="85" xfId="0">
      <alignment horizontal="center" vertical="center"/>
    </xf>
    <xf fontId="8" fillId="36" borderId="162" xfId="0">
      <alignment horizontal="center" vertical="center" wrapText="true"/>
    </xf>
    <xf fontId="8" fillId="24" borderId="176" xfId="0">
      <alignment horizontal="center" vertical="center"/>
    </xf>
    <xf fontId="7" fillId="32" borderId="209" xfId="0">
      <alignment horizontal="center" vertical="center" wrapText="false"/>
    </xf>
    <xf fontId="8" fillId="32" borderId="209" xfId="0">
      <alignment horizontal="center" vertical="center"/>
    </xf>
    <xf fontId="7" fillId="32" borderId="162" xfId="0">
      <alignment horizontal="center" vertical="center" wrapText="false"/>
    </xf>
    <xf fontId="8" fillId="32" borderId="175" xfId="0">
      <alignment horizontal="center" vertical="center"/>
    </xf>
    <xf fontId="8" fillId="32" borderId="176" xfId="0">
      <alignment horizontal="center" vertical="center"/>
    </xf>
    <xf fontId="17" fillId="0" borderId="154" xfId="0">
      <alignment vertical="center" wrapText="false"/>
    </xf>
    <xf fontId="8" fillId="32" borderId="162" xfId="0">
      <alignment horizontal="center" vertical="center" wrapText="true"/>
    </xf>
    <xf fontId="8" fillId="28" borderId="176" xfId="0">
      <alignment horizontal="center" vertical="center"/>
    </xf>
    <xf fontId="17" fillId="0" borderId="156" xfId="0">
      <alignment vertical="center" wrapText="false"/>
    </xf>
    <xf fontId="8" fillId="31" borderId="162" xfId="0">
      <alignment horizontal="center" vertical="center" wrapText="true"/>
    </xf>
    <xf fontId="8" fillId="31" borderId="150" xfId="0">
      <alignment horizontal="center" vertical="center"/>
    </xf>
    <xf fontId="7" fillId="39" borderId="85" xfId="0">
      <alignment horizontal="center" vertical="center" wrapText="false"/>
    </xf>
    <xf fontId="12" fillId="0" borderId="210" xfId="0">
      <alignment vertical="center" wrapText="false"/>
    </xf>
    <xf fontId="0" fillId="0" borderId="210" xfId="0">
      <alignment vertical="center"/>
    </xf>
    <xf fontId="32" fillId="14" borderId="150" xfId="0">
      <alignment vertical="center" wrapText="false"/>
    </xf>
    <xf fontId="26" fillId="14" borderId="150" xfId="0">
      <alignment vertical="center"/>
    </xf>
    <xf fontId="32" fillId="14" borderId="188" xfId="0">
      <alignment vertical="center" wrapText="false"/>
    </xf>
    <xf fontId="26" fillId="14" borderId="188" xfId="0">
      <alignment vertical="center"/>
    </xf>
    <xf fontId="8" fillId="37" borderId="162" xfId="0">
      <alignment horizontal="center" vertical="center" wrapText="true"/>
    </xf>
    <xf fontId="8" fillId="37" borderId="176" xfId="0">
      <alignment horizontal="center" vertical="center"/>
    </xf>
    <xf fontId="8" fillId="35" borderId="176" xfId="0">
      <alignment horizontal="center" vertical="center"/>
    </xf>
    <xf fontId="8" fillId="61" borderId="85" xfId="0">
      <alignment horizontal="center" vertical="center"/>
    </xf>
    <xf fontId="17" fillId="0" borderId="153" xfId="0">
      <alignment vertical="center" wrapText="false"/>
    </xf>
    <xf fontId="7" fillId="45" borderId="180" xfId="0">
      <alignment horizontal="center" vertical="center" wrapText="false"/>
    </xf>
    <xf fontId="8" fillId="45" borderId="180" xfId="0">
      <alignment horizontal="center" vertical="center"/>
    </xf>
    <xf fontId="8" fillId="45" borderId="175" xfId="0">
      <alignment horizontal="center" vertical="center"/>
    </xf>
    <xf fontId="8" fillId="45" borderId="91" xfId="0">
      <alignment horizontal="center" vertical="center"/>
    </xf>
    <xf fontId="8" fillId="45" borderId="176" xfId="0">
      <alignment horizontal="center" vertical="center"/>
    </xf>
    <xf fontId="7" fillId="64" borderId="150" xfId="0">
      <alignment horizontal="center" vertical="center" wrapText="false"/>
    </xf>
    <xf fontId="8" fillId="64" borderId="150" xfId="0">
      <alignment horizontal="center" vertical="center"/>
    </xf>
    <xf fontId="7" fillId="64" borderId="85" xfId="0">
      <alignment horizontal="center" vertical="center" wrapText="false"/>
    </xf>
    <xf fontId="8" fillId="64" borderId="85" xfId="0">
      <alignment horizontal="center" vertical="center"/>
    </xf>
    <xf fontId="8" fillId="64" borderId="162" xfId="0">
      <alignment horizontal="center" vertical="center" wrapText="true"/>
    </xf>
    <xf fontId="8" fillId="64" borderId="175" xfId="0">
      <alignment horizontal="center" vertical="center"/>
    </xf>
    <xf fontId="8" fillId="64" borderId="91" xfId="0">
      <alignment horizontal="center" vertical="center"/>
    </xf>
    <xf fontId="8" fillId="64" borderId="176" xfId="0">
      <alignment horizontal="center" vertical="center"/>
    </xf>
    <xf fontId="11" fillId="12" borderId="85" xfId="0">
      <alignment horizontal="center" vertical="center" wrapText="false"/>
    </xf>
    <xf fontId="8" fillId="12" borderId="162" xfId="0">
      <alignment horizontal="center" vertical="center" wrapText="true"/>
    </xf>
    <xf fontId="8" fillId="48" borderId="122" xfId="0">
      <alignment horizontal="center" vertical="center"/>
    </xf>
    <xf fontId="8" fillId="48" borderId="162" xfId="0">
      <alignment horizontal="center" vertical="center" wrapText="true"/>
    </xf>
    <xf fontId="8" fillId="44" borderId="177" xfId="0">
      <alignment horizontal="center" vertical="center"/>
    </xf>
    <xf fontId="8" fillId="44" borderId="162" xfId="0">
      <alignment horizontal="center" vertical="center" wrapText="true"/>
    </xf>
    <xf fontId="11" fillId="44" borderId="122" xfId="0">
      <alignment horizontal="center" vertical="center" wrapText="false"/>
    </xf>
    <xf fontId="8" fillId="44" borderId="161" xfId="0">
      <alignment horizontal="center" vertical="center" wrapText="true"/>
    </xf>
    <xf fontId="8" fillId="48" borderId="211" xfId="0">
      <alignment horizontal="center" vertical="center"/>
    </xf>
    <xf fontId="8" fillId="48" borderId="90" xfId="0">
      <alignment horizontal="center" vertical="center"/>
    </xf>
    <xf fontId="8" fillId="44" borderId="90" xfId="0">
      <alignment horizontal="center" vertical="center"/>
    </xf>
    <xf fontId="8" fillId="0" borderId="212" xfId="0">
      <alignment horizontal="center" vertical="center" wrapText="true"/>
    </xf>
    <xf fontId="8" fillId="0" borderId="213" xfId="0">
      <alignment horizontal="center" vertical="center"/>
    </xf>
    <xf fontId="8" fillId="0" borderId="214" xfId="0">
      <alignment horizontal="center" vertical="center"/>
    </xf>
    <xf fontId="8" fillId="0" borderId="215" xfId="0">
      <alignment horizontal="center" vertical="center"/>
    </xf>
    <xf fontId="10" fillId="17" borderId="216" xfId="0">
      <alignment horizontal="center" vertical="center" wrapText="false"/>
    </xf>
    <xf fontId="10" fillId="17" borderId="217" xfId="0">
      <alignment horizontal="center" vertical="center"/>
    </xf>
    <xf fontId="10" fillId="17" borderId="217" xfId="0">
      <alignment horizontal="center" vertical="center" wrapText="false"/>
    </xf>
    <xf fontId="10" fillId="17" borderId="218" xfId="0">
      <alignment horizontal="center" vertical="center" wrapText="false"/>
    </xf>
    <xf fontId="10" fillId="22" borderId="20" xfId="0">
      <alignment horizontal="center" vertical="center" wrapText="true"/>
    </xf>
    <xf fontId="8" fillId="22" borderId="28" xfId="0">
      <alignment horizontal="center" vertical="center"/>
    </xf>
    <xf fontId="8" fillId="22" borderId="168" xfId="0">
      <alignment horizontal="center" vertical="center"/>
    </xf>
    <xf fontId="0" fillId="0" borderId="17" xfId="0">
      <alignment vertical="center"/>
    </xf>
    <xf fontId="7" fillId="24" borderId="219" xfId="0">
      <alignment horizontal="center" vertical="center" wrapText="false"/>
    </xf>
    <xf fontId="10" fillId="25" borderId="24" xfId="0">
      <alignment horizontal="center" vertical="center" wrapText="false"/>
    </xf>
    <xf fontId="10" fillId="25" borderId="24" xfId="0">
      <alignment horizontal="center" vertical="center"/>
    </xf>
    <xf fontId="14" fillId="25" borderId="24" xfId="0">
      <alignment horizontal="center" vertical="center"/>
    </xf>
    <xf fontId="14" fillId="25" borderId="110" xfId="0">
      <alignment horizontal="center" vertical="center" wrapText="false"/>
    </xf>
    <xf fontId="8" fillId="24" borderId="168" xfId="0">
      <alignment horizontal="center" vertical="center"/>
    </xf>
    <xf fontId="7" fillId="25" borderId="219" xfId="0">
      <alignment horizontal="center" vertical="center" wrapText="false"/>
    </xf>
    <xf fontId="5" fillId="15" borderId="168" xfId="0">
      <alignment vertical="center"/>
    </xf>
    <xf fontId="31" fillId="25" borderId="24" xfId="0">
      <alignment horizontal="center" vertical="center"/>
    </xf>
    <xf fontId="31" fillId="25" borderId="110" xfId="0">
      <alignment horizontal="center" vertical="center" wrapText="false"/>
    </xf>
    <xf fontId="8" fillId="28" borderId="168" xfId="0">
      <alignment horizontal="center" vertical="center"/>
    </xf>
    <xf fontId="8" fillId="0" borderId="0" xfId="0">
      <alignment/>
    </xf>
    <xf fontId="10" fillId="32" borderId="219" xfId="0">
      <alignment horizontal="center" vertical="center" wrapText="false"/>
    </xf>
    <xf fontId="10" fillId="28" borderId="110" xfId="0">
      <alignment horizontal="center" vertical="center" wrapText="false"/>
    </xf>
    <xf fontId="10" fillId="28" borderId="20" xfId="0">
      <alignment horizontal="center" vertical="center" wrapText="true"/>
    </xf>
    <xf fontId="5" fillId="47" borderId="28" xfId="0">
      <alignment horizontal="center" vertical="center" textRotation="0" indent="0" justifyLastLine="false" shrinkToFit="false"/>
    </xf>
    <xf fontId="5" fillId="47" borderId="17" xfId="0">
      <alignment horizontal="center" vertical="center" textRotation="0" indent="0" justifyLastLine="false" shrinkToFit="false"/>
    </xf>
    <xf fontId="8" fillId="28" borderId="17" xfId="0">
      <alignment horizontal="center" vertical="center"/>
    </xf>
    <xf fontId="8" fillId="30" borderId="168" xfId="0">
      <alignment horizontal="center" vertical="center"/>
    </xf>
    <xf fontId="10" fillId="30" borderId="20" xfId="0">
      <alignment horizontal="center" vertical="center" wrapText="true"/>
    </xf>
    <xf fontId="8" fillId="30" borderId="28" xfId="0">
      <alignment horizontal="center" vertical="center"/>
    </xf>
    <xf fontId="8" fillId="30" borderId="17" xfId="0">
      <alignment horizontal="center" vertical="center"/>
    </xf>
    <xf fontId="12" fillId="0" borderId="17" xfId="0">
      <alignment vertical="center" wrapText="false"/>
    </xf>
    <xf fontId="8" fillId="35" borderId="168" xfId="0">
      <alignment horizontal="center" vertical="center"/>
    </xf>
    <xf fontId="10" fillId="35" borderId="20" xfId="0">
      <alignment horizontal="center" vertical="center" wrapText="true"/>
    </xf>
    <xf fontId="8" fillId="35" borderId="28" xfId="0">
      <alignment horizontal="center" vertical="center"/>
    </xf>
    <xf fontId="8" fillId="35" borderId="17" xfId="0">
      <alignment horizontal="center" vertical="center"/>
    </xf>
    <xf fontId="10" fillId="52" borderId="17" xfId="0">
      <alignment horizontal="center" vertical="center" wrapText="false"/>
    </xf>
    <xf fontId="10" fillId="38" borderId="20" xfId="0">
      <alignment horizontal="center" vertical="center" wrapText="true"/>
    </xf>
    <xf fontId="8" fillId="38" borderId="28" xfId="0">
      <alignment horizontal="center" vertical="center"/>
    </xf>
    <xf fontId="8" fillId="38" borderId="17" xfId="0">
      <alignment horizontal="center" vertical="center"/>
    </xf>
    <xf fontId="8" fillId="38" borderId="168" xfId="0">
      <alignment horizontal="center" vertical="center"/>
    </xf>
    <xf fontId="10" fillId="12" borderId="1" xfId="0">
      <alignment horizontal="center" vertical="center" wrapText="false"/>
    </xf>
    <xf fontId="30" fillId="12" borderId="1" xfId="0">
      <alignment horizontal="center" vertical="center"/>
    </xf>
    <xf fontId="30" fillId="12" borderId="76" xfId="0">
      <alignment horizontal="center" vertical="center"/>
    </xf>
    <xf fontId="5" fillId="2" borderId="220" xfId="0">
      <alignment horizontal="center" vertical="center"/>
    </xf>
    <xf fontId="8" fillId="41" borderId="168" xfId="0">
      <alignment horizontal="center" vertical="center"/>
    </xf>
    <xf fontId="8" fillId="43" borderId="171" xfId="0">
      <alignment horizontal="center" vertical="center"/>
    </xf>
    <xf fontId="10" fillId="44" borderId="17" xfId="0">
      <alignment vertical="center" wrapText="false"/>
    </xf>
    <xf fontId="41" fillId="0" borderId="0" xfId="0">
      <alignment vertical="center"/>
    </xf>
    <xf numFmtId="301" fontId="8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8" Type="http://schemas.openxmlformats.org/officeDocument/2006/relationships/worksheet" Target="worksheets/sheet6.xml" /><Relationship Id="rId12" Type="http://schemas.openxmlformats.org/officeDocument/2006/relationships/worksheet" Target="worksheets/sheet10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3" Type="http://schemas.openxmlformats.org/officeDocument/2006/relationships/worksheet" Target="worksheets/sheet11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ColorStyle" Target="colors1.xml" /><Relationship Id="rId0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>
  <c:roundedCorners val="false"/>
  <c:chart>
    <c:title>
      <c:tx>
        <c:rich>
          <a:bodyPr anchorCtr="false"/>
          <a:p>
            <a:pPr lvl="0">
              <a:defRPr sz="1200" b="false" i="false">
                <a:solidFill>
                  <a:srgbClr val="000000"/>
                </a:solidFill>
              </a:defRPr>
            </a:pPr>
            <a:r>
              <a:t>26年周度离职数据统计</a:t>
            </a:r>
          </a:p>
        </c:rich>
      </c:tx>
      <c:overlay val="false"/>
    </c:title>
    <c:plotArea>
      <c:lineChart>
        <c:grouping/>
        <c:varyColors val="false"/>
        <c:ser>
          <c:idx val="0"/>
          <c:order val="0"/>
          <c:tx>
            <c:strRef>
              <c:f>'周度离职统计'!$P$2</c:f>
            </c:strRef>
          </c:tx>
          <c:spPr>
            <a:ln>
              <a:solidFill>
                <a:schemeClr val="accent1"/>
              </a:solidFill>
              <a:headEnd/>
              <a:tailEnd/>
              <a:extLst/>
            </a:ln>
          </c:spPr>
          <c:marker>
            <c:symbol val="none"/>
          </c:marker>
          <c:dLbls>
            <c:numFmt formatCode="General"/>
            <c:txPr>
              <a:bodyPr anchorCtr="false"/>
              <a:p>
                <a:pPr lvl="0">
                  <a:defRPr b="false" i="false">
                    <a:solidFill>
                      <a:srgbClr val="000000"/>
                    </a:solidFill>
                  </a:defRPr>
                </a:pPr>
              </a:p>
            </c:txPr>
            <c:dLblPos val="t"/>
            <c:showLegendKey val="false"/>
            <c:showVal/>
            <c:showCatName val="false"/>
            <c:showSerName val="false"/>
            <c:showPercent val="false"/>
            <c:showBubbleSize val="false"/>
            <c:showLeaderLines val="false"/>
          </c:dLbls>
          <c:cat>
            <c:strRef>
              <c:f>'周度离职统计'!$O$3:$O$67</c:f>
              <c:strCache>
                <c:ptCount val="28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1-5</c:v>
                </c:pt>
                <c:pt idx="5">
                  <c:v>2-1</c:v>
                </c:pt>
                <c:pt idx="6">
                  <c:v>2-2</c:v>
                </c:pt>
                <c:pt idx="7">
                  <c:v>2-3</c:v>
                </c:pt>
                <c:pt idx="8">
                  <c:v>2-4</c:v>
                </c:pt>
                <c:pt idx="9">
                  <c:v>3-1</c:v>
                </c:pt>
                <c:pt idx="10">
                  <c:v>3-2</c:v>
                </c:pt>
                <c:pt idx="11">
                  <c:v>3-3</c:v>
                </c:pt>
                <c:pt idx="12">
                  <c:v>3-4</c:v>
                </c:pt>
                <c:pt idx="13">
                  <c:v>4-1</c:v>
                </c:pt>
                <c:pt idx="14">
                  <c:v>4-2</c:v>
                </c:pt>
                <c:pt idx="15">
                  <c:v>4-3</c:v>
                </c:pt>
                <c:pt idx="16">
                  <c:v>4-4</c:v>
                </c:pt>
                <c:pt idx="17">
                  <c:v>4-5</c:v>
                </c:pt>
                <c:pt idx="18">
                  <c:v>5-1</c:v>
                </c:pt>
                <c:pt idx="19">
                  <c:v>5-2</c:v>
                </c:pt>
                <c:pt idx="20">
                  <c:v>5-3</c:v>
                </c:pt>
                <c:pt idx="21">
                  <c:v>5-4</c:v>
                </c:pt>
                <c:pt idx="22">
                  <c:v>6-1</c:v>
                </c:pt>
                <c:pt idx="23">
                  <c:v>6-2</c:v>
                </c:pt>
                <c:pt idx="24">
                  <c:v>6-3</c:v>
                </c:pt>
                <c:pt idx="25">
                  <c:v>6-4</c:v>
                </c:pt>
                <c:pt idx="26">
                  <c:v>7-1</c:v>
                </c:pt>
                <c:pt idx="27">
                  <c:v>7-2</c:v>
                </c:pt>
              </c:strCache>
            </c:strRef>
          </c:cat>
          <c:val>
            <c:numRef>
              <c:f>'周度离职统计'!$P$3:$P$67</c:f>
              <c:numCache>
                <c:ptCount val="28"/>
              </c:numCache>
            </c:numRef>
          </c:val>
          <c:smooth val="false"/>
        </c:ser>
        <c:dLbls>
          <c:numFmt formatCode="General"/>
          <c:txPr>
            <a:bodyPr anchorCtr="false"/>
            <a:p>
              <a:pPr lvl="0">
                <a:defRPr b="false" i="false">
                  <a:solidFill>
                    <a:srgbClr val="000000"/>
                  </a:solidFill>
                </a:defRPr>
              </a:pPr>
            </a:p>
          </c:txPr>
          <c:dLblPos val="t"/>
          <c:showLegendKey val="false"/>
          <c:showVal/>
          <c:showCatName val="false"/>
          <c:showSerName val="false"/>
          <c:showPercent val="false"/>
          <c:showBubbleSize val="false"/>
          <c:showLeaderLines val="false"/>
        </c:dLbls>
        <c:marker val="false"/>
        <c:axId val="129197136"/>
        <c:axId val="753467888"/>
      </c:lineChart>
      <c:catAx>
        <c:axId val="129197136"/>
        <c:scaling/>
        <c:delete val="false"/>
        <c:axPos val="b"/>
        <c:title>
          <c:tx>
            <c:rich>
              <a:bodyPr anchorCtr="false"/>
              <a:p>
                <a:pPr lvl="0">
                  <a:defRPr b="false" i="false">
                    <a:solidFill>
                      <a:srgbClr val="000000"/>
                    </a:solidFill>
                  </a:defRPr>
                </a:pPr>
                <a:r>
                  <a:t>时间</a:t>
                </a:r>
              </a:p>
            </c:rich>
          </c:tx>
        </c:title>
        <c:numFmt formatCode="General"/>
        <c:majorTickMark/>
        <c:minorTickMark/>
        <c:txPr>
          <a:bodyPr anchorCtr="false"/>
          <a:p>
            <a:pPr lvl="0">
              <a:defRPr b="false" i="false">
                <a:solidFill>
                  <a:srgbClr val="000000"/>
                </a:solidFill>
              </a:defRPr>
            </a:pPr>
          </a:p>
        </c:txPr>
        <c:crossAx val="753467888"/>
      </c:catAx>
      <c:valAx>
        <c:axId val="753467888"/>
        <c:scaling/>
        <c:delete val="false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General"/>
        <c:majorTickMark/>
        <c:minorTickMark/>
        <c:txPr>
          <a:bodyPr anchorCtr="false"/>
          <a:p>
            <a:pPr lvl="0">
              <a:defRPr b="false" i="false">
                <a:solidFill>
                  <a:srgbClr val="000000"/>
                </a:solidFill>
              </a:defRPr>
            </a:pPr>
          </a:p>
        </c:txPr>
        <c:crossAx val="129197136"/>
      </c:valAx>
    </c:plotArea>
    <c:legend>
      <c:legendPos val="b"/>
      <c:overlay val="false"/>
    </c:legend>
    <c:plotVisOnly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olors1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0</xdr:col>
      <xdr:colOff>961931</xdr:colOff>
      <xdr:row>29</xdr:row>
      <xdr:rowOff>43418</xdr:rowOff>
    </xdr:from>
    <xdr:to>
      <xdr:col>4</xdr:col>
      <xdr:colOff>55361</xdr:colOff>
      <xdr:row>39</xdr:row>
      <xdr:rowOff>83930</xdr:rowOff>
    </xdr:to>
    <xdr:graphicFrame>
      <xdr:nvGraphicFramePr>
        <xdr:cNvPr id="1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November">
    <tabColor/>
  </sheetPr>
  <dimension ref="G211"/>
  <sheetViews>
    <sheetView showGridLines="true" workbookViewId="0">
      <pane xSplit="1" ySplit="3" topLeftCell="B4" state="frozen"/>
    </sheetView>
  </sheetViews>
  <sheetFormatPr baseColWidth="13" defaultRowHeight="18" customHeight="true"/>
  <cols>
    <col min="1" max="1" width="13.082" style="837" customWidth="true"/>
    <col min="2" max="2" width="19.4219" style="837" customWidth="true"/>
    <col min="3" max="3" width="24.0117" style="837" customWidth="true"/>
    <col min="4" max="4" width="11.8711" style="837" customWidth="true"/>
    <col min="5" max="5" width="12.4141" style="837" customWidth="true"/>
    <col min="6" max="6" width="8.63281" style="837" customWidth="true"/>
    <col min="7" max="7" width="10.9219" style="837" customWidth="true"/>
    <col min="8" max="8" width="22.3906" style="837" customWidth="true"/>
    <col min="9" max="9" width="9.84375" style="508" customWidth="true"/>
    <col min="10" max="10" width="9.30078" style="508" customWidth="true"/>
    <col min="11" max="11" width="9.44141" style="508" customWidth="true"/>
    <col min="12" max="12" width="15.3711" style="508" customWidth="true"/>
    <col min="13" max="25" width="13.6719" style="508"/>
  </cols>
  <sheetData>
    <row r="1" spans="1:25" ht="61.5" customHeight="true">
      <c r="A1" s="845" t="s">
        <v>379</v>
      </c>
      <c r="B1" s="845" t="s"/>
      <c r="I1" s="1153" t="s"/>
      <c r="J1" s="1153" t="s">
        <v>380</v>
      </c>
      <c r="M1" s="508" t="s"/>
      <c r="N1" s="508" t="s"/>
      <c r="O1" s="508" t="s"/>
      <c r="P1" s="508" t="s"/>
      <c r="Q1" s="508" t="s"/>
      <c r="R1" s="508" t="s"/>
      <c r="S1" s="508" t="s"/>
      <c r="T1" s="508" t="s"/>
      <c r="U1" s="508" t="s"/>
      <c r="V1" s="508" t="s"/>
      <c r="W1" s="508" t="s"/>
      <c r="X1" s="508" t="s"/>
      <c r="Y1" s="508" t="s"/>
    </row>
    <row r="2" spans="1:25" ht="25.5" customHeight="true">
      <c r="A2" s="707" t="s">
        <v>212</v>
      </c>
      <c r="B2" s="1154" t="s"/>
      <c r="C2" s="1154" t="s"/>
      <c r="D2" s="1154" t="s"/>
      <c r="E2" s="709" t="s"/>
      <c r="F2" s="709" t="s"/>
      <c r="G2" s="709" t="s"/>
      <c r="H2" s="710" t="s"/>
      <c r="I2" s="1155" t="s"/>
      <c r="J2" s="711" t="s">
        <v>213</v>
      </c>
      <c r="K2" s="958" t="s"/>
      <c r="L2" s="1156" t="s"/>
      <c r="M2" s="508" t="s"/>
      <c r="N2" s="508" t="s"/>
      <c r="O2" s="508" t="s"/>
      <c r="P2" s="508" t="s"/>
      <c r="Q2" s="508" t="s"/>
      <c r="R2" s="508" t="s"/>
      <c r="S2" s="508" t="s"/>
      <c r="T2" s="508" t="s"/>
      <c r="U2" s="508" t="s"/>
      <c r="V2" s="508" t="s"/>
      <c r="W2" s="508" t="s"/>
      <c r="X2" s="508" t="s"/>
      <c r="Y2" s="508" t="s"/>
    </row>
    <row r="3" spans="1:25" ht="19.5" customHeight="true">
      <c r="A3" s="714" t="s">
        <v>6</v>
      </c>
      <c r="B3" s="1157" t="s">
        <v>214</v>
      </c>
      <c r="C3" s="1157" t="s">
        <v>215</v>
      </c>
      <c r="D3" s="714" t="s">
        <v>216</v>
      </c>
      <c r="E3" s="714" t="s">
        <v>9</v>
      </c>
      <c r="F3" s="714" t="s">
        <v>10</v>
      </c>
      <c r="G3" s="714" t="s">
        <v>11</v>
      </c>
      <c r="H3" s="1158" t="s">
        <v>125</v>
      </c>
      <c r="I3" s="1159" t="s">
        <v>16</v>
      </c>
      <c r="J3" s="1159" t="s">
        <v>17</v>
      </c>
      <c r="K3" s="717" t="s">
        <v>126</v>
      </c>
      <c r="L3" s="718" t="s">
        <v>217</v>
      </c>
      <c r="M3" s="508" t="s"/>
      <c r="N3" s="508" t="s"/>
      <c r="O3" s="508" t="s"/>
      <c r="P3" s="508" t="s"/>
      <c r="Q3" s="508" t="s"/>
      <c r="R3" s="508" t="s"/>
      <c r="S3" s="508" t="s"/>
      <c r="T3" s="508" t="s"/>
      <c r="U3" s="508" t="s"/>
      <c r="V3" s="508" t="s"/>
      <c r="W3" s="508" t="s"/>
      <c r="X3" s="508" t="s"/>
      <c r="Y3" s="508" t="s"/>
    </row>
    <row r="4" spans="1:25">
      <c r="A4" s="778" t="s">
        <v>39</v>
      </c>
      <c r="B4" s="779" t="s">
        <v>218</v>
      </c>
      <c r="C4" s="779">
        <v>53</v>
      </c>
      <c r="D4" s="780" t="s">
        <v>20</v>
      </c>
      <c r="E4" s="781" t="s">
        <v>40</v>
      </c>
      <c r="F4" s="1160">
        <v>1</v>
      </c>
      <c r="G4" s="1160" t="s">
        <v>35</v>
      </c>
      <c r="H4" s="1161" t="s"/>
      <c r="I4" s="1162">
        <v>0</v>
      </c>
      <c r="J4" s="1162">
        <v>0</v>
      </c>
      <c r="K4" s="777">
        <v>0</v>
      </c>
      <c r="L4" s="783">
        <v>54</v>
      </c>
      <c r="M4" s="508" t="s"/>
      <c r="N4" s="508" t="s"/>
      <c r="O4" s="508" t="s"/>
      <c r="P4" s="508" t="s"/>
      <c r="Q4" s="508" t="s"/>
      <c r="R4" s="508" t="s"/>
      <c r="S4" s="508" t="s"/>
      <c r="T4" s="508" t="s"/>
      <c r="U4" s="508" t="s"/>
      <c r="V4" s="508" t="s"/>
      <c r="W4" s="508" t="s"/>
      <c r="X4" s="508" t="s"/>
      <c r="Y4" s="508" t="s"/>
    </row>
    <row r="5" spans="1:25">
      <c r="A5" s="770" t="s"/>
      <c r="B5" s="770" t="s"/>
      <c r="C5" s="770" t="s"/>
      <c r="D5" s="780" t="s">
        <v>44</v>
      </c>
      <c r="E5" s="781" t="s">
        <v>40</v>
      </c>
      <c r="F5" s="777">
        <v>1</v>
      </c>
      <c r="G5" s="780" t="s">
        <v>35</v>
      </c>
      <c r="H5" s="1161" t="s"/>
      <c r="I5" s="1162">
        <v>0</v>
      </c>
      <c r="J5" s="1162">
        <v>0</v>
      </c>
      <c r="K5" s="777">
        <v>0</v>
      </c>
      <c r="L5" s="729" t="s"/>
      <c r="M5" s="508" t="s"/>
      <c r="N5" s="508" t="s"/>
      <c r="O5" s="508" t="s"/>
      <c r="P5" s="508" t="s"/>
      <c r="Q5" s="508" t="s"/>
      <c r="R5" s="508" t="s"/>
      <c r="S5" s="508" t="s"/>
      <c r="T5" s="508" t="s"/>
      <c r="U5" s="508" t="s"/>
      <c r="V5" s="508" t="s"/>
      <c r="W5" s="508" t="s"/>
      <c r="X5" s="508" t="s"/>
      <c r="Y5" s="508" t="s"/>
    </row>
    <row r="6" spans="1:25">
      <c r="A6" s="770" t="s"/>
      <c r="B6" s="770" t="s"/>
      <c r="C6" s="770" t="s"/>
      <c r="D6" s="780" t="s">
        <v>20</v>
      </c>
      <c r="E6" s="781" t="s">
        <v>131</v>
      </c>
      <c r="F6" s="1163">
        <v>1</v>
      </c>
      <c r="G6" s="780" t="s">
        <v>30</v>
      </c>
      <c r="H6" s="1161" t="s"/>
      <c r="I6" s="1162">
        <v>2</v>
      </c>
      <c r="J6" s="1162">
        <v>2</v>
      </c>
      <c r="K6" s="777">
        <v>1</v>
      </c>
      <c r="L6" s="729" t="s"/>
      <c r="M6" s="508" t="s"/>
      <c r="N6" s="508" t="s"/>
      <c r="O6" s="508" t="s"/>
      <c r="P6" s="508" t="s"/>
      <c r="Q6" s="508" t="s"/>
      <c r="R6" s="508" t="s"/>
      <c r="S6" s="508" t="s"/>
      <c r="T6" s="508" t="s"/>
      <c r="U6" s="508" t="s"/>
      <c r="V6" s="508" t="s"/>
      <c r="W6" s="508" t="s"/>
      <c r="X6" s="508" t="s"/>
      <c r="Y6" s="508" t="s"/>
    </row>
    <row r="7" spans="1:25">
      <c r="A7" s="824" t="s"/>
      <c r="B7" s="824" t="s"/>
      <c r="C7" s="824" t="s"/>
      <c r="D7" s="780" t="s">
        <v>44</v>
      </c>
      <c r="E7" s="781" t="s">
        <v>49</v>
      </c>
      <c r="F7" s="780">
        <v>3</v>
      </c>
      <c r="G7" s="780" t="s">
        <v>35</v>
      </c>
      <c r="H7" s="1161" t="s"/>
      <c r="I7" s="1162">
        <v>2</v>
      </c>
      <c r="J7" s="1162">
        <v>2</v>
      </c>
      <c r="K7" s="777">
        <v>2</v>
      </c>
      <c r="L7" s="730" t="s"/>
      <c r="M7" s="508" t="s"/>
      <c r="N7" s="508" t="s"/>
      <c r="O7" s="508" t="s"/>
      <c r="P7" s="508" t="s"/>
      <c r="Q7" s="508" t="s"/>
      <c r="R7" s="508" t="s"/>
      <c r="S7" s="508" t="s"/>
      <c r="T7" s="508" t="s"/>
      <c r="U7" s="508" t="s"/>
      <c r="V7" s="508" t="s"/>
      <c r="W7" s="508" t="s"/>
      <c r="X7" s="508" t="s"/>
      <c r="Y7" s="508" t="s"/>
    </row>
    <row r="8" spans="1:25">
      <c r="A8" s="764" t="s">
        <v>19</v>
      </c>
      <c r="B8" s="765" t="s">
        <v>219</v>
      </c>
      <c r="C8" s="765">
        <v>65</v>
      </c>
      <c r="D8" s="766" t="s">
        <v>44</v>
      </c>
      <c r="E8" s="773" t="s">
        <v>29</v>
      </c>
      <c r="F8" s="775">
        <v>2</v>
      </c>
      <c r="G8" s="775" t="s">
        <v>30</v>
      </c>
      <c r="H8" s="1164" t="s"/>
      <c r="I8" s="1165">
        <v>8</v>
      </c>
      <c r="J8" s="1165">
        <v>6</v>
      </c>
      <c r="K8" s="768">
        <v>1</v>
      </c>
      <c r="L8" s="769">
        <v>74</v>
      </c>
      <c r="M8" s="508" t="s"/>
      <c r="N8" s="508" t="s"/>
      <c r="O8" s="508" t="s"/>
      <c r="P8" s="508" t="s"/>
      <c r="Q8" s="508" t="s"/>
      <c r="R8" s="508" t="s"/>
      <c r="S8" s="508" t="s"/>
      <c r="T8" s="508" t="s"/>
      <c r="U8" s="508" t="s"/>
      <c r="V8" s="508" t="s"/>
      <c r="W8" s="508" t="s"/>
      <c r="X8" s="508" t="s"/>
      <c r="Y8" s="508" t="s"/>
    </row>
    <row r="9" spans="1:25">
      <c r="A9" s="770" t="s"/>
      <c r="B9" s="770" t="s"/>
      <c r="C9" s="770" t="s"/>
      <c r="D9" s="766" t="s">
        <v>44</v>
      </c>
      <c r="E9" s="773" t="s">
        <v>220</v>
      </c>
      <c r="F9" s="766">
        <v>1</v>
      </c>
      <c r="G9" s="766" t="s">
        <v>30</v>
      </c>
      <c r="H9" s="1164" t="s"/>
      <c r="I9" s="1165">
        <v>3</v>
      </c>
      <c r="J9" s="1165">
        <v>3</v>
      </c>
      <c r="K9" s="768">
        <v>1</v>
      </c>
      <c r="L9" s="729" t="s"/>
      <c r="M9" s="508" t="s"/>
      <c r="N9" s="508" t="s"/>
      <c r="O9" s="508" t="s"/>
      <c r="P9" s="508" t="s"/>
      <c r="Q9" s="508" t="s"/>
      <c r="R9" s="508" t="s"/>
      <c r="S9" s="508" t="s"/>
      <c r="T9" s="508" t="s"/>
      <c r="U9" s="508" t="s"/>
      <c r="V9" s="508" t="s"/>
      <c r="W9" s="508" t="s"/>
      <c r="X9" s="508" t="s"/>
      <c r="Y9" s="508" t="s"/>
    </row>
    <row r="10" spans="1:25">
      <c r="A10" s="770" t="s"/>
      <c r="B10" s="770" t="s"/>
      <c r="C10" s="770" t="s"/>
      <c r="D10" s="766" t="s">
        <v>20</v>
      </c>
      <c r="E10" s="773" t="s">
        <v>221</v>
      </c>
      <c r="F10" s="766">
        <v>7</v>
      </c>
      <c r="G10" s="766" t="s">
        <v>22</v>
      </c>
      <c r="H10" s="1164" t="s"/>
      <c r="I10" s="1165">
        <v>16</v>
      </c>
      <c r="J10" s="1165">
        <v>15</v>
      </c>
      <c r="K10" s="768">
        <v>3</v>
      </c>
      <c r="L10" s="729" t="s"/>
      <c r="M10" s="508" t="s"/>
      <c r="N10" s="508" t="s"/>
      <c r="O10" s="508" t="s"/>
      <c r="P10" s="508" t="s"/>
      <c r="Q10" s="508" t="s"/>
      <c r="R10" s="508" t="s"/>
      <c r="S10" s="508" t="s"/>
      <c r="T10" s="508" t="s"/>
      <c r="U10" s="508" t="s"/>
      <c r="V10" s="508" t="s"/>
      <c r="W10" s="508" t="s"/>
      <c r="X10" s="508" t="s"/>
      <c r="Y10" s="508" t="s"/>
    </row>
    <row r="11" spans="1:25">
      <c r="A11" s="750" t="s">
        <v>134</v>
      </c>
      <c r="B11" s="751">
        <v>83</v>
      </c>
      <c r="C11" s="751">
        <v>89</v>
      </c>
      <c r="D11" s="736" t="s">
        <v>20</v>
      </c>
      <c r="E11" s="752" t="s">
        <v>55</v>
      </c>
      <c r="F11" s="736" t="s"/>
      <c r="G11" s="736" t="s">
        <v>35</v>
      </c>
      <c r="H11" s="1166" t="s"/>
      <c r="I11" s="1167">
        <v>2</v>
      </c>
      <c r="J11" s="1167">
        <v>2</v>
      </c>
      <c r="K11" s="754">
        <v>2</v>
      </c>
      <c r="L11" s="756">
        <v>88</v>
      </c>
      <c r="M11" s="508" t="s"/>
      <c r="N11" s="508" t="s"/>
      <c r="O11" s="508" t="s"/>
      <c r="P11" s="508" t="s"/>
      <c r="Q11" s="508" t="s"/>
      <c r="R11" s="508" t="s"/>
      <c r="S11" s="508" t="s"/>
      <c r="T11" s="508" t="s"/>
      <c r="U11" s="508" t="s"/>
      <c r="V11" s="508" t="s"/>
      <c r="W11" s="508" t="s"/>
      <c r="X11" s="508" t="s"/>
      <c r="Y11" s="508" t="s"/>
    </row>
    <row r="12" spans="1:25">
      <c r="A12" s="770" t="s"/>
      <c r="B12" s="770" t="s"/>
      <c r="C12" s="770" t="s"/>
      <c r="D12" s="736" t="s">
        <v>20</v>
      </c>
      <c r="E12" s="752" t="s">
        <v>222</v>
      </c>
      <c r="F12" s="736">
        <v>2</v>
      </c>
      <c r="G12" s="736" t="s">
        <v>35</v>
      </c>
      <c r="H12" s="1166" t="s"/>
      <c r="I12" s="1167">
        <v>2</v>
      </c>
      <c r="J12" s="1167">
        <v>2</v>
      </c>
      <c r="K12" s="754">
        <v>3</v>
      </c>
      <c r="L12" s="729" t="s"/>
      <c r="M12" s="508" t="s"/>
      <c r="N12" s="508" t="s"/>
      <c r="O12" s="508" t="s"/>
      <c r="P12" s="508" t="s"/>
      <c r="Q12" s="508" t="s"/>
      <c r="R12" s="508" t="s"/>
      <c r="S12" s="508" t="s"/>
      <c r="T12" s="508" t="s"/>
      <c r="U12" s="508" t="s"/>
      <c r="V12" s="508" t="s"/>
      <c r="W12" s="508" t="s"/>
      <c r="X12" s="508" t="s"/>
      <c r="Y12" s="508" t="s"/>
    </row>
    <row r="13" spans="1:25">
      <c r="A13" s="770" t="s"/>
      <c r="B13" s="770" t="s"/>
      <c r="C13" s="770" t="s"/>
      <c r="D13" s="736" t="s">
        <v>44</v>
      </c>
      <c r="E13" s="752" t="s">
        <v>222</v>
      </c>
      <c r="F13" s="736">
        <v>1</v>
      </c>
      <c r="G13" s="736" t="s">
        <v>35</v>
      </c>
      <c r="H13" s="1166" t="s"/>
      <c r="I13" s="1167">
        <v>2</v>
      </c>
      <c r="J13" s="1167">
        <v>2</v>
      </c>
      <c r="K13" s="754">
        <v>0</v>
      </c>
      <c r="L13" s="729" t="s"/>
      <c r="M13" s="508" t="s"/>
      <c r="N13" s="508" t="s"/>
      <c r="O13" s="508" t="s"/>
      <c r="P13" s="508" t="s"/>
      <c r="Q13" s="508" t="s"/>
      <c r="R13" s="508" t="s"/>
      <c r="S13" s="508" t="s"/>
      <c r="T13" s="508" t="s"/>
      <c r="U13" s="508" t="s"/>
      <c r="V13" s="508" t="s"/>
      <c r="W13" s="508" t="s"/>
      <c r="X13" s="508" t="s"/>
      <c r="Y13" s="508" t="s"/>
    </row>
    <row r="14" spans="1:25">
      <c r="A14" s="770" t="s"/>
      <c r="B14" s="770" t="s"/>
      <c r="C14" s="770" t="s"/>
      <c r="D14" s="736" t="s">
        <v>44</v>
      </c>
      <c r="E14" s="752" t="s">
        <v>55</v>
      </c>
      <c r="F14" s="736" t="s"/>
      <c r="G14" s="736" t="s">
        <v>35</v>
      </c>
      <c r="H14" s="1166" t="s"/>
      <c r="I14" s="1167">
        <v>0</v>
      </c>
      <c r="J14" s="1167">
        <v>0</v>
      </c>
      <c r="K14" s="754">
        <v>0</v>
      </c>
      <c r="L14" s="729" t="s"/>
      <c r="M14" s="508" t="s"/>
      <c r="N14" s="508" t="s"/>
      <c r="O14" s="508" t="s"/>
      <c r="P14" s="508" t="s"/>
      <c r="Q14" s="508" t="s"/>
      <c r="R14" s="508" t="s"/>
      <c r="S14" s="508" t="s"/>
      <c r="T14" s="508" t="s"/>
      <c r="U14" s="508" t="s"/>
      <c r="V14" s="508" t="s"/>
      <c r="W14" s="508" t="s"/>
      <c r="X14" s="508" t="s"/>
      <c r="Y14" s="508" t="s"/>
    </row>
    <row r="15" spans="1:25">
      <c r="A15" s="1168" t="s">
        <v>50</v>
      </c>
      <c r="B15" s="1169" t="s">
        <v>223</v>
      </c>
      <c r="C15" s="1169">
        <v>22</v>
      </c>
      <c r="D15" s="1170" t="s">
        <v>20</v>
      </c>
      <c r="E15" s="1171" t="s">
        <v>51</v>
      </c>
      <c r="F15" s="1171">
        <v>3</v>
      </c>
      <c r="G15" s="1172" t="s">
        <v>30</v>
      </c>
      <c r="H15" s="1173" t="s"/>
      <c r="I15" s="1174">
        <v>1</v>
      </c>
      <c r="J15" s="1159">
        <v>1</v>
      </c>
      <c r="K15" s="717">
        <v>0</v>
      </c>
      <c r="L15" s="1175">
        <v>20</v>
      </c>
      <c r="M15" s="508" t="s"/>
      <c r="N15" s="508" t="s"/>
      <c r="O15" s="508" t="s"/>
      <c r="P15" s="508" t="s"/>
      <c r="Q15" s="508" t="s"/>
      <c r="R15" s="508" t="s"/>
      <c r="S15" s="508" t="s"/>
      <c r="T15" s="508" t="s"/>
      <c r="U15" s="508" t="s"/>
      <c r="V15" s="508" t="s"/>
      <c r="W15" s="508" t="s"/>
      <c r="X15" s="508" t="s"/>
      <c r="Y15" s="508" t="s"/>
    </row>
    <row r="16" spans="1:25">
      <c r="A16" s="1176" t="s"/>
      <c r="B16" s="1176" t="s"/>
      <c r="C16" s="1176" t="s"/>
      <c r="D16" s="1177" t="s">
        <v>20</v>
      </c>
      <c r="E16" s="1177" t="s">
        <v>224</v>
      </c>
      <c r="F16" s="1177">
        <v>1</v>
      </c>
      <c r="G16" s="1172" t="s">
        <v>30</v>
      </c>
      <c r="H16" s="1178" t="s"/>
      <c r="I16" s="1159" t="s"/>
      <c r="J16" s="1159" t="s"/>
      <c r="K16" s="717" t="s"/>
      <c r="L16" s="729" t="s"/>
      <c r="M16" s="508" t="s"/>
      <c r="N16" s="508" t="s"/>
      <c r="O16" s="508" t="s"/>
      <c r="P16" s="508" t="s"/>
      <c r="Q16" s="508" t="s"/>
      <c r="R16" s="508" t="s"/>
      <c r="S16" s="508" t="s"/>
      <c r="T16" s="508" t="s"/>
      <c r="U16" s="508" t="s"/>
      <c r="V16" s="508" t="s"/>
      <c r="W16" s="508" t="s"/>
      <c r="X16" s="508" t="s"/>
      <c r="Y16" s="508" t="s"/>
    </row>
    <row r="17" spans="1:25">
      <c r="A17" s="770" t="s"/>
      <c r="B17" s="770" t="s"/>
      <c r="C17" s="770" t="s"/>
      <c r="D17" s="1179" t="s">
        <v>20</v>
      </c>
      <c r="E17" s="1180" t="s">
        <v>140</v>
      </c>
      <c r="F17" s="1180">
        <v>4</v>
      </c>
      <c r="G17" s="1181" t="s">
        <v>35</v>
      </c>
      <c r="H17" s="1173" t="s"/>
      <c r="I17" s="1159" t="s"/>
      <c r="J17" s="1159" t="s"/>
      <c r="K17" s="717" t="s"/>
      <c r="L17" s="729" t="s"/>
      <c r="M17" s="508" t="s"/>
      <c r="N17" s="508" t="s"/>
      <c r="O17" s="508" t="s"/>
      <c r="P17" s="508" t="s"/>
      <c r="Q17" s="508" t="s"/>
      <c r="R17" s="508" t="s"/>
      <c r="S17" s="508" t="s"/>
      <c r="T17" s="508" t="s"/>
      <c r="U17" s="508" t="s"/>
      <c r="V17" s="508" t="s"/>
      <c r="W17" s="508" t="s"/>
      <c r="X17" s="508" t="s"/>
      <c r="Y17" s="508" t="s"/>
    </row>
    <row r="18" spans="1:25">
      <c r="A18" s="770" t="s"/>
      <c r="B18" s="770" t="s"/>
      <c r="C18" s="770" t="s"/>
      <c r="D18" s="1182" t="s">
        <v>20</v>
      </c>
      <c r="E18" s="1180" t="s">
        <v>225</v>
      </c>
      <c r="F18" s="1180">
        <v>1</v>
      </c>
      <c r="G18" s="1183" t="s">
        <v>30</v>
      </c>
      <c r="H18" s="1173" t="s"/>
      <c r="I18" s="1159" t="s"/>
      <c r="J18" s="1159" t="s"/>
      <c r="K18" s="717" t="s"/>
      <c r="L18" s="729" t="s"/>
      <c r="M18" s="508" t="s"/>
      <c r="N18" s="508" t="s"/>
      <c r="O18" s="508" t="s"/>
      <c r="P18" s="508" t="s"/>
      <c r="Q18" s="508" t="s"/>
      <c r="R18" s="508" t="s"/>
      <c r="S18" s="508" t="s"/>
      <c r="T18" s="508" t="s"/>
      <c r="U18" s="508" t="s"/>
      <c r="V18" s="508" t="s"/>
      <c r="W18" s="508" t="s"/>
      <c r="X18" s="508" t="s"/>
      <c r="Y18" s="508" t="s"/>
    </row>
    <row r="19" spans="1:25">
      <c r="A19" s="734" t="s">
        <v>63</v>
      </c>
      <c r="B19" s="735">
        <v>7</v>
      </c>
      <c r="C19" s="735">
        <v>12</v>
      </c>
      <c r="D19" s="742" t="s">
        <v>47</v>
      </c>
      <c r="E19" s="737" t="s">
        <v>226</v>
      </c>
      <c r="F19" s="742">
        <v>1</v>
      </c>
      <c r="G19" s="742" t="s">
        <v>30</v>
      </c>
      <c r="H19" s="1184" t="s"/>
      <c r="I19" s="1185">
        <v>1</v>
      </c>
      <c r="J19" s="1185">
        <v>1</v>
      </c>
      <c r="K19" s="740">
        <v>0</v>
      </c>
      <c r="L19" s="741">
        <v>10</v>
      </c>
      <c r="M19" s="508" t="s"/>
      <c r="N19" s="508" t="s"/>
      <c r="O19" s="508" t="s"/>
      <c r="P19" s="508" t="s"/>
      <c r="Q19" s="508" t="s"/>
      <c r="R19" s="508" t="s"/>
      <c r="S19" s="508" t="s"/>
      <c r="T19" s="508" t="s"/>
      <c r="U19" s="508" t="s"/>
      <c r="V19" s="508" t="s"/>
      <c r="W19" s="508" t="s"/>
      <c r="X19" s="508" t="s"/>
      <c r="Y19" s="508" t="s"/>
    </row>
    <row r="20" spans="1:25">
      <c r="A20" s="719" t="s">
        <v>32</v>
      </c>
      <c r="B20" s="720" t="s">
        <v>227</v>
      </c>
      <c r="C20" s="720">
        <v>30</v>
      </c>
      <c r="D20" s="721" t="s">
        <v>20</v>
      </c>
      <c r="E20" s="722" t="s">
        <v>228</v>
      </c>
      <c r="F20" s="721">
        <v>1</v>
      </c>
      <c r="G20" s="721" t="s">
        <v>30</v>
      </c>
      <c r="H20" s="1186" t="s">
        <v>229</v>
      </c>
      <c r="I20" s="1187">
        <v>2</v>
      </c>
      <c r="J20" s="1187">
        <v>1</v>
      </c>
      <c r="K20" s="725">
        <v>0</v>
      </c>
      <c r="L20" s="726">
        <v>33</v>
      </c>
      <c r="M20" s="508" t="s"/>
      <c r="N20" s="508" t="s"/>
      <c r="O20" s="508" t="s"/>
      <c r="P20" s="508" t="s"/>
      <c r="Q20" s="508" t="s"/>
      <c r="R20" s="508" t="s"/>
      <c r="S20" s="508" t="s"/>
      <c r="T20" s="508" t="s"/>
      <c r="U20" s="508" t="s"/>
      <c r="V20" s="508" t="s"/>
      <c r="W20" s="508" t="s"/>
      <c r="X20" s="508" t="s"/>
      <c r="Y20" s="508" t="s"/>
    </row>
    <row r="21" spans="1:25">
      <c r="A21" s="770" t="s"/>
      <c r="B21" s="770" t="s"/>
      <c r="C21" s="770" t="s"/>
      <c r="D21" s="721" t="s">
        <v>20</v>
      </c>
      <c r="E21" s="722" t="s">
        <v>230</v>
      </c>
      <c r="F21" s="721">
        <v>2</v>
      </c>
      <c r="G21" s="721" t="s">
        <v>35</v>
      </c>
      <c r="H21" s="1186" t="s">
        <v>231</v>
      </c>
      <c r="I21" s="1188">
        <v>1</v>
      </c>
      <c r="J21" s="1187">
        <v>0</v>
      </c>
      <c r="K21" s="725">
        <v>0</v>
      </c>
      <c r="L21" s="729" t="s"/>
      <c r="M21" s="508" t="s"/>
      <c r="N21" s="508" t="s"/>
      <c r="O21" s="508" t="s"/>
      <c r="P21" s="508" t="s"/>
      <c r="Q21" s="508" t="s"/>
      <c r="R21" s="508" t="s"/>
      <c r="S21" s="508" t="s"/>
      <c r="T21" s="508" t="s"/>
      <c r="U21" s="508" t="s"/>
      <c r="V21" s="508" t="s"/>
      <c r="W21" s="508" t="s"/>
      <c r="X21" s="508" t="s"/>
      <c r="Y21" s="508" t="s"/>
    </row>
    <row r="22" spans="1:25">
      <c r="A22" s="1189" t="s">
        <v>71</v>
      </c>
      <c r="B22" s="1190">
        <v>17</v>
      </c>
      <c r="C22" s="1190">
        <v>23</v>
      </c>
      <c r="D22" s="1191" t="s"/>
      <c r="E22" s="1192" t="s"/>
      <c r="F22" s="1193" t="s"/>
      <c r="G22" s="1193" t="s"/>
      <c r="H22" s="1194" t="s"/>
      <c r="I22" s="1195" t="s"/>
      <c r="J22" s="1195" t="s"/>
      <c r="K22" s="508" t="s"/>
      <c r="L22" s="1196">
        <v>23</v>
      </c>
      <c r="M22" s="508" t="s"/>
      <c r="N22" s="508" t="s"/>
      <c r="O22" s="508" t="s"/>
      <c r="P22" s="508" t="s"/>
      <c r="Q22" s="508" t="s"/>
      <c r="R22" s="508" t="s"/>
      <c r="S22" s="508" t="s"/>
      <c r="T22" s="508" t="s"/>
      <c r="U22" s="508" t="s"/>
      <c r="V22" s="508" t="s"/>
      <c r="W22" s="508" t="s"/>
      <c r="X22" s="508" t="s"/>
      <c r="Y22" s="508" t="s"/>
    </row>
    <row r="23" spans="1:25">
      <c r="A23" s="1189" t="s">
        <v>172</v>
      </c>
      <c r="B23" s="1190">
        <v>6</v>
      </c>
      <c r="C23" s="1190">
        <v>6</v>
      </c>
      <c r="D23" s="1191" t="s"/>
      <c r="E23" s="1192" t="s"/>
      <c r="F23" s="1193" t="s"/>
      <c r="G23" s="1193" t="s"/>
      <c r="H23" s="1194" t="s"/>
      <c r="I23" s="1195" t="s"/>
      <c r="J23" s="1195" t="s"/>
      <c r="K23" s="508" t="s"/>
      <c r="L23" s="1196">
        <v>7</v>
      </c>
      <c r="M23" s="508" t="s"/>
      <c r="N23" s="508" t="s"/>
      <c r="O23" s="508" t="s"/>
      <c r="P23" s="508" t="s"/>
      <c r="Q23" s="508" t="s"/>
      <c r="R23" s="508" t="s"/>
      <c r="S23" s="508" t="s"/>
      <c r="T23" s="508" t="s"/>
      <c r="U23" s="508" t="s"/>
      <c r="V23" s="508" t="s"/>
      <c r="W23" s="508" t="s"/>
      <c r="X23" s="508" t="s"/>
      <c r="Y23" s="508" t="s"/>
    </row>
    <row r="24" spans="1:25">
      <c r="A24" s="831" t="s"/>
      <c r="B24" s="832" t="s"/>
      <c r="C24" s="832">
        <v>300</v>
      </c>
      <c r="D24" s="831" t="s"/>
      <c r="E24" s="832" t="s"/>
      <c r="F24" s="833" t="s"/>
      <c r="G24" s="833" t="s"/>
      <c r="H24" s="1197" t="s"/>
      <c r="I24" s="1198" t="s"/>
      <c r="J24" s="1198" t="s"/>
      <c r="K24" s="1198" t="s"/>
      <c r="L24" s="1199" t="s"/>
      <c r="M24" s="508" t="s"/>
      <c r="N24" s="508" t="s"/>
      <c r="O24" s="508" t="s"/>
      <c r="P24" s="508" t="s"/>
      <c r="Q24" s="508" t="s"/>
      <c r="R24" s="508" t="s"/>
      <c r="S24" s="508" t="s"/>
      <c r="T24" s="508" t="s"/>
      <c r="U24" s="508" t="s"/>
      <c r="V24" s="508" t="s"/>
      <c r="W24" s="508" t="s"/>
      <c r="X24" s="508" t="s"/>
      <c r="Y24" s="508" t="s"/>
    </row>
    <row r="25" spans="1:25">
      <c r="A25" s="680" t="s"/>
      <c r="B25" s="837" t="s"/>
      <c r="C25" s="837" t="s"/>
      <c r="D25" s="838" t="s"/>
      <c r="E25" s="837" t="s"/>
      <c r="F25" s="839" t="s"/>
      <c r="G25" s="839" t="s"/>
      <c r="H25" s="837" t="s"/>
      <c r="I25" s="508" t="s"/>
      <c r="J25" s="508" t="s"/>
      <c r="K25" s="508" t="s"/>
      <c r="L25" s="508" t="s"/>
      <c r="M25" s="508" t="s"/>
      <c r="N25" s="508" t="s"/>
      <c r="O25" s="508" t="s"/>
      <c r="P25" s="508" t="s"/>
      <c r="Q25" s="508" t="s"/>
      <c r="R25" s="508" t="s"/>
      <c r="S25" s="508" t="s"/>
      <c r="T25" s="508" t="s"/>
      <c r="U25" s="508" t="s"/>
      <c r="V25" s="508" t="s"/>
      <c r="W25" s="508" t="s"/>
      <c r="X25" s="508" t="s"/>
      <c r="Y25" s="508" t="s"/>
    </row>
    <row r="26" spans="1:25">
      <c r="A26" s="680" t="s"/>
      <c r="B26" s="837" t="s"/>
      <c r="C26" s="837" t="s"/>
      <c r="D26" s="838" t="s"/>
      <c r="E26" s="837" t="s"/>
      <c r="F26" s="839" t="s"/>
      <c r="G26" s="839" t="s"/>
      <c r="H26" s="837" t="s"/>
      <c r="I26" s="508" t="s"/>
      <c r="J26" s="508" t="s"/>
      <c r="K26" s="508" t="s"/>
      <c r="L26" s="508" t="s"/>
      <c r="M26" s="508" t="s"/>
      <c r="N26" s="508" t="s"/>
      <c r="O26" s="508" t="s"/>
      <c r="P26" s="508" t="s"/>
      <c r="Q26" s="508" t="s"/>
      <c r="R26" s="508" t="s"/>
      <c r="S26" s="508" t="s"/>
      <c r="T26" s="508" t="s"/>
      <c r="U26" s="508" t="s"/>
      <c r="V26" s="508" t="s"/>
      <c r="W26" s="508" t="s"/>
      <c r="X26" s="508" t="s"/>
      <c r="Y26" s="508" t="s"/>
    </row>
    <row r="27" spans="1:25">
      <c r="A27" s="680" t="s"/>
      <c r="B27" s="841" t="s"/>
      <c r="C27" s="841" t="s"/>
      <c r="D27" s="838" t="s"/>
      <c r="E27" s="837" t="s"/>
      <c r="F27" s="839" t="s"/>
      <c r="G27" s="839" t="s"/>
      <c r="H27" s="837" t="s"/>
      <c r="I27" s="508" t="s"/>
      <c r="J27" s="508" t="s"/>
      <c r="K27" s="508" t="s"/>
      <c r="L27" s="508" t="s"/>
      <c r="M27" s="508" t="s"/>
      <c r="N27" s="508" t="s"/>
      <c r="O27" s="508" t="s"/>
      <c r="P27" s="508" t="s"/>
      <c r="Q27" s="508" t="s"/>
      <c r="R27" s="508" t="s"/>
      <c r="S27" s="508" t="s"/>
      <c r="T27" s="508" t="s"/>
      <c r="U27" s="508" t="s"/>
      <c r="V27" s="508" t="s"/>
      <c r="W27" s="508" t="s"/>
      <c r="X27" s="508" t="s"/>
      <c r="Y27" s="508" t="s"/>
    </row>
    <row r="28" spans="1:25">
      <c r="A28" s="680" t="s"/>
      <c r="B28" s="841" t="s"/>
      <c r="C28" s="841" t="s"/>
      <c r="D28" s="842" t="s"/>
      <c r="E28" s="841" t="s"/>
      <c r="F28" s="843" t="s"/>
      <c r="G28" s="843" t="s"/>
      <c r="H28" s="841" t="s"/>
      <c r="I28" s="508" t="s"/>
      <c r="J28" s="508" t="s"/>
      <c r="K28" s="508" t="s"/>
      <c r="L28" s="508" t="s"/>
      <c r="M28" s="508" t="s"/>
      <c r="N28" s="508" t="s"/>
      <c r="O28" s="508" t="s"/>
      <c r="P28" s="508" t="s"/>
      <c r="Q28" s="508" t="s"/>
      <c r="R28" s="508" t="s"/>
      <c r="S28" s="508" t="s"/>
      <c r="T28" s="508" t="s"/>
      <c r="U28" s="508" t="s"/>
      <c r="V28" s="508" t="s"/>
      <c r="W28" s="508" t="s"/>
      <c r="X28" s="508" t="s"/>
      <c r="Y28" s="508" t="s"/>
    </row>
    <row r="29" spans="1:25">
      <c r="A29" s="680" t="s"/>
      <c r="B29" s="837" t="s"/>
      <c r="C29" s="837" t="s"/>
      <c r="D29" s="838" t="s"/>
      <c r="E29" s="837" t="s"/>
      <c r="F29" s="839" t="s"/>
      <c r="G29" s="839" t="s"/>
      <c r="H29" s="837" t="s"/>
      <c r="I29" s="508" t="s"/>
      <c r="J29" s="508" t="s"/>
      <c r="K29" s="508" t="s"/>
      <c r="L29" s="508" t="s"/>
      <c r="M29" s="508" t="s"/>
      <c r="N29" s="508" t="s"/>
      <c r="O29" s="508" t="s"/>
      <c r="P29" s="508" t="s"/>
      <c r="Q29" s="508" t="s"/>
      <c r="R29" s="508" t="s"/>
      <c r="S29" s="508" t="s"/>
      <c r="T29" s="508" t="s"/>
      <c r="U29" s="508" t="s"/>
      <c r="V29" s="508" t="s"/>
      <c r="W29" s="508" t="s"/>
      <c r="X29" s="508" t="s"/>
      <c r="Y29" s="508" t="s"/>
    </row>
    <row r="30" spans="1:25">
      <c r="A30" s="680" t="s"/>
      <c r="B30" s="837" t="s"/>
      <c r="C30" s="837" t="s"/>
      <c r="D30" s="838" t="s"/>
      <c r="E30" s="837" t="s"/>
      <c r="F30" s="839" t="s"/>
      <c r="G30" s="839" t="s"/>
      <c r="H30" s="837" t="s"/>
      <c r="I30" s="508" t="s"/>
      <c r="J30" s="508" t="s"/>
      <c r="K30" s="508" t="s"/>
      <c r="L30" s="508" t="s"/>
      <c r="M30" s="508" t="s"/>
      <c r="N30" s="508" t="s"/>
      <c r="O30" s="508" t="s"/>
      <c r="P30" s="508" t="s"/>
      <c r="Q30" s="508" t="s"/>
      <c r="R30" s="508" t="s"/>
      <c r="S30" s="508" t="s"/>
      <c r="T30" s="508" t="s"/>
      <c r="U30" s="508" t="s"/>
      <c r="V30" s="508" t="s"/>
      <c r="W30" s="508" t="s"/>
      <c r="X30" s="508" t="s"/>
      <c r="Y30" s="508" t="s"/>
    </row>
    <row r="31" spans="1:25">
      <c r="A31" s="680" t="s"/>
      <c r="B31" s="837" t="s"/>
      <c r="C31" s="837" t="s"/>
      <c r="D31" s="838" t="s"/>
      <c r="E31" s="837" t="s"/>
      <c r="F31" s="839" t="s"/>
      <c r="G31" s="839" t="s"/>
      <c r="H31" s="837" t="s"/>
      <c r="I31" s="508" t="s"/>
      <c r="J31" s="508" t="s"/>
      <c r="K31" s="508" t="s"/>
      <c r="L31" s="508" t="s"/>
      <c r="M31" s="508" t="s"/>
      <c r="N31" s="508" t="s"/>
      <c r="O31" s="508" t="s"/>
      <c r="P31" s="508" t="s"/>
      <c r="Q31" s="508" t="s"/>
      <c r="R31" s="508" t="s"/>
      <c r="S31" s="508" t="s"/>
      <c r="T31" s="508" t="s"/>
      <c r="U31" s="508" t="s"/>
      <c r="V31" s="508" t="s"/>
      <c r="W31" s="508" t="s"/>
      <c r="X31" s="508" t="s"/>
      <c r="Y31" s="508" t="s"/>
    </row>
    <row r="32" spans="1:25">
      <c r="A32" s="680" t="s"/>
      <c r="B32" s="837" t="s"/>
      <c r="C32" s="837" t="s"/>
      <c r="D32" s="838" t="s"/>
      <c r="E32" s="837" t="s"/>
      <c r="F32" s="839" t="s"/>
      <c r="G32" s="839" t="s"/>
      <c r="H32" s="837" t="s"/>
      <c r="I32" s="508" t="s"/>
      <c r="J32" s="508" t="s"/>
      <c r="K32" s="508" t="s"/>
      <c r="L32" s="508" t="s"/>
      <c r="M32" s="508" t="s"/>
      <c r="N32" s="508" t="s"/>
      <c r="O32" s="508" t="s"/>
      <c r="P32" s="508" t="s"/>
      <c r="Q32" s="508" t="s"/>
      <c r="R32" s="508" t="s"/>
      <c r="S32" s="508" t="s"/>
      <c r="T32" s="508" t="s"/>
      <c r="U32" s="508" t="s"/>
      <c r="V32" s="508" t="s"/>
      <c r="W32" s="508" t="s"/>
      <c r="X32" s="508" t="s"/>
      <c r="Y32" s="508" t="s"/>
    </row>
    <row r="33" spans="1:25">
      <c r="A33" s="680" t="s"/>
      <c r="B33" s="837" t="s"/>
      <c r="C33" s="837" t="s"/>
      <c r="D33" s="838" t="s"/>
      <c r="E33" s="837" t="s"/>
      <c r="F33" s="839" t="s"/>
      <c r="G33" s="839" t="s"/>
      <c r="H33" s="837" t="s"/>
      <c r="I33" s="508" t="s"/>
      <c r="J33" s="508" t="s"/>
      <c r="K33" s="508" t="s"/>
      <c r="L33" s="508" t="s"/>
      <c r="M33" s="508" t="s"/>
      <c r="N33" s="508" t="s"/>
      <c r="O33" s="508" t="s"/>
      <c r="P33" s="508" t="s"/>
      <c r="Q33" s="508" t="s"/>
      <c r="R33" s="508" t="s"/>
      <c r="S33" s="508" t="s"/>
      <c r="T33" s="508" t="s"/>
      <c r="U33" s="508" t="s"/>
      <c r="V33" s="508" t="s"/>
      <c r="W33" s="508" t="s"/>
      <c r="X33" s="508" t="s"/>
      <c r="Y33" s="508" t="s"/>
    </row>
    <row r="34" spans="1:25">
      <c r="A34" s="680" t="s"/>
      <c r="B34" s="837" t="s"/>
      <c r="C34" s="837" t="s"/>
      <c r="D34" s="838" t="s"/>
      <c r="E34" s="837" t="s"/>
      <c r="F34" s="839" t="s"/>
      <c r="G34" s="839" t="s"/>
      <c r="H34" s="837" t="s"/>
      <c r="I34" s="508" t="s"/>
      <c r="J34" s="508" t="s"/>
      <c r="K34" s="508" t="s"/>
      <c r="L34" s="508" t="s"/>
      <c r="M34" s="508" t="s"/>
      <c r="N34" s="508" t="s"/>
      <c r="O34" s="508" t="s"/>
      <c r="P34" s="508" t="s"/>
      <c r="Q34" s="508" t="s"/>
      <c r="R34" s="508" t="s"/>
      <c r="S34" s="508" t="s"/>
      <c r="T34" s="508" t="s"/>
      <c r="U34" s="508" t="s"/>
      <c r="V34" s="508" t="s"/>
      <c r="W34" s="508" t="s"/>
      <c r="X34" s="508" t="s"/>
      <c r="Y34" s="508" t="s"/>
    </row>
    <row r="35" spans="1:25">
      <c r="A35" s="680" t="s"/>
      <c r="B35" s="837" t="s"/>
      <c r="C35" s="837" t="s"/>
      <c r="D35" s="838" t="s"/>
      <c r="E35" s="837" t="s"/>
      <c r="F35" s="839" t="s"/>
      <c r="G35" s="839" t="s"/>
      <c r="H35" s="837" t="s"/>
      <c r="I35" s="508" t="s"/>
      <c r="J35" s="508" t="s"/>
      <c r="K35" s="508" t="s"/>
      <c r="L35" s="508" t="s"/>
      <c r="M35" s="508" t="s"/>
      <c r="N35" s="508" t="s"/>
      <c r="O35" s="508" t="s"/>
      <c r="P35" s="508" t="s"/>
      <c r="Q35" s="508" t="s"/>
      <c r="R35" s="508" t="s"/>
      <c r="S35" s="508" t="s"/>
      <c r="T35" s="508" t="s"/>
      <c r="U35" s="508" t="s"/>
      <c r="V35" s="508" t="s"/>
      <c r="W35" s="508" t="s"/>
      <c r="X35" s="508" t="s"/>
      <c r="Y35" s="508" t="s"/>
    </row>
    <row r="36" spans="1:25">
      <c r="A36" s="680" t="s"/>
      <c r="B36" s="837" t="s"/>
      <c r="C36" s="837" t="s"/>
      <c r="D36" s="838" t="s"/>
      <c r="E36" s="837" t="s"/>
      <c r="F36" s="839" t="s"/>
      <c r="G36" s="839" t="s"/>
      <c r="H36" s="837" t="s"/>
      <c r="I36" s="508" t="s"/>
      <c r="J36" s="508" t="s"/>
      <c r="K36" s="508" t="s"/>
      <c r="L36" s="508" t="s"/>
      <c r="M36" s="508" t="s"/>
      <c r="N36" s="508" t="s"/>
      <c r="O36" s="508" t="s"/>
      <c r="P36" s="508" t="s"/>
      <c r="Q36" s="508" t="s"/>
      <c r="R36" s="508" t="s"/>
      <c r="S36" s="508" t="s"/>
      <c r="T36" s="508" t="s"/>
      <c r="U36" s="508" t="s"/>
      <c r="V36" s="508" t="s"/>
      <c r="W36" s="508" t="s"/>
      <c r="X36" s="508" t="s"/>
      <c r="Y36" s="508" t="s"/>
    </row>
    <row r="37" spans="1:25">
      <c r="A37" s="680" t="s"/>
      <c r="B37" s="837" t="s"/>
      <c r="C37" s="837" t="s"/>
      <c r="D37" s="838" t="s"/>
      <c r="E37" s="837" t="s"/>
      <c r="F37" s="839" t="s"/>
      <c r="G37" s="839" t="s"/>
      <c r="H37" s="837" t="s"/>
      <c r="I37" s="508" t="s"/>
      <c r="J37" s="508" t="s"/>
      <c r="K37" s="508" t="s"/>
      <c r="L37" s="508" t="s"/>
      <c r="M37" s="508" t="s"/>
      <c r="N37" s="508" t="s"/>
      <c r="O37" s="508" t="s"/>
      <c r="P37" s="508" t="s"/>
      <c r="Q37" s="508" t="s"/>
      <c r="R37" s="508" t="s"/>
      <c r="S37" s="508" t="s"/>
      <c r="T37" s="508" t="s"/>
      <c r="U37" s="508" t="s"/>
      <c r="V37" s="508" t="s"/>
      <c r="W37" s="508" t="s"/>
      <c r="X37" s="508" t="s"/>
      <c r="Y37" s="508" t="s"/>
    </row>
    <row r="38" spans="1:25">
      <c r="A38" s="680" t="s"/>
      <c r="B38" s="837" t="s"/>
      <c r="C38" s="837" t="s"/>
      <c r="D38" s="838" t="s"/>
      <c r="E38" s="837" t="s"/>
      <c r="F38" s="839" t="s"/>
      <c r="G38" s="839" t="s"/>
      <c r="H38" s="837" t="s"/>
      <c r="I38" s="508" t="s"/>
      <c r="J38" s="508" t="s"/>
      <c r="K38" s="508" t="s"/>
      <c r="L38" s="508" t="s"/>
      <c r="M38" s="508" t="s"/>
      <c r="N38" s="508" t="s"/>
      <c r="O38" s="508" t="s"/>
      <c r="P38" s="508" t="s"/>
      <c r="Q38" s="508" t="s"/>
      <c r="R38" s="508" t="s"/>
      <c r="S38" s="508" t="s"/>
      <c r="T38" s="508" t="s"/>
      <c r="U38" s="508" t="s"/>
      <c r="V38" s="508" t="s"/>
      <c r="W38" s="508" t="s"/>
      <c r="X38" s="508" t="s"/>
      <c r="Y38" s="508" t="s"/>
    </row>
    <row r="39" spans="1:25">
      <c r="A39" s="680" t="s"/>
      <c r="B39" s="837" t="s"/>
      <c r="C39" s="837" t="s"/>
      <c r="D39" s="838" t="s"/>
      <c r="E39" s="837" t="s"/>
      <c r="F39" s="839" t="s"/>
      <c r="G39" s="839" t="s"/>
      <c r="H39" s="837" t="s"/>
      <c r="I39" s="508" t="s"/>
      <c r="J39" s="508" t="s"/>
      <c r="K39" s="508" t="s"/>
      <c r="L39" s="508" t="s"/>
      <c r="M39" s="508" t="s"/>
      <c r="N39" s="508" t="s"/>
      <c r="O39" s="508" t="s"/>
      <c r="P39" s="508" t="s"/>
      <c r="Q39" s="508" t="s"/>
      <c r="R39" s="508" t="s"/>
      <c r="S39" s="508" t="s"/>
      <c r="T39" s="508" t="s"/>
      <c r="U39" s="508" t="s"/>
      <c r="V39" s="508" t="s"/>
      <c r="W39" s="508" t="s"/>
      <c r="X39" s="508" t="s"/>
      <c r="Y39" s="508" t="s"/>
    </row>
    <row r="40" spans="1:25">
      <c r="A40" s="680" t="s"/>
      <c r="B40" s="837" t="s"/>
      <c r="C40" s="837" t="s"/>
      <c r="D40" s="838" t="s"/>
      <c r="E40" s="837" t="s"/>
      <c r="F40" s="839" t="s"/>
      <c r="G40" s="839" t="s"/>
      <c r="H40" s="837" t="s"/>
      <c r="I40" s="508" t="s"/>
      <c r="J40" s="508" t="s"/>
      <c r="K40" s="508" t="s"/>
      <c r="L40" s="508" t="s"/>
      <c r="M40" s="508" t="s"/>
      <c r="N40" s="508" t="s"/>
      <c r="O40" s="508" t="s"/>
      <c r="P40" s="508" t="s"/>
      <c r="Q40" s="508" t="s"/>
      <c r="R40" s="508" t="s"/>
      <c r="S40" s="508" t="s"/>
      <c r="T40" s="508" t="s"/>
      <c r="U40" s="508" t="s"/>
      <c r="V40" s="508" t="s"/>
      <c r="W40" s="508" t="s"/>
      <c r="X40" s="508" t="s"/>
      <c r="Y40" s="508" t="s"/>
    </row>
    <row r="41" spans="1:25">
      <c r="A41" s="680" t="s"/>
      <c r="B41" s="837" t="s"/>
      <c r="C41" s="837" t="s"/>
      <c r="D41" s="838" t="s"/>
      <c r="E41" s="837" t="s"/>
      <c r="F41" s="839" t="s"/>
      <c r="G41" s="839" t="s"/>
      <c r="H41" s="837" t="s"/>
      <c r="I41" s="508" t="s"/>
      <c r="J41" s="508" t="s"/>
      <c r="K41" s="508" t="s"/>
      <c r="L41" s="508" t="s"/>
      <c r="M41" s="508" t="s"/>
      <c r="N41" s="508" t="s"/>
      <c r="O41" s="508" t="s"/>
      <c r="P41" s="508" t="s"/>
      <c r="Q41" s="508" t="s"/>
      <c r="R41" s="508" t="s"/>
      <c r="S41" s="508" t="s"/>
      <c r="T41" s="508" t="s"/>
      <c r="U41" s="508" t="s"/>
      <c r="V41" s="508" t="s"/>
      <c r="W41" s="508" t="s"/>
      <c r="X41" s="508" t="s"/>
      <c r="Y41" s="508" t="s"/>
    </row>
    <row r="42" spans="1:25">
      <c r="A42" s="680" t="s"/>
      <c r="B42" s="837" t="s"/>
      <c r="C42" s="837" t="s"/>
      <c r="D42" s="838" t="s"/>
      <c r="E42" s="837" t="s"/>
      <c r="F42" s="839" t="s"/>
      <c r="G42" s="839" t="s"/>
      <c r="H42" s="837" t="s"/>
      <c r="I42" s="508" t="s"/>
      <c r="J42" s="508" t="s"/>
      <c r="K42" s="508" t="s"/>
      <c r="L42" s="508" t="s"/>
      <c r="M42" s="508" t="s"/>
      <c r="N42" s="508" t="s"/>
      <c r="O42" s="508" t="s"/>
      <c r="P42" s="508" t="s"/>
      <c r="Q42" s="508" t="s"/>
      <c r="R42" s="508" t="s"/>
      <c r="S42" s="508" t="s"/>
      <c r="T42" s="508" t="s"/>
      <c r="U42" s="508" t="s"/>
      <c r="V42" s="508" t="s"/>
      <c r="W42" s="508" t="s"/>
      <c r="X42" s="508" t="s"/>
      <c r="Y42" s="508" t="s"/>
    </row>
    <row r="43" spans="1:25">
      <c r="A43" s="680" t="s"/>
      <c r="B43" s="837" t="s"/>
      <c r="C43" s="837" t="s"/>
      <c r="D43" s="838" t="s"/>
      <c r="E43" s="837" t="s"/>
      <c r="F43" s="839" t="s"/>
      <c r="G43" s="839" t="s"/>
      <c r="H43" s="837" t="s"/>
      <c r="I43" s="508" t="s"/>
      <c r="J43" s="508" t="s"/>
      <c r="K43" s="508" t="s"/>
      <c r="L43" s="508" t="s"/>
      <c r="M43" s="508" t="s"/>
      <c r="N43" s="508" t="s"/>
      <c r="O43" s="508" t="s"/>
      <c r="P43" s="508" t="s"/>
      <c r="Q43" s="508" t="s"/>
      <c r="R43" s="508" t="s"/>
      <c r="S43" s="508" t="s"/>
      <c r="T43" s="508" t="s"/>
      <c r="U43" s="508" t="s"/>
      <c r="V43" s="508" t="s"/>
      <c r="W43" s="508" t="s"/>
      <c r="X43" s="508" t="s"/>
      <c r="Y43" s="508" t="s"/>
    </row>
    <row r="44" spans="1:25">
      <c r="A44" s="680" t="s"/>
      <c r="B44" s="837" t="s"/>
      <c r="C44" s="837" t="s"/>
      <c r="D44" s="838" t="s"/>
      <c r="E44" s="837" t="s"/>
      <c r="F44" s="839" t="s"/>
      <c r="G44" s="839" t="s"/>
      <c r="H44" s="837" t="s"/>
      <c r="I44" s="508" t="s"/>
      <c r="J44" s="508" t="s"/>
      <c r="K44" s="508" t="s"/>
      <c r="L44" s="508" t="s"/>
      <c r="M44" s="508" t="s"/>
      <c r="N44" s="508" t="s"/>
      <c r="O44" s="508" t="s"/>
      <c r="P44" s="508" t="s"/>
      <c r="Q44" s="508" t="s"/>
      <c r="R44" s="508" t="s"/>
      <c r="S44" s="508" t="s"/>
      <c r="T44" s="508" t="s"/>
      <c r="U44" s="508" t="s"/>
      <c r="V44" s="508" t="s"/>
      <c r="W44" s="508" t="s"/>
      <c r="X44" s="508" t="s"/>
      <c r="Y44" s="508" t="s"/>
    </row>
    <row r="45" spans="1:25">
      <c r="A45" s="680" t="s"/>
      <c r="B45" s="837" t="s"/>
      <c r="C45" s="837" t="s"/>
      <c r="D45" s="838" t="s"/>
      <c r="E45" s="837" t="s"/>
      <c r="F45" s="839" t="s"/>
      <c r="G45" s="839" t="s"/>
      <c r="H45" s="837" t="s"/>
      <c r="I45" s="508" t="s"/>
      <c r="J45" s="508" t="s"/>
      <c r="K45" s="508" t="s"/>
      <c r="L45" s="508" t="s"/>
      <c r="M45" s="508" t="s"/>
      <c r="N45" s="508" t="s"/>
      <c r="O45" s="508" t="s"/>
      <c r="P45" s="508" t="s"/>
      <c r="Q45" s="508" t="s"/>
      <c r="R45" s="508" t="s"/>
      <c r="S45" s="508" t="s"/>
      <c r="T45" s="508" t="s"/>
      <c r="U45" s="508" t="s"/>
      <c r="V45" s="508" t="s"/>
      <c r="W45" s="508" t="s"/>
      <c r="X45" s="508" t="s"/>
      <c r="Y45" s="508" t="s"/>
    </row>
    <row r="46" spans="1:25">
      <c r="A46" s="680" t="s"/>
      <c r="B46" s="837" t="s"/>
      <c r="C46" s="837" t="s"/>
      <c r="D46" s="838" t="s"/>
      <c r="E46" s="837" t="s"/>
      <c r="F46" s="839" t="s"/>
      <c r="G46" s="839" t="s"/>
      <c r="H46" s="837" t="s"/>
      <c r="I46" s="508" t="s"/>
      <c r="J46" s="508" t="s"/>
      <c r="K46" s="508" t="s"/>
      <c r="L46" s="508" t="s"/>
      <c r="M46" s="508" t="s"/>
      <c r="N46" s="508" t="s"/>
      <c r="O46" s="508" t="s"/>
      <c r="P46" s="508" t="s"/>
      <c r="Q46" s="508" t="s"/>
      <c r="R46" s="508" t="s"/>
      <c r="S46" s="508" t="s"/>
      <c r="T46" s="508" t="s"/>
      <c r="U46" s="508" t="s"/>
      <c r="V46" s="508" t="s"/>
      <c r="W46" s="508" t="s"/>
      <c r="X46" s="508" t="s"/>
      <c r="Y46" s="508" t="s"/>
    </row>
    <row r="47" spans="1:25">
      <c r="A47" s="680" t="s"/>
      <c r="B47" s="837" t="s"/>
      <c r="C47" s="837" t="s"/>
      <c r="D47" s="838" t="s"/>
      <c r="E47" s="837" t="s"/>
      <c r="F47" s="839" t="s"/>
      <c r="G47" s="839" t="s"/>
      <c r="H47" s="837" t="s"/>
      <c r="I47" s="508" t="s"/>
      <c r="J47" s="508" t="s"/>
      <c r="K47" s="508" t="s"/>
      <c r="L47" s="508" t="s"/>
      <c r="M47" s="508" t="s"/>
      <c r="N47" s="508" t="s"/>
      <c r="O47" s="508" t="s"/>
      <c r="P47" s="508" t="s"/>
      <c r="Q47" s="508" t="s"/>
      <c r="R47" s="508" t="s"/>
      <c r="S47" s="508" t="s"/>
      <c r="T47" s="508" t="s"/>
      <c r="U47" s="508" t="s"/>
      <c r="V47" s="508" t="s"/>
      <c r="W47" s="508" t="s"/>
      <c r="X47" s="508" t="s"/>
      <c r="Y47" s="508" t="s"/>
    </row>
    <row r="48" spans="1:25">
      <c r="A48" s="680" t="s"/>
      <c r="B48" s="837" t="s"/>
      <c r="C48" s="837" t="s"/>
      <c r="D48" s="838" t="s"/>
      <c r="E48" s="837" t="s"/>
      <c r="F48" s="839" t="s"/>
      <c r="G48" s="839" t="s"/>
      <c r="H48" s="837" t="s"/>
      <c r="I48" s="508" t="s"/>
      <c r="J48" s="508" t="s"/>
      <c r="K48" s="508" t="s"/>
      <c r="L48" s="508" t="s"/>
      <c r="M48" s="508" t="s"/>
      <c r="N48" s="508" t="s"/>
      <c r="O48" s="508" t="s"/>
      <c r="P48" s="508" t="s"/>
      <c r="Q48" s="508" t="s"/>
      <c r="R48" s="508" t="s"/>
      <c r="S48" s="508" t="s"/>
      <c r="T48" s="508" t="s"/>
      <c r="U48" s="508" t="s"/>
      <c r="V48" s="508" t="s"/>
      <c r="W48" s="508" t="s"/>
      <c r="X48" s="508" t="s"/>
      <c r="Y48" s="508" t="s"/>
    </row>
    <row r="49" spans="1:25">
      <c r="A49" s="680" t="s"/>
      <c r="B49" s="837" t="s"/>
      <c r="C49" s="837" t="s"/>
      <c r="D49" s="838" t="s"/>
      <c r="E49" s="837" t="s"/>
      <c r="F49" s="839" t="s"/>
      <c r="G49" s="839" t="s"/>
      <c r="H49" s="837" t="s"/>
      <c r="I49" s="508" t="s"/>
      <c r="J49" s="508" t="s"/>
      <c r="K49" s="508" t="s"/>
      <c r="L49" s="508" t="s"/>
      <c r="M49" s="508" t="s"/>
      <c r="N49" s="508" t="s"/>
      <c r="O49" s="508" t="s"/>
      <c r="P49" s="508" t="s"/>
      <c r="Q49" s="508" t="s"/>
      <c r="R49" s="508" t="s"/>
      <c r="S49" s="508" t="s"/>
      <c r="T49" s="508" t="s"/>
      <c r="U49" s="508" t="s"/>
      <c r="V49" s="508" t="s"/>
      <c r="W49" s="508" t="s"/>
      <c r="X49" s="508" t="s"/>
      <c r="Y49" s="508" t="s"/>
    </row>
    <row r="50" spans="1:25">
      <c r="A50" s="680" t="s"/>
      <c r="B50" s="837" t="s"/>
      <c r="C50" s="837" t="s"/>
      <c r="D50" s="838" t="s"/>
      <c r="E50" s="837" t="s"/>
      <c r="F50" s="839" t="s"/>
      <c r="G50" s="839" t="s"/>
      <c r="H50" s="837" t="s"/>
      <c r="I50" s="508" t="s"/>
      <c r="J50" s="508" t="s"/>
      <c r="K50" s="508" t="s"/>
      <c r="L50" s="508" t="s"/>
      <c r="M50" s="508" t="s"/>
      <c r="N50" s="508" t="s"/>
      <c r="O50" s="508" t="s"/>
      <c r="P50" s="508" t="s"/>
      <c r="Q50" s="508" t="s"/>
      <c r="R50" s="508" t="s"/>
      <c r="S50" s="508" t="s"/>
      <c r="T50" s="508" t="s"/>
      <c r="U50" s="508" t="s"/>
      <c r="V50" s="508" t="s"/>
      <c r="W50" s="508" t="s"/>
      <c r="X50" s="508" t="s"/>
      <c r="Y50" s="508" t="s"/>
    </row>
    <row r="51" spans="1:25">
      <c r="A51" s="680" t="s"/>
      <c r="B51" s="837" t="s"/>
      <c r="C51" s="837" t="s"/>
      <c r="D51" s="838" t="s"/>
      <c r="E51" s="837" t="s"/>
      <c r="F51" s="839" t="s"/>
      <c r="G51" s="839" t="s"/>
      <c r="H51" s="837" t="s"/>
      <c r="I51" s="508" t="s"/>
      <c r="J51" s="508" t="s"/>
      <c r="K51" s="508" t="s"/>
      <c r="L51" s="508" t="s"/>
      <c r="M51" s="508" t="s"/>
      <c r="N51" s="508" t="s"/>
      <c r="O51" s="508" t="s"/>
      <c r="P51" s="508" t="s"/>
      <c r="Q51" s="508" t="s"/>
      <c r="R51" s="508" t="s"/>
      <c r="S51" s="508" t="s"/>
      <c r="T51" s="508" t="s"/>
      <c r="U51" s="508" t="s"/>
      <c r="V51" s="508" t="s"/>
      <c r="W51" s="508" t="s"/>
      <c r="X51" s="508" t="s"/>
      <c r="Y51" s="508" t="s"/>
    </row>
    <row r="52" spans="1:25">
      <c r="A52" s="680" t="s"/>
      <c r="B52" s="837" t="s"/>
      <c r="C52" s="837" t="s"/>
      <c r="D52" s="838" t="s"/>
      <c r="E52" s="837" t="s"/>
      <c r="F52" s="839" t="s"/>
      <c r="G52" s="839" t="s"/>
      <c r="H52" s="837" t="s"/>
      <c r="I52" s="508" t="s"/>
      <c r="J52" s="508" t="s"/>
      <c r="K52" s="508" t="s"/>
      <c r="L52" s="508" t="s"/>
      <c r="M52" s="508" t="s"/>
      <c r="N52" s="508" t="s"/>
      <c r="O52" s="508" t="s"/>
      <c r="P52" s="508" t="s"/>
      <c r="Q52" s="508" t="s"/>
      <c r="R52" s="508" t="s"/>
      <c r="S52" s="508" t="s"/>
      <c r="T52" s="508" t="s"/>
      <c r="U52" s="508" t="s"/>
      <c r="V52" s="508" t="s"/>
      <c r="W52" s="508" t="s"/>
      <c r="X52" s="508" t="s"/>
      <c r="Y52" s="508" t="s"/>
    </row>
    <row r="53" spans="1:25">
      <c r="A53" s="680" t="s"/>
      <c r="B53" s="837" t="s"/>
      <c r="C53" s="837" t="s"/>
      <c r="D53" s="838" t="s"/>
      <c r="E53" s="837" t="s"/>
      <c r="F53" s="839" t="s"/>
      <c r="G53" s="839" t="s"/>
      <c r="H53" s="837" t="s"/>
      <c r="I53" s="508" t="s"/>
      <c r="J53" s="508" t="s"/>
      <c r="K53" s="508" t="s"/>
      <c r="L53" s="508" t="s"/>
      <c r="M53" s="508" t="s"/>
      <c r="N53" s="508" t="s"/>
      <c r="O53" s="508" t="s"/>
      <c r="P53" s="508" t="s"/>
      <c r="Q53" s="508" t="s"/>
      <c r="R53" s="508" t="s"/>
      <c r="S53" s="508" t="s"/>
      <c r="T53" s="508" t="s"/>
      <c r="U53" s="508" t="s"/>
      <c r="V53" s="508" t="s"/>
      <c r="W53" s="508" t="s"/>
      <c r="X53" s="508" t="s"/>
      <c r="Y53" s="508" t="s"/>
    </row>
    <row r="54" spans="1:25">
      <c r="A54" s="680" t="s"/>
      <c r="B54" s="837" t="s"/>
      <c r="C54" s="837" t="s"/>
      <c r="D54" s="838" t="s"/>
      <c r="E54" s="837" t="s"/>
      <c r="F54" s="839" t="s"/>
      <c r="G54" s="839" t="s"/>
      <c r="H54" s="837" t="s"/>
      <c r="I54" s="508" t="s"/>
      <c r="J54" s="508" t="s"/>
      <c r="K54" s="508" t="s"/>
      <c r="L54" s="508" t="s"/>
      <c r="M54" s="508" t="s"/>
      <c r="N54" s="508" t="s"/>
      <c r="O54" s="508" t="s"/>
      <c r="P54" s="508" t="s"/>
      <c r="Q54" s="508" t="s"/>
      <c r="R54" s="508" t="s"/>
      <c r="S54" s="508" t="s"/>
      <c r="T54" s="508" t="s"/>
      <c r="U54" s="508" t="s"/>
      <c r="V54" s="508" t="s"/>
      <c r="W54" s="508" t="s"/>
      <c r="X54" s="508" t="s"/>
      <c r="Y54" s="508" t="s"/>
    </row>
    <row r="55" spans="1:25">
      <c r="A55" s="680" t="s"/>
      <c r="B55" s="837" t="s"/>
      <c r="C55" s="837" t="s"/>
      <c r="D55" s="838" t="s"/>
      <c r="E55" s="837" t="s"/>
      <c r="F55" s="839" t="s"/>
      <c r="G55" s="839" t="s"/>
      <c r="H55" s="837" t="s"/>
      <c r="I55" s="508" t="s"/>
      <c r="J55" s="508" t="s"/>
      <c r="K55" s="508" t="s"/>
      <c r="L55" s="508" t="s"/>
      <c r="M55" s="508" t="s"/>
      <c r="N55" s="508" t="s"/>
      <c r="O55" s="508" t="s"/>
      <c r="P55" s="508" t="s"/>
      <c r="Q55" s="508" t="s"/>
      <c r="R55" s="508" t="s"/>
      <c r="S55" s="508" t="s"/>
      <c r="T55" s="508" t="s"/>
      <c r="U55" s="508" t="s"/>
      <c r="V55" s="508" t="s"/>
      <c r="W55" s="508" t="s"/>
      <c r="X55" s="508" t="s"/>
      <c r="Y55" s="508" t="s"/>
    </row>
    <row r="56" spans="1:25">
      <c r="A56" s="680" t="s"/>
      <c r="B56" s="837" t="s"/>
      <c r="C56" s="837" t="s"/>
      <c r="D56" s="838" t="s"/>
      <c r="E56" s="837" t="s"/>
      <c r="F56" s="839" t="s"/>
      <c r="G56" s="839" t="s"/>
      <c r="H56" s="837" t="s"/>
      <c r="I56" s="508" t="s"/>
      <c r="J56" s="508" t="s"/>
      <c r="K56" s="508" t="s"/>
      <c r="L56" s="508" t="s"/>
      <c r="M56" s="508" t="s"/>
      <c r="N56" s="508" t="s"/>
      <c r="O56" s="508" t="s"/>
      <c r="P56" s="508" t="s"/>
      <c r="Q56" s="508" t="s"/>
      <c r="R56" s="508" t="s"/>
      <c r="S56" s="508" t="s"/>
      <c r="T56" s="508" t="s"/>
      <c r="U56" s="508" t="s"/>
      <c r="V56" s="508" t="s"/>
      <c r="W56" s="508" t="s"/>
      <c r="X56" s="508" t="s"/>
      <c r="Y56" s="508" t="s"/>
    </row>
    <row r="57" spans="1:25">
      <c r="A57" s="680" t="s"/>
      <c r="B57" s="837" t="s"/>
      <c r="C57" s="837" t="s"/>
      <c r="D57" s="838" t="s"/>
      <c r="E57" s="837" t="s"/>
      <c r="F57" s="839" t="s"/>
      <c r="G57" s="839" t="s"/>
      <c r="H57" s="837" t="s"/>
      <c r="I57" s="508" t="s"/>
      <c r="J57" s="508" t="s"/>
      <c r="K57" s="508" t="s"/>
      <c r="L57" s="508" t="s"/>
      <c r="M57" s="508" t="s"/>
      <c r="N57" s="508" t="s"/>
      <c r="O57" s="508" t="s"/>
      <c r="P57" s="508" t="s"/>
      <c r="Q57" s="508" t="s"/>
      <c r="R57" s="508" t="s"/>
      <c r="S57" s="508" t="s"/>
      <c r="T57" s="508" t="s"/>
      <c r="U57" s="508" t="s"/>
      <c r="V57" s="508" t="s"/>
      <c r="W57" s="508" t="s"/>
      <c r="X57" s="508" t="s"/>
      <c r="Y57" s="508" t="s"/>
    </row>
    <row r="58" spans="1:25">
      <c r="A58" s="680" t="s"/>
      <c r="B58" s="837" t="s"/>
      <c r="C58" s="837" t="s"/>
      <c r="D58" s="838" t="s"/>
      <c r="E58" s="837" t="s"/>
      <c r="F58" s="839" t="s"/>
      <c r="G58" s="839" t="s"/>
      <c r="H58" s="837" t="s"/>
      <c r="I58" s="508" t="s"/>
      <c r="J58" s="508" t="s"/>
      <c r="K58" s="508" t="s"/>
      <c r="L58" s="508" t="s"/>
      <c r="M58" s="508" t="s"/>
      <c r="N58" s="508" t="s"/>
      <c r="O58" s="508" t="s"/>
      <c r="P58" s="508" t="s"/>
      <c r="Q58" s="508" t="s"/>
      <c r="R58" s="508" t="s"/>
      <c r="S58" s="508" t="s"/>
      <c r="T58" s="508" t="s"/>
      <c r="U58" s="508" t="s"/>
      <c r="V58" s="508" t="s"/>
      <c r="W58" s="508" t="s"/>
      <c r="X58" s="508" t="s"/>
      <c r="Y58" s="508" t="s"/>
    </row>
    <row r="59" spans="1:25">
      <c r="A59" s="680" t="s"/>
      <c r="B59" s="837" t="s"/>
      <c r="C59" s="837" t="s"/>
      <c r="D59" s="838" t="s"/>
      <c r="E59" s="837" t="s"/>
      <c r="F59" s="839" t="s"/>
      <c r="G59" s="839" t="s"/>
      <c r="H59" s="837" t="s"/>
      <c r="I59" s="508" t="s"/>
      <c r="J59" s="508" t="s"/>
      <c r="K59" s="508" t="s"/>
      <c r="L59" s="508" t="s"/>
      <c r="M59" s="508" t="s"/>
      <c r="N59" s="508" t="s"/>
      <c r="O59" s="508" t="s"/>
      <c r="P59" s="508" t="s"/>
      <c r="Q59" s="508" t="s"/>
      <c r="R59" s="508" t="s"/>
      <c r="S59" s="508" t="s"/>
      <c r="T59" s="508" t="s"/>
      <c r="U59" s="508" t="s"/>
      <c r="V59" s="508" t="s"/>
      <c r="W59" s="508" t="s"/>
      <c r="X59" s="508" t="s"/>
      <c r="Y59" s="508" t="s"/>
    </row>
    <row r="60" spans="1:25">
      <c r="A60" s="680" t="s"/>
      <c r="B60" s="837" t="s"/>
      <c r="C60" s="837" t="s"/>
      <c r="D60" s="838" t="s"/>
      <c r="E60" s="837" t="s"/>
      <c r="F60" s="839" t="s"/>
      <c r="G60" s="839" t="s"/>
      <c r="H60" s="837" t="s"/>
      <c r="I60" s="508" t="s"/>
      <c r="J60" s="508" t="s"/>
      <c r="K60" s="508" t="s"/>
      <c r="L60" s="508" t="s"/>
      <c r="M60" s="508" t="s"/>
      <c r="N60" s="508" t="s"/>
      <c r="O60" s="508" t="s"/>
      <c r="P60" s="508" t="s"/>
      <c r="Q60" s="508" t="s"/>
      <c r="R60" s="508" t="s"/>
      <c r="S60" s="508" t="s"/>
      <c r="T60" s="508" t="s"/>
      <c r="U60" s="508" t="s"/>
      <c r="V60" s="508" t="s"/>
      <c r="W60" s="508" t="s"/>
      <c r="X60" s="508" t="s"/>
      <c r="Y60" s="508" t="s"/>
    </row>
    <row r="61" spans="1:25">
      <c r="A61" s="680" t="s"/>
      <c r="B61" s="837" t="s"/>
      <c r="C61" s="837" t="s"/>
      <c r="D61" s="838" t="s"/>
      <c r="E61" s="837" t="s"/>
      <c r="F61" s="839" t="s"/>
      <c r="G61" s="839" t="s"/>
      <c r="H61" s="837" t="s"/>
      <c r="I61" s="508" t="s"/>
      <c r="J61" s="508" t="s"/>
      <c r="K61" s="508" t="s"/>
      <c r="L61" s="508" t="s"/>
      <c r="M61" s="508" t="s"/>
      <c r="N61" s="508" t="s"/>
      <c r="O61" s="508" t="s"/>
      <c r="P61" s="508" t="s"/>
      <c r="Q61" s="508" t="s"/>
      <c r="R61" s="508" t="s"/>
      <c r="S61" s="508" t="s"/>
      <c r="T61" s="508" t="s"/>
      <c r="U61" s="508" t="s"/>
      <c r="V61" s="508" t="s"/>
      <c r="W61" s="508" t="s"/>
      <c r="X61" s="508" t="s"/>
      <c r="Y61" s="508" t="s"/>
    </row>
    <row r="62" spans="1:25">
      <c r="A62" s="680" t="s"/>
      <c r="B62" s="837" t="s"/>
      <c r="C62" s="837" t="s"/>
      <c r="D62" s="838" t="s"/>
      <c r="E62" s="837" t="s"/>
      <c r="F62" s="839" t="s"/>
      <c r="G62" s="839" t="s"/>
      <c r="H62" s="837" t="s"/>
      <c r="I62" s="508" t="s"/>
      <c r="J62" s="508" t="s"/>
      <c r="K62" s="508" t="s"/>
      <c r="L62" s="508" t="s"/>
      <c r="M62" s="508" t="s"/>
      <c r="N62" s="508" t="s"/>
      <c r="O62" s="508" t="s"/>
      <c r="P62" s="508" t="s"/>
      <c r="Q62" s="508" t="s"/>
      <c r="R62" s="508" t="s"/>
      <c r="S62" s="508" t="s"/>
      <c r="T62" s="508" t="s"/>
      <c r="U62" s="508" t="s"/>
      <c r="V62" s="508" t="s"/>
      <c r="W62" s="508" t="s"/>
      <c r="X62" s="508" t="s"/>
      <c r="Y62" s="508" t="s"/>
    </row>
    <row r="63" spans="1:25">
      <c r="A63" s="680" t="s"/>
      <c r="B63" s="837" t="s"/>
      <c r="C63" s="837" t="s"/>
      <c r="D63" s="838" t="s"/>
      <c r="E63" s="837" t="s"/>
      <c r="F63" s="839" t="s"/>
      <c r="G63" s="839" t="s"/>
      <c r="H63" s="837" t="s"/>
      <c r="I63" s="508" t="s"/>
      <c r="J63" s="508" t="s"/>
      <c r="K63" s="508" t="s"/>
      <c r="L63" s="508" t="s"/>
      <c r="M63" s="508" t="s"/>
      <c r="N63" s="508" t="s"/>
      <c r="O63" s="508" t="s"/>
      <c r="P63" s="508" t="s"/>
      <c r="Q63" s="508" t="s"/>
      <c r="R63" s="508" t="s"/>
      <c r="S63" s="508" t="s"/>
      <c r="T63" s="508" t="s"/>
      <c r="U63" s="508" t="s"/>
      <c r="V63" s="508" t="s"/>
      <c r="W63" s="508" t="s"/>
      <c r="X63" s="508" t="s"/>
      <c r="Y63" s="508" t="s"/>
    </row>
    <row r="64" spans="1:25">
      <c r="A64" s="680" t="s"/>
      <c r="B64" s="837" t="s"/>
      <c r="C64" s="837" t="s"/>
      <c r="D64" s="838" t="s"/>
      <c r="E64" s="837" t="s"/>
      <c r="F64" s="839" t="s"/>
      <c r="G64" s="839" t="s"/>
      <c r="H64" s="837" t="s"/>
      <c r="I64" s="508" t="s"/>
      <c r="J64" s="508" t="s"/>
      <c r="K64" s="508" t="s"/>
      <c r="L64" s="508" t="s"/>
      <c r="M64" s="508" t="s"/>
      <c r="N64" s="508" t="s"/>
      <c r="O64" s="508" t="s"/>
      <c r="P64" s="508" t="s"/>
      <c r="Q64" s="508" t="s"/>
      <c r="R64" s="508" t="s"/>
      <c r="S64" s="508" t="s"/>
      <c r="T64" s="508" t="s"/>
      <c r="U64" s="508" t="s"/>
      <c r="V64" s="508" t="s"/>
      <c r="W64" s="508" t="s"/>
      <c r="X64" s="508" t="s"/>
      <c r="Y64" s="508" t="s"/>
    </row>
    <row r="65" spans="1:25">
      <c r="A65" s="680" t="s"/>
      <c r="B65" s="837" t="s"/>
      <c r="C65" s="837" t="s"/>
      <c r="D65" s="838" t="s"/>
      <c r="E65" s="837" t="s"/>
      <c r="F65" s="839" t="s"/>
      <c r="G65" s="839" t="s"/>
      <c r="H65" s="837" t="s"/>
      <c r="I65" s="508" t="s"/>
      <c r="J65" s="508" t="s"/>
      <c r="K65" s="508" t="s"/>
      <c r="L65" s="508" t="s"/>
      <c r="M65" s="508" t="s"/>
      <c r="N65" s="508" t="s"/>
      <c r="O65" s="508" t="s"/>
      <c r="P65" s="508" t="s"/>
      <c r="Q65" s="508" t="s"/>
      <c r="R65" s="508" t="s"/>
      <c r="S65" s="508" t="s"/>
      <c r="T65" s="508" t="s"/>
      <c r="U65" s="508" t="s"/>
      <c r="V65" s="508" t="s"/>
      <c r="W65" s="508" t="s"/>
      <c r="X65" s="508" t="s"/>
      <c r="Y65" s="508" t="s"/>
    </row>
    <row r="66" spans="1:25">
      <c r="A66" s="680" t="s"/>
      <c r="B66" s="837" t="s"/>
      <c r="C66" s="837" t="s"/>
      <c r="D66" s="838" t="s"/>
      <c r="E66" s="837" t="s"/>
      <c r="F66" s="839" t="s"/>
      <c r="G66" s="839" t="s"/>
      <c r="H66" s="837" t="s"/>
      <c r="I66" s="508" t="s"/>
      <c r="J66" s="508" t="s"/>
      <c r="K66" s="508" t="s"/>
      <c r="L66" s="508" t="s"/>
      <c r="M66" s="508" t="s"/>
      <c r="N66" s="508" t="s"/>
      <c r="O66" s="508" t="s"/>
      <c r="P66" s="508" t="s"/>
      <c r="Q66" s="508" t="s"/>
      <c r="R66" s="508" t="s"/>
      <c r="S66" s="508" t="s"/>
      <c r="T66" s="508" t="s"/>
      <c r="U66" s="508" t="s"/>
      <c r="V66" s="508" t="s"/>
      <c r="W66" s="508" t="s"/>
      <c r="X66" s="508" t="s"/>
      <c r="Y66" s="508" t="s"/>
    </row>
    <row r="67" spans="1:25">
      <c r="A67" s="680" t="s"/>
      <c r="B67" s="837" t="s"/>
      <c r="C67" s="837" t="s"/>
      <c r="D67" s="838" t="s"/>
      <c r="E67" s="837" t="s"/>
      <c r="F67" s="839" t="s"/>
      <c r="G67" s="839" t="s"/>
      <c r="H67" s="837" t="s"/>
      <c r="I67" s="508" t="s"/>
      <c r="J67" s="508" t="s"/>
      <c r="K67" s="508" t="s"/>
      <c r="L67" s="508" t="s"/>
      <c r="M67" s="508" t="s"/>
      <c r="N67" s="508" t="s"/>
      <c r="O67" s="508" t="s"/>
      <c r="P67" s="508" t="s"/>
      <c r="Q67" s="508" t="s"/>
      <c r="R67" s="508" t="s"/>
      <c r="S67" s="508" t="s"/>
      <c r="T67" s="508" t="s"/>
      <c r="U67" s="508" t="s"/>
      <c r="V67" s="508" t="s"/>
      <c r="W67" s="508" t="s"/>
      <c r="X67" s="508" t="s"/>
      <c r="Y67" s="508" t="s"/>
    </row>
    <row r="68" spans="1:25">
      <c r="A68" s="680" t="s"/>
      <c r="B68" s="837" t="s"/>
      <c r="C68" s="837" t="s"/>
      <c r="D68" s="838" t="s"/>
      <c r="E68" s="837" t="s"/>
      <c r="F68" s="839" t="s"/>
      <c r="G68" s="839" t="s"/>
      <c r="H68" s="837" t="s"/>
      <c r="I68" s="508" t="s"/>
      <c r="J68" s="508" t="s"/>
      <c r="K68" s="508" t="s"/>
      <c r="L68" s="508" t="s"/>
      <c r="M68" s="508" t="s"/>
      <c r="N68" s="508" t="s"/>
      <c r="O68" s="508" t="s"/>
      <c r="P68" s="508" t="s"/>
      <c r="Q68" s="508" t="s"/>
      <c r="R68" s="508" t="s"/>
      <c r="S68" s="508" t="s"/>
      <c r="T68" s="508" t="s"/>
      <c r="U68" s="508" t="s"/>
      <c r="V68" s="508" t="s"/>
      <c r="W68" s="508" t="s"/>
      <c r="X68" s="508" t="s"/>
      <c r="Y68" s="508" t="s"/>
    </row>
    <row r="69" spans="1:25">
      <c r="A69" s="680" t="s"/>
      <c r="B69" s="837" t="s"/>
      <c r="C69" s="837" t="s"/>
      <c r="D69" s="838" t="s"/>
      <c r="E69" s="837" t="s"/>
      <c r="F69" s="839" t="s"/>
      <c r="G69" s="839" t="s"/>
      <c r="H69" s="837" t="s"/>
      <c r="I69" s="508" t="s"/>
      <c r="J69" s="508" t="s"/>
      <c r="K69" s="508" t="s"/>
      <c r="L69" s="508" t="s"/>
      <c r="M69" s="508" t="s"/>
      <c r="N69" s="508" t="s"/>
      <c r="O69" s="508" t="s"/>
      <c r="P69" s="508" t="s"/>
      <c r="Q69" s="508" t="s"/>
      <c r="R69" s="508" t="s"/>
      <c r="S69" s="508" t="s"/>
      <c r="T69" s="508" t="s"/>
      <c r="U69" s="508" t="s"/>
      <c r="V69" s="508" t="s"/>
      <c r="W69" s="508" t="s"/>
      <c r="X69" s="508" t="s"/>
      <c r="Y69" s="508" t="s"/>
    </row>
    <row r="70" spans="1:25">
      <c r="A70" s="680" t="s"/>
      <c r="B70" s="837" t="s"/>
      <c r="C70" s="837" t="s"/>
      <c r="D70" s="838" t="s"/>
      <c r="E70" s="837" t="s"/>
      <c r="F70" s="839" t="s"/>
      <c r="G70" s="839" t="s"/>
      <c r="H70" s="837" t="s"/>
      <c r="I70" s="508" t="s"/>
      <c r="J70" s="508" t="s"/>
      <c r="K70" s="508" t="s"/>
      <c r="L70" s="508" t="s"/>
      <c r="M70" s="508" t="s"/>
      <c r="N70" s="508" t="s"/>
      <c r="O70" s="508" t="s"/>
      <c r="P70" s="508" t="s"/>
      <c r="Q70" s="508" t="s"/>
      <c r="R70" s="508" t="s"/>
      <c r="S70" s="508" t="s"/>
      <c r="T70" s="508" t="s"/>
      <c r="U70" s="508" t="s"/>
      <c r="V70" s="508" t="s"/>
      <c r="W70" s="508" t="s"/>
      <c r="X70" s="508" t="s"/>
      <c r="Y70" s="508" t="s"/>
    </row>
    <row r="71" spans="1:25">
      <c r="A71" s="680" t="s"/>
      <c r="B71" s="837" t="s"/>
      <c r="C71" s="837" t="s"/>
      <c r="D71" s="838" t="s"/>
      <c r="E71" s="837" t="s"/>
      <c r="F71" s="839" t="s"/>
      <c r="G71" s="839" t="s"/>
      <c r="H71" s="837" t="s"/>
      <c r="I71" s="508" t="s"/>
      <c r="J71" s="508" t="s"/>
      <c r="K71" s="508" t="s"/>
      <c r="L71" s="508" t="s"/>
      <c r="M71" s="508" t="s"/>
      <c r="N71" s="508" t="s"/>
      <c r="O71" s="508" t="s"/>
      <c r="P71" s="508" t="s"/>
      <c r="Q71" s="508" t="s"/>
      <c r="R71" s="508" t="s"/>
      <c r="S71" s="508" t="s"/>
      <c r="T71" s="508" t="s"/>
      <c r="U71" s="508" t="s"/>
      <c r="V71" s="508" t="s"/>
      <c r="W71" s="508" t="s"/>
      <c r="X71" s="508" t="s"/>
      <c r="Y71" s="508" t="s"/>
    </row>
    <row r="72" spans="1:25">
      <c r="A72" s="680" t="s"/>
      <c r="B72" s="837" t="s"/>
      <c r="C72" s="837" t="s"/>
      <c r="D72" s="838" t="s"/>
      <c r="E72" s="837" t="s"/>
      <c r="F72" s="839" t="s"/>
      <c r="G72" s="839" t="s"/>
      <c r="H72" s="837" t="s"/>
      <c r="I72" s="508" t="s"/>
      <c r="J72" s="508" t="s"/>
      <c r="K72" s="508" t="s"/>
      <c r="L72" s="508" t="s"/>
      <c r="M72" s="508" t="s"/>
      <c r="N72" s="508" t="s"/>
      <c r="O72" s="508" t="s"/>
      <c r="P72" s="508" t="s"/>
      <c r="Q72" s="508" t="s"/>
      <c r="R72" s="508" t="s"/>
      <c r="S72" s="508" t="s"/>
      <c r="T72" s="508" t="s"/>
      <c r="U72" s="508" t="s"/>
      <c r="V72" s="508" t="s"/>
      <c r="W72" s="508" t="s"/>
      <c r="X72" s="508" t="s"/>
      <c r="Y72" s="508" t="s"/>
    </row>
    <row r="73" spans="1:25">
      <c r="A73" s="680" t="s"/>
      <c r="B73" s="837" t="s"/>
      <c r="C73" s="837" t="s"/>
      <c r="D73" s="838" t="s"/>
      <c r="E73" s="837" t="s"/>
      <c r="F73" s="839" t="s"/>
      <c r="G73" s="839" t="s"/>
      <c r="H73" s="837" t="s"/>
      <c r="I73" s="508" t="s"/>
      <c r="J73" s="508" t="s"/>
      <c r="K73" s="508" t="s"/>
      <c r="L73" s="508" t="s"/>
      <c r="M73" s="508" t="s"/>
      <c r="N73" s="508" t="s"/>
      <c r="O73" s="508" t="s"/>
      <c r="P73" s="508" t="s"/>
      <c r="Q73" s="508" t="s"/>
      <c r="R73" s="508" t="s"/>
      <c r="S73" s="508" t="s"/>
      <c r="T73" s="508" t="s"/>
      <c r="U73" s="508" t="s"/>
      <c r="V73" s="508" t="s"/>
      <c r="W73" s="508" t="s"/>
      <c r="X73" s="508" t="s"/>
      <c r="Y73" s="508" t="s"/>
    </row>
    <row r="74" spans="1:25">
      <c r="A74" s="680" t="s"/>
      <c r="B74" s="837" t="s"/>
      <c r="C74" s="837" t="s"/>
      <c r="D74" s="838" t="s"/>
      <c r="E74" s="837" t="s"/>
      <c r="F74" s="839" t="s"/>
      <c r="G74" s="839" t="s"/>
      <c r="H74" s="837" t="s"/>
      <c r="I74" s="508" t="s"/>
      <c r="J74" s="508" t="s"/>
      <c r="K74" s="508" t="s"/>
      <c r="L74" s="508" t="s"/>
      <c r="M74" s="508" t="s"/>
      <c r="N74" s="508" t="s"/>
      <c r="O74" s="508" t="s"/>
      <c r="P74" s="508" t="s"/>
      <c r="Q74" s="508" t="s"/>
      <c r="R74" s="508" t="s"/>
      <c r="S74" s="508" t="s"/>
      <c r="T74" s="508" t="s"/>
      <c r="U74" s="508" t="s"/>
      <c r="V74" s="508" t="s"/>
      <c r="W74" s="508" t="s"/>
      <c r="X74" s="508" t="s"/>
      <c r="Y74" s="508" t="s"/>
    </row>
    <row r="75" spans="1:25">
      <c r="A75" s="680" t="s"/>
      <c r="B75" s="837" t="s"/>
      <c r="C75" s="837" t="s"/>
      <c r="D75" s="838" t="s"/>
      <c r="E75" s="837" t="s"/>
      <c r="F75" s="839" t="s"/>
      <c r="G75" s="839" t="s"/>
      <c r="H75" s="837" t="s"/>
      <c r="I75" s="508" t="s"/>
      <c r="J75" s="508" t="s"/>
      <c r="K75" s="508" t="s"/>
      <c r="L75" s="508" t="s"/>
      <c r="M75" s="508" t="s"/>
      <c r="N75" s="508" t="s"/>
      <c r="O75" s="508" t="s"/>
      <c r="P75" s="508" t="s"/>
      <c r="Q75" s="508" t="s"/>
      <c r="R75" s="508" t="s"/>
      <c r="S75" s="508" t="s"/>
      <c r="T75" s="508" t="s"/>
      <c r="U75" s="508" t="s"/>
      <c r="V75" s="508" t="s"/>
      <c r="W75" s="508" t="s"/>
      <c r="X75" s="508" t="s"/>
      <c r="Y75" s="508" t="s"/>
    </row>
    <row r="76" spans="1:25">
      <c r="A76" s="680" t="s"/>
      <c r="B76" s="837" t="s"/>
      <c r="C76" s="837" t="s"/>
      <c r="D76" s="838" t="s"/>
      <c r="E76" s="837" t="s"/>
      <c r="F76" s="839" t="s"/>
      <c r="G76" s="839" t="s"/>
      <c r="H76" s="837" t="s"/>
      <c r="I76" s="508" t="s"/>
      <c r="J76" s="508" t="s"/>
      <c r="K76" s="508" t="s"/>
      <c r="L76" s="508" t="s"/>
      <c r="M76" s="508" t="s"/>
      <c r="N76" s="508" t="s"/>
      <c r="O76" s="508" t="s"/>
      <c r="P76" s="508" t="s"/>
      <c r="Q76" s="508" t="s"/>
      <c r="R76" s="508" t="s"/>
      <c r="S76" s="508" t="s"/>
      <c r="T76" s="508" t="s"/>
      <c r="U76" s="508" t="s"/>
      <c r="V76" s="508" t="s"/>
      <c r="W76" s="508" t="s"/>
      <c r="X76" s="508" t="s"/>
      <c r="Y76" s="508" t="s"/>
    </row>
    <row r="77" spans="1:25">
      <c r="A77" s="680" t="s"/>
      <c r="B77" s="837" t="s"/>
      <c r="C77" s="837" t="s"/>
      <c r="D77" s="838" t="s"/>
      <c r="E77" s="837" t="s"/>
      <c r="F77" s="839" t="s"/>
      <c r="G77" s="839" t="s"/>
      <c r="H77" s="837" t="s"/>
      <c r="I77" s="508" t="s"/>
      <c r="J77" s="508" t="s"/>
      <c r="K77" s="508" t="s"/>
      <c r="L77" s="508" t="s"/>
      <c r="M77" s="508" t="s"/>
      <c r="N77" s="508" t="s"/>
      <c r="O77" s="508" t="s"/>
      <c r="P77" s="508" t="s"/>
      <c r="Q77" s="508" t="s"/>
      <c r="R77" s="508" t="s"/>
      <c r="S77" s="508" t="s"/>
      <c r="T77" s="508" t="s"/>
      <c r="U77" s="508" t="s"/>
      <c r="V77" s="508" t="s"/>
      <c r="W77" s="508" t="s"/>
      <c r="X77" s="508" t="s"/>
      <c r="Y77" s="508" t="s"/>
    </row>
    <row r="78" spans="1:25">
      <c r="A78" s="680" t="s"/>
      <c r="B78" s="837" t="s"/>
      <c r="C78" s="837" t="s"/>
      <c r="D78" s="838" t="s"/>
      <c r="E78" s="837" t="s"/>
      <c r="F78" s="839" t="s"/>
      <c r="G78" s="839" t="s"/>
      <c r="H78" s="837" t="s"/>
      <c r="I78" s="508" t="s"/>
      <c r="J78" s="508" t="s"/>
      <c r="K78" s="508" t="s"/>
      <c r="L78" s="508" t="s"/>
      <c r="M78" s="508" t="s"/>
      <c r="N78" s="508" t="s"/>
      <c r="O78" s="508" t="s"/>
      <c r="P78" s="508" t="s"/>
      <c r="Q78" s="508" t="s"/>
      <c r="R78" s="508" t="s"/>
      <c r="S78" s="508" t="s"/>
      <c r="T78" s="508" t="s"/>
      <c r="U78" s="508" t="s"/>
      <c r="V78" s="508" t="s"/>
      <c r="W78" s="508" t="s"/>
      <c r="X78" s="508" t="s"/>
      <c r="Y78" s="508" t="s"/>
    </row>
    <row r="79" spans="1:25">
      <c r="A79" s="680" t="s"/>
      <c r="B79" s="837" t="s"/>
      <c r="C79" s="837" t="s"/>
      <c r="D79" s="838" t="s"/>
      <c r="E79" s="837" t="s"/>
      <c r="F79" s="839" t="s"/>
      <c r="G79" s="839" t="s"/>
      <c r="H79" s="837" t="s"/>
      <c r="I79" s="508" t="s"/>
      <c r="J79" s="508" t="s"/>
      <c r="K79" s="508" t="s"/>
      <c r="L79" s="508" t="s"/>
      <c r="M79" s="508" t="s"/>
      <c r="N79" s="508" t="s"/>
      <c r="O79" s="508" t="s"/>
      <c r="P79" s="508" t="s"/>
      <c r="Q79" s="508" t="s"/>
      <c r="R79" s="508" t="s"/>
      <c r="S79" s="508" t="s"/>
      <c r="T79" s="508" t="s"/>
      <c r="U79" s="508" t="s"/>
      <c r="V79" s="508" t="s"/>
      <c r="W79" s="508" t="s"/>
      <c r="X79" s="508" t="s"/>
      <c r="Y79" s="508" t="s"/>
    </row>
    <row r="80" spans="1:25">
      <c r="A80" s="680" t="s"/>
      <c r="B80" s="837" t="s"/>
      <c r="C80" s="837" t="s"/>
      <c r="D80" s="838" t="s"/>
      <c r="E80" s="837" t="s"/>
      <c r="F80" s="839" t="s"/>
      <c r="G80" s="839" t="s"/>
      <c r="H80" s="837" t="s"/>
      <c r="I80" s="508" t="s"/>
      <c r="J80" s="508" t="s"/>
      <c r="K80" s="508" t="s"/>
      <c r="L80" s="508" t="s"/>
      <c r="M80" s="508" t="s"/>
      <c r="N80" s="508" t="s"/>
      <c r="O80" s="508" t="s"/>
      <c r="P80" s="508" t="s"/>
      <c r="Q80" s="508" t="s"/>
      <c r="R80" s="508" t="s"/>
      <c r="S80" s="508" t="s"/>
      <c r="T80" s="508" t="s"/>
      <c r="U80" s="508" t="s"/>
      <c r="V80" s="508" t="s"/>
      <c r="W80" s="508" t="s"/>
      <c r="X80" s="508" t="s"/>
      <c r="Y80" s="508" t="s"/>
    </row>
    <row r="81" spans="1:25">
      <c r="A81" s="680" t="s"/>
      <c r="B81" s="837" t="s"/>
      <c r="C81" s="837" t="s"/>
      <c r="D81" s="838" t="s"/>
      <c r="E81" s="837" t="s"/>
      <c r="F81" s="839" t="s"/>
      <c r="G81" s="839" t="s"/>
      <c r="H81" s="837" t="s"/>
      <c r="I81" s="508" t="s"/>
      <c r="J81" s="508" t="s"/>
      <c r="K81" s="508" t="s"/>
      <c r="L81" s="508" t="s"/>
      <c r="M81" s="508" t="s"/>
      <c r="N81" s="508" t="s"/>
      <c r="O81" s="508" t="s"/>
      <c r="P81" s="508" t="s"/>
      <c r="Q81" s="508" t="s"/>
      <c r="R81" s="508" t="s"/>
      <c r="S81" s="508" t="s"/>
      <c r="T81" s="508" t="s"/>
      <c r="U81" s="508" t="s"/>
      <c r="V81" s="508" t="s"/>
      <c r="W81" s="508" t="s"/>
      <c r="X81" s="508" t="s"/>
      <c r="Y81" s="508" t="s"/>
    </row>
    <row r="82" spans="1:25">
      <c r="A82" s="680" t="s"/>
      <c r="B82" s="837" t="s"/>
      <c r="C82" s="837" t="s"/>
      <c r="D82" s="838" t="s"/>
      <c r="E82" s="837" t="s"/>
      <c r="F82" s="839" t="s"/>
      <c r="G82" s="839" t="s"/>
      <c r="H82" s="837" t="s"/>
      <c r="I82" s="508" t="s"/>
      <c r="J82" s="508" t="s"/>
      <c r="K82" s="508" t="s"/>
      <c r="L82" s="508" t="s"/>
      <c r="M82" s="508" t="s"/>
      <c r="N82" s="508" t="s"/>
      <c r="O82" s="508" t="s"/>
      <c r="P82" s="508" t="s"/>
      <c r="Q82" s="508" t="s"/>
      <c r="R82" s="508" t="s"/>
      <c r="S82" s="508" t="s"/>
      <c r="T82" s="508" t="s"/>
      <c r="U82" s="508" t="s"/>
      <c r="V82" s="508" t="s"/>
      <c r="W82" s="508" t="s"/>
      <c r="X82" s="508" t="s"/>
      <c r="Y82" s="508" t="s"/>
    </row>
    <row r="83" spans="1:25">
      <c r="A83" s="680" t="s"/>
      <c r="B83" s="837" t="s"/>
      <c r="C83" s="837" t="s"/>
      <c r="D83" s="838" t="s"/>
      <c r="E83" s="837" t="s"/>
      <c r="F83" s="839" t="s"/>
      <c r="G83" s="839" t="s"/>
      <c r="H83" s="837" t="s"/>
      <c r="I83" s="508" t="s"/>
      <c r="J83" s="508" t="s"/>
      <c r="K83" s="508" t="s"/>
      <c r="L83" s="508" t="s"/>
      <c r="M83" s="508" t="s"/>
      <c r="N83" s="508" t="s"/>
      <c r="O83" s="508" t="s"/>
      <c r="P83" s="508" t="s"/>
      <c r="Q83" s="508" t="s"/>
      <c r="R83" s="508" t="s"/>
      <c r="S83" s="508" t="s"/>
      <c r="T83" s="508" t="s"/>
      <c r="U83" s="508" t="s"/>
      <c r="V83" s="508" t="s"/>
      <c r="W83" s="508" t="s"/>
      <c r="X83" s="508" t="s"/>
      <c r="Y83" s="508" t="s"/>
    </row>
    <row r="84" spans="1:25">
      <c r="A84" s="680" t="s"/>
      <c r="B84" s="837" t="s"/>
      <c r="C84" s="837" t="s"/>
      <c r="D84" s="838" t="s"/>
      <c r="E84" s="837" t="s"/>
      <c r="F84" s="839" t="s"/>
      <c r="G84" s="839" t="s"/>
      <c r="H84" s="837" t="s"/>
      <c r="I84" s="508" t="s"/>
      <c r="J84" s="508" t="s"/>
      <c r="K84" s="508" t="s"/>
      <c r="L84" s="508" t="s"/>
      <c r="M84" s="508" t="s"/>
      <c r="N84" s="508" t="s"/>
      <c r="O84" s="508" t="s"/>
      <c r="P84" s="508" t="s"/>
      <c r="Q84" s="508" t="s"/>
      <c r="R84" s="508" t="s"/>
      <c r="S84" s="508" t="s"/>
      <c r="T84" s="508" t="s"/>
      <c r="U84" s="508" t="s"/>
      <c r="V84" s="508" t="s"/>
      <c r="W84" s="508" t="s"/>
      <c r="X84" s="508" t="s"/>
      <c r="Y84" s="508" t="s"/>
    </row>
    <row r="85" spans="1:25">
      <c r="A85" s="680" t="s"/>
      <c r="B85" s="837" t="s"/>
      <c r="C85" s="837" t="s"/>
      <c r="D85" s="838" t="s"/>
      <c r="E85" s="837" t="s"/>
      <c r="F85" s="839" t="s"/>
      <c r="G85" s="839" t="s"/>
      <c r="H85" s="837" t="s"/>
      <c r="I85" s="508" t="s"/>
      <c r="J85" s="508" t="s"/>
      <c r="K85" s="508" t="s"/>
      <c r="L85" s="508" t="s"/>
      <c r="M85" s="508" t="s"/>
      <c r="N85" s="508" t="s"/>
      <c r="O85" s="508" t="s"/>
      <c r="P85" s="508" t="s"/>
      <c r="Q85" s="508" t="s"/>
      <c r="R85" s="508" t="s"/>
      <c r="S85" s="508" t="s"/>
      <c r="T85" s="508" t="s"/>
      <c r="U85" s="508" t="s"/>
      <c r="V85" s="508" t="s"/>
      <c r="W85" s="508" t="s"/>
      <c r="X85" s="508" t="s"/>
      <c r="Y85" s="508" t="s"/>
    </row>
    <row r="86" spans="1:25">
      <c r="A86" s="680" t="s"/>
      <c r="B86" s="837" t="s"/>
      <c r="C86" s="837" t="s"/>
      <c r="D86" s="838" t="s"/>
      <c r="E86" s="837" t="s"/>
      <c r="F86" s="839" t="s"/>
      <c r="G86" s="839" t="s"/>
      <c r="H86" s="837" t="s"/>
      <c r="I86" s="508" t="s"/>
      <c r="J86" s="508" t="s"/>
      <c r="K86" s="508" t="s"/>
      <c r="L86" s="508" t="s"/>
      <c r="M86" s="508" t="s"/>
      <c r="N86" s="508" t="s"/>
      <c r="O86" s="508" t="s"/>
      <c r="P86" s="508" t="s"/>
      <c r="Q86" s="508" t="s"/>
      <c r="R86" s="508" t="s"/>
      <c r="S86" s="508" t="s"/>
      <c r="T86" s="508" t="s"/>
      <c r="U86" s="508" t="s"/>
      <c r="V86" s="508" t="s"/>
      <c r="W86" s="508" t="s"/>
      <c r="X86" s="508" t="s"/>
      <c r="Y86" s="508" t="s"/>
    </row>
    <row r="87" spans="1:25">
      <c r="A87" s="680" t="s"/>
      <c r="B87" s="837" t="s"/>
      <c r="C87" s="837" t="s"/>
      <c r="D87" s="838" t="s"/>
      <c r="E87" s="837" t="s"/>
      <c r="F87" s="839" t="s"/>
      <c r="G87" s="839" t="s"/>
      <c r="H87" s="837" t="s"/>
      <c r="I87" s="508" t="s"/>
      <c r="J87" s="508" t="s"/>
      <c r="K87" s="508" t="s"/>
      <c r="L87" s="508" t="s"/>
      <c r="M87" s="508" t="s"/>
      <c r="N87" s="508" t="s"/>
      <c r="O87" s="508" t="s"/>
      <c r="P87" s="508" t="s"/>
      <c r="Q87" s="508" t="s"/>
      <c r="R87" s="508" t="s"/>
      <c r="S87" s="508" t="s"/>
      <c r="T87" s="508" t="s"/>
      <c r="U87" s="508" t="s"/>
      <c r="V87" s="508" t="s"/>
      <c r="W87" s="508" t="s"/>
      <c r="X87" s="508" t="s"/>
      <c r="Y87" s="508" t="s"/>
    </row>
    <row r="88" spans="1:25">
      <c r="A88" s="680" t="s"/>
      <c r="B88" s="837" t="s"/>
      <c r="C88" s="837" t="s"/>
      <c r="D88" s="838" t="s"/>
      <c r="E88" s="837" t="s"/>
      <c r="F88" s="839" t="s"/>
      <c r="G88" s="839" t="s"/>
      <c r="H88" s="837" t="s"/>
      <c r="I88" s="508" t="s"/>
      <c r="J88" s="508" t="s"/>
      <c r="K88" s="508" t="s"/>
      <c r="L88" s="508" t="s"/>
      <c r="M88" s="508" t="s"/>
      <c r="N88" s="508" t="s"/>
      <c r="O88" s="508" t="s"/>
      <c r="P88" s="508" t="s"/>
      <c r="Q88" s="508" t="s"/>
      <c r="R88" s="508" t="s"/>
      <c r="S88" s="508" t="s"/>
      <c r="T88" s="508" t="s"/>
      <c r="U88" s="508" t="s"/>
      <c r="V88" s="508" t="s"/>
      <c r="W88" s="508" t="s"/>
      <c r="X88" s="508" t="s"/>
      <c r="Y88" s="508" t="s"/>
    </row>
    <row r="89" spans="1:25">
      <c r="A89" s="680" t="s"/>
      <c r="B89" s="837" t="s"/>
      <c r="C89" s="837" t="s"/>
      <c r="D89" s="838" t="s"/>
      <c r="E89" s="837" t="s"/>
      <c r="F89" s="839" t="s"/>
      <c r="G89" s="839" t="s"/>
      <c r="H89" s="837" t="s"/>
      <c r="I89" s="508" t="s"/>
      <c r="J89" s="508" t="s"/>
      <c r="K89" s="508" t="s"/>
      <c r="L89" s="508" t="s"/>
      <c r="M89" s="508" t="s"/>
      <c r="N89" s="508" t="s"/>
      <c r="O89" s="508" t="s"/>
      <c r="P89" s="508" t="s"/>
      <c r="Q89" s="508" t="s"/>
      <c r="R89" s="508" t="s"/>
      <c r="S89" s="508" t="s"/>
      <c r="T89" s="508" t="s"/>
      <c r="U89" s="508" t="s"/>
      <c r="V89" s="508" t="s"/>
      <c r="W89" s="508" t="s"/>
      <c r="X89" s="508" t="s"/>
      <c r="Y89" s="508" t="s"/>
    </row>
    <row r="90" spans="1:25">
      <c r="A90" s="680" t="s"/>
      <c r="B90" s="837" t="s"/>
      <c r="C90" s="837" t="s"/>
      <c r="D90" s="838" t="s"/>
      <c r="E90" s="837" t="s"/>
      <c r="F90" s="839" t="s"/>
      <c r="G90" s="839" t="s"/>
      <c r="H90" s="837" t="s"/>
      <c r="I90" s="508" t="s"/>
      <c r="J90" s="508" t="s"/>
      <c r="K90" s="508" t="s"/>
      <c r="L90" s="508" t="s"/>
      <c r="M90" s="508" t="s"/>
      <c r="N90" s="508" t="s"/>
      <c r="O90" s="508" t="s"/>
      <c r="P90" s="508" t="s"/>
      <c r="Q90" s="508" t="s"/>
      <c r="R90" s="508" t="s"/>
      <c r="S90" s="508" t="s"/>
      <c r="T90" s="508" t="s"/>
      <c r="U90" s="508" t="s"/>
      <c r="V90" s="508" t="s"/>
      <c r="W90" s="508" t="s"/>
      <c r="X90" s="508" t="s"/>
      <c r="Y90" s="508" t="s"/>
    </row>
    <row r="91" spans="1:25">
      <c r="A91" s="680" t="s"/>
      <c r="B91" s="837" t="s"/>
      <c r="C91" s="837" t="s"/>
      <c r="D91" s="838" t="s"/>
      <c r="E91" s="837" t="s"/>
      <c r="F91" s="839" t="s"/>
      <c r="G91" s="839" t="s"/>
      <c r="H91" s="837" t="s"/>
      <c r="I91" s="508" t="s"/>
      <c r="J91" s="508" t="s"/>
      <c r="K91" s="508" t="s"/>
      <c r="L91" s="508" t="s"/>
      <c r="M91" s="508" t="s"/>
      <c r="N91" s="508" t="s"/>
      <c r="O91" s="508" t="s"/>
      <c r="P91" s="508" t="s"/>
      <c r="Q91" s="508" t="s"/>
      <c r="R91" s="508" t="s"/>
      <c r="S91" s="508" t="s"/>
      <c r="T91" s="508" t="s"/>
      <c r="U91" s="508" t="s"/>
      <c r="V91" s="508" t="s"/>
      <c r="W91" s="508" t="s"/>
      <c r="X91" s="508" t="s"/>
      <c r="Y91" s="508" t="s"/>
    </row>
    <row r="92" spans="1:25">
      <c r="A92" s="680" t="s"/>
      <c r="B92" s="837" t="s"/>
      <c r="C92" s="837" t="s"/>
      <c r="D92" s="838" t="s"/>
      <c r="E92" s="837" t="s"/>
      <c r="F92" s="839" t="s"/>
      <c r="G92" s="839" t="s"/>
      <c r="H92" s="837" t="s"/>
      <c r="I92" s="508" t="s"/>
      <c r="J92" s="508" t="s"/>
      <c r="K92" s="508" t="s"/>
      <c r="L92" s="508" t="s"/>
      <c r="M92" s="508" t="s"/>
      <c r="N92" s="508" t="s"/>
      <c r="O92" s="508" t="s"/>
      <c r="P92" s="508" t="s"/>
      <c r="Q92" s="508" t="s"/>
      <c r="R92" s="508" t="s"/>
      <c r="S92" s="508" t="s"/>
      <c r="T92" s="508" t="s"/>
      <c r="U92" s="508" t="s"/>
      <c r="V92" s="508" t="s"/>
      <c r="W92" s="508" t="s"/>
      <c r="X92" s="508" t="s"/>
      <c r="Y92" s="508" t="s"/>
    </row>
    <row r="93" spans="1:25">
      <c r="A93" s="680" t="s"/>
      <c r="B93" s="837" t="s"/>
      <c r="C93" s="837" t="s"/>
      <c r="D93" s="838" t="s"/>
      <c r="E93" s="837" t="s"/>
      <c r="F93" s="839" t="s"/>
      <c r="G93" s="839" t="s"/>
      <c r="H93" s="837" t="s"/>
      <c r="I93" s="508" t="s"/>
      <c r="J93" s="508" t="s"/>
      <c r="K93" s="508" t="s"/>
      <c r="L93" s="508" t="s"/>
      <c r="M93" s="508" t="s"/>
      <c r="N93" s="508" t="s"/>
      <c r="O93" s="508" t="s"/>
      <c r="P93" s="508" t="s"/>
      <c r="Q93" s="508" t="s"/>
      <c r="R93" s="508" t="s"/>
      <c r="S93" s="508" t="s"/>
      <c r="T93" s="508" t="s"/>
      <c r="U93" s="508" t="s"/>
      <c r="V93" s="508" t="s"/>
      <c r="W93" s="508" t="s"/>
      <c r="X93" s="508" t="s"/>
      <c r="Y93" s="508" t="s"/>
    </row>
    <row r="94" spans="1:25">
      <c r="A94" s="680" t="s"/>
      <c r="B94" s="837" t="s"/>
      <c r="C94" s="837" t="s"/>
      <c r="D94" s="838" t="s"/>
      <c r="E94" s="837" t="s"/>
      <c r="F94" s="839" t="s"/>
      <c r="G94" s="839" t="s"/>
      <c r="H94" s="837" t="s"/>
      <c r="I94" s="508" t="s"/>
      <c r="J94" s="508" t="s"/>
      <c r="K94" s="508" t="s"/>
      <c r="L94" s="508" t="s"/>
      <c r="M94" s="508" t="s"/>
      <c r="N94" s="508" t="s"/>
      <c r="O94" s="508" t="s"/>
      <c r="P94" s="508" t="s"/>
      <c r="Q94" s="508" t="s"/>
      <c r="R94" s="508" t="s"/>
      <c r="S94" s="508" t="s"/>
      <c r="T94" s="508" t="s"/>
      <c r="U94" s="508" t="s"/>
      <c r="V94" s="508" t="s"/>
      <c r="W94" s="508" t="s"/>
      <c r="X94" s="508" t="s"/>
      <c r="Y94" s="508" t="s"/>
    </row>
    <row r="95" spans="1:25">
      <c r="A95" s="680" t="s"/>
      <c r="B95" s="837" t="s"/>
      <c r="C95" s="837" t="s"/>
      <c r="D95" s="838" t="s"/>
      <c r="E95" s="837" t="s"/>
      <c r="F95" s="839" t="s"/>
      <c r="G95" s="839" t="s"/>
      <c r="H95" s="837" t="s"/>
      <c r="I95" s="508" t="s"/>
      <c r="J95" s="508" t="s"/>
      <c r="K95" s="508" t="s"/>
      <c r="L95" s="508" t="s"/>
      <c r="M95" s="508" t="s"/>
      <c r="N95" s="508" t="s"/>
      <c r="O95" s="508" t="s"/>
      <c r="P95" s="508" t="s"/>
      <c r="Q95" s="508" t="s"/>
      <c r="R95" s="508" t="s"/>
      <c r="S95" s="508" t="s"/>
      <c r="T95" s="508" t="s"/>
      <c r="U95" s="508" t="s"/>
      <c r="V95" s="508" t="s"/>
      <c r="W95" s="508" t="s"/>
      <c r="X95" s="508" t="s"/>
      <c r="Y95" s="508" t="s"/>
    </row>
    <row r="96" spans="1:25">
      <c r="A96" s="680" t="s"/>
      <c r="B96" s="837" t="s"/>
      <c r="C96" s="837" t="s"/>
      <c r="D96" s="838" t="s"/>
      <c r="E96" s="837" t="s"/>
      <c r="F96" s="839" t="s"/>
      <c r="G96" s="839" t="s"/>
      <c r="H96" s="837" t="s"/>
      <c r="I96" s="508" t="s"/>
      <c r="J96" s="508" t="s"/>
      <c r="K96" s="508" t="s"/>
      <c r="L96" s="508" t="s"/>
      <c r="M96" s="508" t="s"/>
      <c r="N96" s="508" t="s"/>
      <c r="O96" s="508" t="s"/>
      <c r="P96" s="508" t="s"/>
      <c r="Q96" s="508" t="s"/>
      <c r="R96" s="508" t="s"/>
      <c r="S96" s="508" t="s"/>
      <c r="T96" s="508" t="s"/>
      <c r="U96" s="508" t="s"/>
      <c r="V96" s="508" t="s"/>
      <c r="W96" s="508" t="s"/>
      <c r="X96" s="508" t="s"/>
      <c r="Y96" s="508" t="s"/>
    </row>
    <row r="97" spans="1:25">
      <c r="A97" s="680" t="s"/>
      <c r="B97" s="837" t="s"/>
      <c r="C97" s="837" t="s"/>
      <c r="D97" s="838" t="s"/>
      <c r="E97" s="837" t="s"/>
      <c r="F97" s="839" t="s"/>
      <c r="G97" s="839" t="s"/>
      <c r="H97" s="837" t="s"/>
      <c r="I97" s="508" t="s"/>
      <c r="J97" s="508" t="s"/>
      <c r="K97" s="508" t="s"/>
      <c r="L97" s="508" t="s"/>
      <c r="M97" s="508" t="s"/>
      <c r="N97" s="508" t="s"/>
      <c r="O97" s="508" t="s"/>
      <c r="P97" s="508" t="s"/>
      <c r="Q97" s="508" t="s"/>
      <c r="R97" s="508" t="s"/>
      <c r="S97" s="508" t="s"/>
      <c r="T97" s="508" t="s"/>
      <c r="U97" s="508" t="s"/>
      <c r="V97" s="508" t="s"/>
      <c r="W97" s="508" t="s"/>
      <c r="X97" s="508" t="s"/>
      <c r="Y97" s="508" t="s"/>
    </row>
    <row r="98" spans="1:25">
      <c r="A98" s="680" t="s"/>
      <c r="B98" s="837" t="s"/>
      <c r="C98" s="837" t="s"/>
      <c r="D98" s="838" t="s"/>
      <c r="E98" s="837" t="s"/>
      <c r="F98" s="839" t="s"/>
      <c r="G98" s="839" t="s"/>
      <c r="H98" s="837" t="s"/>
      <c r="I98" s="508" t="s"/>
      <c r="J98" s="508" t="s"/>
      <c r="K98" s="508" t="s"/>
      <c r="L98" s="508" t="s"/>
      <c r="M98" s="508" t="s"/>
      <c r="N98" s="508" t="s"/>
      <c r="O98" s="508" t="s"/>
      <c r="P98" s="508" t="s"/>
      <c r="Q98" s="508" t="s"/>
      <c r="R98" s="508" t="s"/>
      <c r="S98" s="508" t="s"/>
      <c r="T98" s="508" t="s"/>
      <c r="U98" s="508" t="s"/>
      <c r="V98" s="508" t="s"/>
      <c r="W98" s="508" t="s"/>
      <c r="X98" s="508" t="s"/>
      <c r="Y98" s="508" t="s"/>
    </row>
    <row r="99" spans="1:25">
      <c r="A99" s="680" t="s"/>
      <c r="B99" s="837" t="s"/>
      <c r="C99" s="837" t="s"/>
      <c r="D99" s="838" t="s"/>
      <c r="E99" s="837" t="s"/>
      <c r="F99" s="839" t="s"/>
      <c r="G99" s="839" t="s"/>
      <c r="H99" s="837" t="s"/>
      <c r="I99" s="508" t="s"/>
      <c r="J99" s="508" t="s"/>
      <c r="K99" s="508" t="s"/>
      <c r="L99" s="508" t="s"/>
      <c r="M99" s="508" t="s"/>
      <c r="N99" s="508" t="s"/>
      <c r="O99" s="508" t="s"/>
      <c r="P99" s="508" t="s"/>
      <c r="Q99" s="508" t="s"/>
      <c r="R99" s="508" t="s"/>
      <c r="S99" s="508" t="s"/>
      <c r="T99" s="508" t="s"/>
      <c r="U99" s="508" t="s"/>
      <c r="V99" s="508" t="s"/>
      <c r="W99" s="508" t="s"/>
      <c r="X99" s="508" t="s"/>
      <c r="Y99" s="508" t="s"/>
    </row>
    <row r="100" spans="1:25">
      <c r="A100" s="680" t="s"/>
      <c r="B100" s="837" t="s"/>
      <c r="C100" s="837" t="s"/>
      <c r="D100" s="838" t="s"/>
      <c r="E100" s="837" t="s"/>
      <c r="F100" s="839" t="s"/>
      <c r="G100" s="839" t="s"/>
      <c r="H100" s="837" t="s"/>
      <c r="I100" s="508" t="s"/>
      <c r="J100" s="508" t="s"/>
      <c r="K100" s="508" t="s"/>
      <c r="L100" s="508" t="s"/>
      <c r="M100" s="508" t="s"/>
      <c r="N100" s="508" t="s"/>
      <c r="O100" s="508" t="s"/>
      <c r="P100" s="508" t="s"/>
      <c r="Q100" s="508" t="s"/>
      <c r="R100" s="508" t="s"/>
      <c r="S100" s="508" t="s"/>
      <c r="T100" s="508" t="s"/>
      <c r="U100" s="508" t="s"/>
      <c r="V100" s="508" t="s"/>
      <c r="W100" s="508" t="s"/>
      <c r="X100" s="508" t="s"/>
      <c r="Y100" s="508" t="s"/>
    </row>
    <row r="101" spans="1:25">
      <c r="A101" s="680" t="s"/>
      <c r="B101" s="837" t="s"/>
      <c r="C101" s="837" t="s"/>
      <c r="D101" s="838" t="s"/>
      <c r="E101" s="837" t="s"/>
      <c r="F101" s="839" t="s"/>
      <c r="G101" s="839" t="s"/>
      <c r="H101" s="837" t="s"/>
      <c r="I101" s="508" t="s"/>
      <c r="J101" s="508" t="s"/>
      <c r="K101" s="508" t="s"/>
      <c r="L101" s="508" t="s"/>
      <c r="M101" s="508" t="s"/>
      <c r="N101" s="508" t="s"/>
      <c r="O101" s="508" t="s"/>
      <c r="P101" s="508" t="s"/>
      <c r="Q101" s="508" t="s"/>
      <c r="R101" s="508" t="s"/>
      <c r="S101" s="508" t="s"/>
      <c r="T101" s="508" t="s"/>
      <c r="U101" s="508" t="s"/>
      <c r="V101" s="508" t="s"/>
      <c r="W101" s="508" t="s"/>
      <c r="X101" s="508" t="s"/>
      <c r="Y101" s="508" t="s"/>
    </row>
    <row r="102" spans="1:25">
      <c r="A102" s="680" t="s"/>
      <c r="B102" s="837" t="s"/>
      <c r="C102" s="837" t="s"/>
      <c r="D102" s="838" t="s"/>
      <c r="E102" s="837" t="s"/>
      <c r="F102" s="839" t="s"/>
      <c r="G102" s="839" t="s"/>
      <c r="H102" s="837" t="s"/>
      <c r="I102" s="508" t="s"/>
      <c r="J102" s="508" t="s"/>
      <c r="K102" s="508" t="s"/>
      <c r="L102" s="508" t="s"/>
      <c r="M102" s="508" t="s"/>
      <c r="N102" s="508" t="s"/>
      <c r="O102" s="508" t="s"/>
      <c r="P102" s="508" t="s"/>
      <c r="Q102" s="508" t="s"/>
      <c r="R102" s="508" t="s"/>
      <c r="S102" s="508" t="s"/>
      <c r="T102" s="508" t="s"/>
      <c r="U102" s="508" t="s"/>
      <c r="V102" s="508" t="s"/>
      <c r="W102" s="508" t="s"/>
      <c r="X102" s="508" t="s"/>
      <c r="Y102" s="508" t="s"/>
    </row>
    <row r="103" spans="1:25">
      <c r="A103" s="680" t="s"/>
      <c r="B103" s="837" t="s"/>
      <c r="C103" s="837" t="s"/>
      <c r="D103" s="838" t="s"/>
      <c r="E103" s="837" t="s"/>
      <c r="F103" s="839" t="s"/>
      <c r="G103" s="839" t="s"/>
      <c r="H103" s="837" t="s"/>
      <c r="I103" s="508" t="s"/>
      <c r="J103" s="508" t="s"/>
      <c r="K103" s="508" t="s"/>
      <c r="L103" s="508" t="s"/>
      <c r="M103" s="508" t="s"/>
      <c r="N103" s="508" t="s"/>
      <c r="O103" s="508" t="s"/>
      <c r="P103" s="508" t="s"/>
      <c r="Q103" s="508" t="s"/>
      <c r="R103" s="508" t="s"/>
      <c r="S103" s="508" t="s"/>
      <c r="T103" s="508" t="s"/>
      <c r="U103" s="508" t="s"/>
      <c r="V103" s="508" t="s"/>
      <c r="W103" s="508" t="s"/>
      <c r="X103" s="508" t="s"/>
      <c r="Y103" s="508" t="s"/>
    </row>
    <row r="104" spans="1:25">
      <c r="A104" s="680" t="s"/>
      <c r="B104" s="837" t="s"/>
      <c r="C104" s="837" t="s"/>
      <c r="D104" s="838" t="s"/>
      <c r="E104" s="837" t="s"/>
      <c r="F104" s="839" t="s"/>
      <c r="G104" s="839" t="s"/>
      <c r="H104" s="837" t="s"/>
      <c r="I104" s="508" t="s"/>
      <c r="J104" s="508" t="s"/>
      <c r="K104" s="508" t="s"/>
      <c r="L104" s="508" t="s"/>
      <c r="M104" s="508" t="s"/>
      <c r="N104" s="508" t="s"/>
      <c r="O104" s="508" t="s"/>
      <c r="P104" s="508" t="s"/>
      <c r="Q104" s="508" t="s"/>
      <c r="R104" s="508" t="s"/>
      <c r="S104" s="508" t="s"/>
      <c r="T104" s="508" t="s"/>
      <c r="U104" s="508" t="s"/>
      <c r="V104" s="508" t="s"/>
      <c r="W104" s="508" t="s"/>
      <c r="X104" s="508" t="s"/>
      <c r="Y104" s="508" t="s"/>
    </row>
    <row r="105" spans="1:25">
      <c r="A105" s="680" t="s"/>
      <c r="B105" s="837" t="s"/>
      <c r="C105" s="837" t="s"/>
      <c r="D105" s="838" t="s"/>
      <c r="E105" s="837" t="s"/>
      <c r="F105" s="839" t="s"/>
      <c r="G105" s="839" t="s"/>
      <c r="H105" s="837" t="s"/>
      <c r="I105" s="508" t="s"/>
      <c r="J105" s="508" t="s"/>
      <c r="K105" s="508" t="s"/>
      <c r="L105" s="508" t="s"/>
      <c r="M105" s="508" t="s"/>
      <c r="N105" s="508" t="s"/>
      <c r="O105" s="508" t="s"/>
      <c r="P105" s="508" t="s"/>
      <c r="Q105" s="508" t="s"/>
      <c r="R105" s="508" t="s"/>
      <c r="S105" s="508" t="s"/>
      <c r="T105" s="508" t="s"/>
      <c r="U105" s="508" t="s"/>
      <c r="V105" s="508" t="s"/>
      <c r="W105" s="508" t="s"/>
      <c r="X105" s="508" t="s"/>
      <c r="Y105" s="508" t="s"/>
    </row>
    <row r="106" spans="1:25">
      <c r="A106" s="680" t="s"/>
      <c r="B106" s="837" t="s"/>
      <c r="C106" s="837" t="s"/>
      <c r="D106" s="838" t="s"/>
      <c r="E106" s="837" t="s"/>
      <c r="F106" s="839" t="s"/>
      <c r="G106" s="839" t="s"/>
      <c r="H106" s="837" t="s"/>
      <c r="I106" s="508" t="s"/>
      <c r="J106" s="508" t="s"/>
      <c r="K106" s="508" t="s"/>
      <c r="L106" s="508" t="s"/>
      <c r="M106" s="508" t="s"/>
      <c r="N106" s="508" t="s"/>
      <c r="O106" s="508" t="s"/>
      <c r="P106" s="508" t="s"/>
      <c r="Q106" s="508" t="s"/>
      <c r="R106" s="508" t="s"/>
      <c r="S106" s="508" t="s"/>
      <c r="T106" s="508" t="s"/>
      <c r="U106" s="508" t="s"/>
      <c r="V106" s="508" t="s"/>
      <c r="W106" s="508" t="s"/>
      <c r="X106" s="508" t="s"/>
      <c r="Y106" s="508" t="s"/>
    </row>
    <row r="107" spans="1:25">
      <c r="A107" s="680" t="s"/>
      <c r="B107" s="837" t="s"/>
      <c r="C107" s="837" t="s"/>
      <c r="D107" s="838" t="s"/>
      <c r="E107" s="837" t="s"/>
      <c r="F107" s="839" t="s"/>
      <c r="G107" s="839" t="s"/>
      <c r="H107" s="837" t="s"/>
      <c r="I107" s="508" t="s"/>
      <c r="J107" s="508" t="s"/>
      <c r="K107" s="508" t="s"/>
      <c r="L107" s="508" t="s"/>
      <c r="M107" s="508" t="s"/>
      <c r="N107" s="508" t="s"/>
      <c r="O107" s="508" t="s"/>
      <c r="P107" s="508" t="s"/>
      <c r="Q107" s="508" t="s"/>
      <c r="R107" s="508" t="s"/>
      <c r="S107" s="508" t="s"/>
      <c r="T107" s="508" t="s"/>
      <c r="U107" s="508" t="s"/>
      <c r="V107" s="508" t="s"/>
      <c r="W107" s="508" t="s"/>
      <c r="X107" s="508" t="s"/>
      <c r="Y107" s="508" t="s"/>
    </row>
    <row r="108" spans="1:25">
      <c r="A108" s="680" t="s"/>
      <c r="B108" s="837" t="s"/>
      <c r="C108" s="837" t="s"/>
      <c r="D108" s="838" t="s"/>
      <c r="E108" s="837" t="s"/>
      <c r="F108" s="839" t="s"/>
      <c r="G108" s="839" t="s"/>
      <c r="H108" s="837" t="s"/>
      <c r="I108" s="508" t="s"/>
      <c r="J108" s="508" t="s"/>
      <c r="K108" s="508" t="s"/>
      <c r="L108" s="508" t="s"/>
      <c r="M108" s="508" t="s"/>
      <c r="N108" s="508" t="s"/>
      <c r="O108" s="508" t="s"/>
      <c r="P108" s="508" t="s"/>
      <c r="Q108" s="508" t="s"/>
      <c r="R108" s="508" t="s"/>
      <c r="S108" s="508" t="s"/>
      <c r="T108" s="508" t="s"/>
      <c r="U108" s="508" t="s"/>
      <c r="V108" s="508" t="s"/>
      <c r="W108" s="508" t="s"/>
      <c r="X108" s="508" t="s"/>
      <c r="Y108" s="508" t="s"/>
    </row>
    <row r="109" spans="1:25">
      <c r="A109" s="680" t="s"/>
      <c r="B109" s="837" t="s"/>
      <c r="C109" s="837" t="s"/>
      <c r="D109" s="838" t="s"/>
      <c r="E109" s="837" t="s"/>
      <c r="F109" s="839" t="s"/>
      <c r="G109" s="839" t="s"/>
      <c r="H109" s="837" t="s"/>
      <c r="I109" s="508" t="s"/>
      <c r="J109" s="508" t="s"/>
      <c r="K109" s="508" t="s"/>
      <c r="L109" s="508" t="s"/>
      <c r="M109" s="508" t="s"/>
      <c r="N109" s="508" t="s"/>
      <c r="O109" s="508" t="s"/>
      <c r="P109" s="508" t="s"/>
      <c r="Q109" s="508" t="s"/>
      <c r="R109" s="508" t="s"/>
      <c r="S109" s="508" t="s"/>
      <c r="T109" s="508" t="s"/>
      <c r="U109" s="508" t="s"/>
      <c r="V109" s="508" t="s"/>
      <c r="W109" s="508" t="s"/>
      <c r="X109" s="508" t="s"/>
      <c r="Y109" s="508" t="s"/>
    </row>
    <row r="110" spans="1:25">
      <c r="A110" s="680" t="s"/>
      <c r="B110" s="837" t="s"/>
      <c r="C110" s="837" t="s"/>
      <c r="D110" s="838" t="s"/>
      <c r="E110" s="837" t="s"/>
      <c r="F110" s="839" t="s"/>
      <c r="G110" s="839" t="s"/>
      <c r="H110" s="837" t="s"/>
      <c r="I110" s="508" t="s"/>
      <c r="J110" s="508" t="s"/>
      <c r="K110" s="508" t="s"/>
      <c r="L110" s="508" t="s"/>
      <c r="M110" s="508" t="s"/>
      <c r="N110" s="508" t="s"/>
      <c r="O110" s="508" t="s"/>
      <c r="P110" s="508" t="s"/>
      <c r="Q110" s="508" t="s"/>
      <c r="R110" s="508" t="s"/>
      <c r="S110" s="508" t="s"/>
      <c r="T110" s="508" t="s"/>
      <c r="U110" s="508" t="s"/>
      <c r="V110" s="508" t="s"/>
      <c r="W110" s="508" t="s"/>
      <c r="X110" s="508" t="s"/>
      <c r="Y110" s="508" t="s"/>
    </row>
    <row r="111" spans="1:25">
      <c r="A111" s="680" t="s"/>
      <c r="B111" s="837" t="s"/>
      <c r="C111" s="837" t="s"/>
      <c r="D111" s="838" t="s"/>
      <c r="E111" s="837" t="s"/>
      <c r="F111" s="839" t="s"/>
      <c r="G111" s="839" t="s"/>
      <c r="H111" s="837" t="s"/>
      <c r="I111" s="508" t="s"/>
      <c r="J111" s="508" t="s"/>
      <c r="K111" s="508" t="s"/>
      <c r="L111" s="508" t="s"/>
      <c r="M111" s="508" t="s"/>
      <c r="N111" s="508" t="s"/>
      <c r="O111" s="508" t="s"/>
      <c r="P111" s="508" t="s"/>
      <c r="Q111" s="508" t="s"/>
      <c r="R111" s="508" t="s"/>
      <c r="S111" s="508" t="s"/>
      <c r="T111" s="508" t="s"/>
      <c r="U111" s="508" t="s"/>
      <c r="V111" s="508" t="s"/>
      <c r="W111" s="508" t="s"/>
      <c r="X111" s="508" t="s"/>
      <c r="Y111" s="508" t="s"/>
    </row>
    <row r="112" spans="1:25">
      <c r="A112" s="680" t="s"/>
      <c r="B112" s="837" t="s"/>
      <c r="C112" s="837" t="s"/>
      <c r="D112" s="838" t="s"/>
      <c r="E112" s="837" t="s"/>
      <c r="F112" s="839" t="s"/>
      <c r="G112" s="839" t="s"/>
      <c r="H112" s="837" t="s"/>
      <c r="I112" s="508" t="s"/>
      <c r="J112" s="508" t="s"/>
      <c r="K112" s="508" t="s"/>
      <c r="L112" s="508" t="s"/>
      <c r="M112" s="508" t="s"/>
      <c r="N112" s="508" t="s"/>
      <c r="O112" s="508" t="s"/>
      <c r="P112" s="508" t="s"/>
      <c r="Q112" s="508" t="s"/>
      <c r="R112" s="508" t="s"/>
      <c r="S112" s="508" t="s"/>
      <c r="T112" s="508" t="s"/>
      <c r="U112" s="508" t="s"/>
      <c r="V112" s="508" t="s"/>
      <c r="W112" s="508" t="s"/>
      <c r="X112" s="508" t="s"/>
      <c r="Y112" s="508" t="s"/>
    </row>
    <row r="113" spans="1:25">
      <c r="A113" s="680" t="s"/>
      <c r="B113" s="837" t="s"/>
      <c r="C113" s="837" t="s"/>
      <c r="D113" s="838" t="s"/>
      <c r="E113" s="837" t="s"/>
      <c r="F113" s="839" t="s"/>
      <c r="G113" s="839" t="s"/>
      <c r="H113" s="837" t="s"/>
      <c r="I113" s="508" t="s"/>
      <c r="J113" s="508" t="s"/>
      <c r="K113" s="508" t="s"/>
      <c r="L113" s="508" t="s"/>
      <c r="M113" s="508" t="s"/>
      <c r="N113" s="508" t="s"/>
      <c r="O113" s="508" t="s"/>
      <c r="P113" s="508" t="s"/>
      <c r="Q113" s="508" t="s"/>
      <c r="R113" s="508" t="s"/>
      <c r="S113" s="508" t="s"/>
      <c r="T113" s="508" t="s"/>
      <c r="U113" s="508" t="s"/>
      <c r="V113" s="508" t="s"/>
      <c r="W113" s="508" t="s"/>
      <c r="X113" s="508" t="s"/>
      <c r="Y113" s="508" t="s"/>
    </row>
    <row r="114" spans="1:25">
      <c r="A114" s="680" t="s"/>
      <c r="B114" s="837" t="s"/>
      <c r="C114" s="837" t="s"/>
      <c r="D114" s="838" t="s"/>
      <c r="E114" s="837" t="s"/>
      <c r="F114" s="839" t="s"/>
      <c r="G114" s="839" t="s"/>
      <c r="H114" s="837" t="s"/>
      <c r="I114" s="508" t="s"/>
      <c r="J114" s="508" t="s"/>
      <c r="K114" s="508" t="s"/>
      <c r="L114" s="508" t="s"/>
      <c r="M114" s="508" t="s"/>
      <c r="N114" s="508" t="s"/>
      <c r="O114" s="508" t="s"/>
      <c r="P114" s="508" t="s"/>
      <c r="Q114" s="508" t="s"/>
      <c r="R114" s="508" t="s"/>
      <c r="S114" s="508" t="s"/>
      <c r="T114" s="508" t="s"/>
      <c r="U114" s="508" t="s"/>
      <c r="V114" s="508" t="s"/>
      <c r="W114" s="508" t="s"/>
      <c r="X114" s="508" t="s"/>
      <c r="Y114" s="508" t="s"/>
    </row>
    <row r="115" spans="1:25">
      <c r="A115" s="680" t="s"/>
      <c r="B115" s="837" t="s"/>
      <c r="C115" s="837" t="s"/>
      <c r="D115" s="838" t="s"/>
      <c r="E115" s="837" t="s"/>
      <c r="F115" s="839" t="s"/>
      <c r="G115" s="839" t="s"/>
      <c r="H115" s="837" t="s"/>
      <c r="I115" s="508" t="s"/>
      <c r="J115" s="508" t="s"/>
      <c r="K115" s="508" t="s"/>
      <c r="L115" s="508" t="s"/>
      <c r="M115" s="508" t="s"/>
      <c r="N115" s="508" t="s"/>
      <c r="O115" s="508" t="s"/>
      <c r="P115" s="508" t="s"/>
      <c r="Q115" s="508" t="s"/>
      <c r="R115" s="508" t="s"/>
      <c r="S115" s="508" t="s"/>
      <c r="T115" s="508" t="s"/>
      <c r="U115" s="508" t="s"/>
      <c r="V115" s="508" t="s"/>
      <c r="W115" s="508" t="s"/>
      <c r="X115" s="508" t="s"/>
      <c r="Y115" s="508" t="s"/>
    </row>
    <row r="116" spans="1:25">
      <c r="A116" s="680" t="s"/>
      <c r="B116" s="837" t="s"/>
      <c r="C116" s="837" t="s"/>
      <c r="D116" s="838" t="s"/>
      <c r="E116" s="837" t="s"/>
      <c r="F116" s="839" t="s"/>
      <c r="G116" s="839" t="s"/>
      <c r="H116" s="837" t="s"/>
      <c r="I116" s="508" t="s"/>
      <c r="J116" s="508" t="s"/>
      <c r="K116" s="508" t="s"/>
      <c r="L116" s="508" t="s"/>
      <c r="M116" s="508" t="s"/>
      <c r="N116" s="508" t="s"/>
      <c r="O116" s="508" t="s"/>
      <c r="P116" s="508" t="s"/>
      <c r="Q116" s="508" t="s"/>
      <c r="R116" s="508" t="s"/>
      <c r="S116" s="508" t="s"/>
      <c r="T116" s="508" t="s"/>
      <c r="U116" s="508" t="s"/>
      <c r="V116" s="508" t="s"/>
      <c r="W116" s="508" t="s"/>
      <c r="X116" s="508" t="s"/>
      <c r="Y116" s="508" t="s"/>
    </row>
    <row r="117" spans="1:25">
      <c r="A117" s="680" t="s"/>
      <c r="B117" s="837" t="s"/>
      <c r="C117" s="837" t="s"/>
      <c r="D117" s="838" t="s"/>
      <c r="E117" s="837" t="s"/>
      <c r="F117" s="839" t="s"/>
      <c r="G117" s="839" t="s"/>
      <c r="H117" s="837" t="s"/>
      <c r="I117" s="508" t="s"/>
      <c r="J117" s="508" t="s"/>
      <c r="K117" s="508" t="s"/>
      <c r="L117" s="508" t="s"/>
      <c r="M117" s="508" t="s"/>
      <c r="N117" s="508" t="s"/>
      <c r="O117" s="508" t="s"/>
      <c r="P117" s="508" t="s"/>
      <c r="Q117" s="508" t="s"/>
      <c r="R117" s="508" t="s"/>
      <c r="S117" s="508" t="s"/>
      <c r="T117" s="508" t="s"/>
      <c r="U117" s="508" t="s"/>
      <c r="V117" s="508" t="s"/>
      <c r="W117" s="508" t="s"/>
      <c r="X117" s="508" t="s"/>
      <c r="Y117" s="508" t="s"/>
    </row>
    <row r="118" spans="1:25">
      <c r="A118" s="680" t="s"/>
      <c r="B118" s="837" t="s"/>
      <c r="C118" s="837" t="s"/>
      <c r="D118" s="838" t="s"/>
      <c r="E118" s="837" t="s"/>
      <c r="F118" s="839" t="s"/>
      <c r="G118" s="839" t="s"/>
      <c r="H118" s="837" t="s"/>
      <c r="I118" s="508" t="s"/>
      <c r="J118" s="508" t="s"/>
      <c r="K118" s="508" t="s"/>
      <c r="L118" s="508" t="s"/>
      <c r="M118" s="508" t="s"/>
      <c r="N118" s="508" t="s"/>
      <c r="O118" s="508" t="s"/>
      <c r="P118" s="508" t="s"/>
      <c r="Q118" s="508" t="s"/>
      <c r="R118" s="508" t="s"/>
      <c r="S118" s="508" t="s"/>
      <c r="T118" s="508" t="s"/>
      <c r="U118" s="508" t="s"/>
      <c r="V118" s="508" t="s"/>
      <c r="W118" s="508" t="s"/>
      <c r="X118" s="508" t="s"/>
      <c r="Y118" s="508" t="s"/>
    </row>
    <row r="119" spans="1:25">
      <c r="A119" s="680" t="s"/>
      <c r="B119" s="837" t="s"/>
      <c r="C119" s="837" t="s"/>
      <c r="D119" s="838" t="s"/>
      <c r="E119" s="837" t="s"/>
      <c r="F119" s="839" t="s"/>
      <c r="G119" s="839" t="s"/>
      <c r="H119" s="837" t="s"/>
      <c r="I119" s="508" t="s"/>
      <c r="J119" s="508" t="s"/>
      <c r="K119" s="508" t="s"/>
      <c r="L119" s="508" t="s"/>
      <c r="M119" s="508" t="s"/>
      <c r="N119" s="508" t="s"/>
      <c r="O119" s="508" t="s"/>
      <c r="P119" s="508" t="s"/>
      <c r="Q119" s="508" t="s"/>
      <c r="R119" s="508" t="s"/>
      <c r="S119" s="508" t="s"/>
      <c r="T119" s="508" t="s"/>
      <c r="U119" s="508" t="s"/>
      <c r="V119" s="508" t="s"/>
      <c r="W119" s="508" t="s"/>
      <c r="X119" s="508" t="s"/>
      <c r="Y119" s="508" t="s"/>
    </row>
    <row r="120" spans="1:25">
      <c r="A120" s="680" t="s"/>
      <c r="B120" s="837" t="s"/>
      <c r="C120" s="837" t="s"/>
      <c r="D120" s="838" t="s"/>
      <c r="E120" s="837" t="s"/>
      <c r="F120" s="839" t="s"/>
      <c r="G120" s="839" t="s"/>
      <c r="H120" s="837" t="s"/>
      <c r="I120" s="508" t="s"/>
      <c r="J120" s="508" t="s"/>
      <c r="K120" s="508" t="s"/>
      <c r="L120" s="508" t="s"/>
      <c r="M120" s="508" t="s"/>
      <c r="N120" s="508" t="s"/>
      <c r="O120" s="508" t="s"/>
      <c r="P120" s="508" t="s"/>
      <c r="Q120" s="508" t="s"/>
      <c r="R120" s="508" t="s"/>
      <c r="S120" s="508" t="s"/>
      <c r="T120" s="508" t="s"/>
      <c r="U120" s="508" t="s"/>
      <c r="V120" s="508" t="s"/>
      <c r="W120" s="508" t="s"/>
      <c r="X120" s="508" t="s"/>
      <c r="Y120" s="508" t="s"/>
    </row>
    <row r="121" spans="1:25">
      <c r="A121" s="680" t="s"/>
      <c r="B121" s="837" t="s"/>
      <c r="C121" s="837" t="s"/>
      <c r="D121" s="838" t="s"/>
      <c r="E121" s="837" t="s"/>
      <c r="F121" s="839" t="s"/>
      <c r="G121" s="839" t="s"/>
      <c r="H121" s="837" t="s"/>
      <c r="I121" s="508" t="s"/>
      <c r="J121" s="508" t="s"/>
      <c r="K121" s="508" t="s"/>
      <c r="L121" s="508" t="s"/>
      <c r="M121" s="508" t="s"/>
      <c r="N121" s="508" t="s"/>
      <c r="O121" s="508" t="s"/>
      <c r="P121" s="508" t="s"/>
      <c r="Q121" s="508" t="s"/>
      <c r="R121" s="508" t="s"/>
      <c r="S121" s="508" t="s"/>
      <c r="T121" s="508" t="s"/>
      <c r="U121" s="508" t="s"/>
      <c r="V121" s="508" t="s"/>
      <c r="W121" s="508" t="s"/>
      <c r="X121" s="508" t="s"/>
      <c r="Y121" s="508" t="s"/>
    </row>
    <row r="122" spans="1:25">
      <c r="A122" s="680" t="s"/>
      <c r="B122" s="837" t="s"/>
      <c r="C122" s="837" t="s"/>
      <c r="D122" s="838" t="s"/>
      <c r="E122" s="837" t="s"/>
      <c r="F122" s="839" t="s"/>
      <c r="G122" s="839" t="s"/>
      <c r="H122" s="837" t="s"/>
      <c r="I122" s="508" t="s"/>
      <c r="J122" s="508" t="s"/>
      <c r="K122" s="508" t="s"/>
      <c r="L122" s="508" t="s"/>
      <c r="M122" s="508" t="s"/>
      <c r="N122" s="508" t="s"/>
      <c r="O122" s="508" t="s"/>
      <c r="P122" s="508" t="s"/>
      <c r="Q122" s="508" t="s"/>
      <c r="R122" s="508" t="s"/>
      <c r="S122" s="508" t="s"/>
      <c r="T122" s="508" t="s"/>
      <c r="U122" s="508" t="s"/>
      <c r="V122" s="508" t="s"/>
      <c r="W122" s="508" t="s"/>
      <c r="X122" s="508" t="s"/>
      <c r="Y122" s="508" t="s"/>
    </row>
    <row r="123" spans="1:25">
      <c r="A123" s="680" t="s"/>
      <c r="B123" s="837" t="s"/>
      <c r="C123" s="837" t="s"/>
      <c r="D123" s="838" t="s"/>
      <c r="E123" s="837" t="s"/>
      <c r="F123" s="839" t="s"/>
      <c r="G123" s="839" t="s"/>
      <c r="H123" s="837" t="s"/>
      <c r="I123" s="508" t="s"/>
      <c r="J123" s="508" t="s"/>
      <c r="K123" s="508" t="s"/>
      <c r="L123" s="508" t="s"/>
      <c r="M123" s="508" t="s"/>
      <c r="N123" s="508" t="s"/>
      <c r="O123" s="508" t="s"/>
      <c r="P123" s="508" t="s"/>
      <c r="Q123" s="508" t="s"/>
      <c r="R123" s="508" t="s"/>
      <c r="S123" s="508" t="s"/>
      <c r="T123" s="508" t="s"/>
      <c r="U123" s="508" t="s"/>
      <c r="V123" s="508" t="s"/>
      <c r="W123" s="508" t="s"/>
      <c r="X123" s="508" t="s"/>
      <c r="Y123" s="508" t="s"/>
    </row>
    <row r="124" spans="1:25">
      <c r="A124" s="680" t="s"/>
      <c r="B124" s="837" t="s"/>
      <c r="C124" s="837" t="s"/>
      <c r="D124" s="838" t="s"/>
      <c r="E124" s="837" t="s"/>
      <c r="F124" s="839" t="s"/>
      <c r="G124" s="839" t="s"/>
      <c r="H124" s="837" t="s"/>
      <c r="I124" s="508" t="s"/>
      <c r="J124" s="508" t="s"/>
      <c r="K124" s="508" t="s"/>
      <c r="L124" s="508" t="s"/>
      <c r="M124" s="508" t="s"/>
      <c r="N124" s="508" t="s"/>
      <c r="O124" s="508" t="s"/>
      <c r="P124" s="508" t="s"/>
      <c r="Q124" s="508" t="s"/>
      <c r="R124" s="508" t="s"/>
      <c r="S124" s="508" t="s"/>
      <c r="T124" s="508" t="s"/>
      <c r="U124" s="508" t="s"/>
      <c r="V124" s="508" t="s"/>
      <c r="W124" s="508" t="s"/>
      <c r="X124" s="508" t="s"/>
      <c r="Y124" s="508" t="s"/>
    </row>
    <row r="125" spans="1:25">
      <c r="A125" s="680" t="s"/>
      <c r="B125" s="837" t="s"/>
      <c r="C125" s="837" t="s"/>
      <c r="D125" s="838" t="s"/>
      <c r="E125" s="837" t="s"/>
      <c r="F125" s="839" t="s"/>
      <c r="G125" s="839" t="s"/>
      <c r="H125" s="837" t="s"/>
      <c r="I125" s="508" t="s"/>
      <c r="J125" s="508" t="s"/>
      <c r="K125" s="508" t="s"/>
      <c r="L125" s="508" t="s"/>
      <c r="M125" s="508" t="s"/>
      <c r="N125" s="508" t="s"/>
      <c r="O125" s="508" t="s"/>
      <c r="P125" s="508" t="s"/>
      <c r="Q125" s="508" t="s"/>
      <c r="R125" s="508" t="s"/>
      <c r="S125" s="508" t="s"/>
      <c r="T125" s="508" t="s"/>
      <c r="U125" s="508" t="s"/>
      <c r="V125" s="508" t="s"/>
      <c r="W125" s="508" t="s"/>
      <c r="X125" s="508" t="s"/>
      <c r="Y125" s="508" t="s"/>
    </row>
    <row r="126" spans="1:25">
      <c r="A126" s="680" t="s"/>
      <c r="B126" s="837" t="s"/>
      <c r="C126" s="837" t="s"/>
      <c r="D126" s="838" t="s"/>
      <c r="E126" s="837" t="s"/>
      <c r="F126" s="839" t="s"/>
      <c r="G126" s="839" t="s"/>
      <c r="H126" s="837" t="s"/>
      <c r="I126" s="508" t="s"/>
      <c r="J126" s="508" t="s"/>
      <c r="K126" s="508" t="s"/>
      <c r="L126" s="508" t="s"/>
      <c r="M126" s="508" t="s"/>
      <c r="N126" s="508" t="s"/>
      <c r="O126" s="508" t="s"/>
      <c r="P126" s="508" t="s"/>
      <c r="Q126" s="508" t="s"/>
      <c r="R126" s="508" t="s"/>
      <c r="S126" s="508" t="s"/>
      <c r="T126" s="508" t="s"/>
      <c r="U126" s="508" t="s"/>
      <c r="V126" s="508" t="s"/>
      <c r="W126" s="508" t="s"/>
      <c r="X126" s="508" t="s"/>
      <c r="Y126" s="508" t="s"/>
    </row>
    <row r="127" spans="1:25">
      <c r="A127" s="680" t="s"/>
      <c r="B127" s="837" t="s"/>
      <c r="C127" s="837" t="s"/>
      <c r="D127" s="838" t="s"/>
      <c r="E127" s="837" t="s"/>
      <c r="F127" s="839" t="s"/>
      <c r="G127" s="839" t="s"/>
      <c r="H127" s="837" t="s"/>
      <c r="I127" s="508" t="s"/>
      <c r="J127" s="508" t="s"/>
      <c r="K127" s="508" t="s"/>
      <c r="L127" s="508" t="s"/>
      <c r="M127" s="508" t="s"/>
      <c r="N127" s="508" t="s"/>
      <c r="O127" s="508" t="s"/>
      <c r="P127" s="508" t="s"/>
      <c r="Q127" s="508" t="s"/>
      <c r="R127" s="508" t="s"/>
      <c r="S127" s="508" t="s"/>
      <c r="T127" s="508" t="s"/>
      <c r="U127" s="508" t="s"/>
      <c r="V127" s="508" t="s"/>
      <c r="W127" s="508" t="s"/>
      <c r="X127" s="508" t="s"/>
      <c r="Y127" s="508" t="s"/>
    </row>
    <row r="128" spans="1:25">
      <c r="A128" s="680" t="s"/>
      <c r="B128" s="837" t="s"/>
      <c r="C128" s="837" t="s"/>
      <c r="D128" s="838" t="s"/>
      <c r="E128" s="837" t="s"/>
      <c r="F128" s="839" t="s"/>
      <c r="G128" s="839" t="s"/>
      <c r="H128" s="837" t="s"/>
      <c r="I128" s="508" t="s"/>
      <c r="J128" s="508" t="s"/>
      <c r="K128" s="508" t="s"/>
      <c r="L128" s="508" t="s"/>
      <c r="M128" s="508" t="s"/>
      <c r="N128" s="508" t="s"/>
      <c r="O128" s="508" t="s"/>
      <c r="P128" s="508" t="s"/>
      <c r="Q128" s="508" t="s"/>
      <c r="R128" s="508" t="s"/>
      <c r="S128" s="508" t="s"/>
      <c r="T128" s="508" t="s"/>
      <c r="U128" s="508" t="s"/>
      <c r="V128" s="508" t="s"/>
      <c r="W128" s="508" t="s"/>
      <c r="X128" s="508" t="s"/>
      <c r="Y128" s="508" t="s"/>
    </row>
    <row r="129" spans="1:25">
      <c r="A129" s="680" t="s"/>
      <c r="B129" s="837" t="s"/>
      <c r="C129" s="837" t="s"/>
      <c r="D129" s="838" t="s"/>
      <c r="E129" s="837" t="s"/>
      <c r="F129" s="839" t="s"/>
      <c r="G129" s="839" t="s"/>
      <c r="H129" s="837" t="s"/>
      <c r="I129" s="508" t="s"/>
      <c r="J129" s="508" t="s"/>
      <c r="K129" s="508" t="s"/>
      <c r="L129" s="508" t="s"/>
      <c r="M129" s="508" t="s"/>
      <c r="N129" s="508" t="s"/>
      <c r="O129" s="508" t="s"/>
      <c r="P129" s="508" t="s"/>
      <c r="Q129" s="508" t="s"/>
      <c r="R129" s="508" t="s"/>
      <c r="S129" s="508" t="s"/>
      <c r="T129" s="508" t="s"/>
      <c r="U129" s="508" t="s"/>
      <c r="V129" s="508" t="s"/>
      <c r="W129" s="508" t="s"/>
      <c r="X129" s="508" t="s"/>
      <c r="Y129" s="508" t="s"/>
    </row>
    <row r="130" spans="1:25">
      <c r="A130" s="680" t="s"/>
      <c r="B130" s="837" t="s"/>
      <c r="C130" s="837" t="s"/>
      <c r="D130" s="838" t="s"/>
      <c r="E130" s="837" t="s"/>
      <c r="F130" s="839" t="s"/>
      <c r="G130" s="839" t="s"/>
      <c r="H130" s="837" t="s"/>
      <c r="I130" s="508" t="s"/>
      <c r="J130" s="508" t="s"/>
      <c r="K130" s="508" t="s"/>
      <c r="L130" s="508" t="s"/>
      <c r="M130" s="508" t="s"/>
      <c r="N130" s="508" t="s"/>
      <c r="O130" s="508" t="s"/>
      <c r="P130" s="508" t="s"/>
      <c r="Q130" s="508" t="s"/>
      <c r="R130" s="508" t="s"/>
      <c r="S130" s="508" t="s"/>
      <c r="T130" s="508" t="s"/>
      <c r="U130" s="508" t="s"/>
      <c r="V130" s="508" t="s"/>
      <c r="W130" s="508" t="s"/>
      <c r="X130" s="508" t="s"/>
      <c r="Y130" s="508" t="s"/>
    </row>
    <row r="131" spans="1:25">
      <c r="A131" s="680" t="s"/>
      <c r="B131" s="837" t="s"/>
      <c r="C131" s="837" t="s"/>
      <c r="D131" s="838" t="s"/>
      <c r="E131" s="837" t="s"/>
      <c r="F131" s="839" t="s"/>
      <c r="G131" s="839" t="s"/>
      <c r="H131" s="837" t="s"/>
      <c r="I131" s="508" t="s"/>
      <c r="J131" s="508" t="s"/>
      <c r="K131" s="508" t="s"/>
      <c r="L131" s="508" t="s"/>
      <c r="M131" s="508" t="s"/>
      <c r="N131" s="508" t="s"/>
      <c r="O131" s="508" t="s"/>
      <c r="P131" s="508" t="s"/>
      <c r="Q131" s="508" t="s"/>
      <c r="R131" s="508" t="s"/>
      <c r="S131" s="508" t="s"/>
      <c r="T131" s="508" t="s"/>
      <c r="U131" s="508" t="s"/>
      <c r="V131" s="508" t="s"/>
      <c r="W131" s="508" t="s"/>
      <c r="X131" s="508" t="s"/>
      <c r="Y131" s="508" t="s"/>
    </row>
    <row r="132" spans="1:25">
      <c r="A132" s="680" t="s"/>
      <c r="B132" s="837" t="s"/>
      <c r="C132" s="837" t="s"/>
      <c r="D132" s="838" t="s"/>
      <c r="E132" s="837" t="s"/>
      <c r="F132" s="839" t="s"/>
      <c r="G132" s="839" t="s"/>
      <c r="H132" s="837" t="s"/>
      <c r="I132" s="508" t="s"/>
      <c r="J132" s="508" t="s"/>
      <c r="K132" s="508" t="s"/>
      <c r="L132" s="508" t="s"/>
      <c r="M132" s="508" t="s"/>
      <c r="N132" s="508" t="s"/>
      <c r="O132" s="508" t="s"/>
      <c r="P132" s="508" t="s"/>
      <c r="Q132" s="508" t="s"/>
      <c r="R132" s="508" t="s"/>
      <c r="S132" s="508" t="s"/>
      <c r="T132" s="508" t="s"/>
      <c r="U132" s="508" t="s"/>
      <c r="V132" s="508" t="s"/>
      <c r="W132" s="508" t="s"/>
      <c r="X132" s="508" t="s"/>
      <c r="Y132" s="508" t="s"/>
    </row>
    <row r="133" spans="1:25">
      <c r="A133" s="680" t="s"/>
      <c r="B133" s="837" t="s"/>
      <c r="C133" s="837" t="s"/>
      <c r="D133" s="838" t="s"/>
      <c r="E133" s="837" t="s"/>
      <c r="F133" s="839" t="s"/>
      <c r="G133" s="839" t="s"/>
      <c r="H133" s="837" t="s"/>
      <c r="I133" s="508" t="s"/>
      <c r="J133" s="508" t="s"/>
      <c r="K133" s="508" t="s"/>
      <c r="L133" s="508" t="s"/>
      <c r="M133" s="508" t="s"/>
      <c r="N133" s="508" t="s"/>
      <c r="O133" s="508" t="s"/>
      <c r="P133" s="508" t="s"/>
      <c r="Q133" s="508" t="s"/>
      <c r="R133" s="508" t="s"/>
      <c r="S133" s="508" t="s"/>
      <c r="T133" s="508" t="s"/>
      <c r="U133" s="508" t="s"/>
      <c r="V133" s="508" t="s"/>
      <c r="W133" s="508" t="s"/>
      <c r="X133" s="508" t="s"/>
      <c r="Y133" s="508" t="s"/>
    </row>
    <row r="134" spans="1:25">
      <c r="A134" s="680" t="s"/>
      <c r="B134" s="837" t="s"/>
      <c r="C134" s="837" t="s"/>
      <c r="D134" s="838" t="s"/>
      <c r="E134" s="837" t="s"/>
      <c r="F134" s="839" t="s"/>
      <c r="G134" s="839" t="s"/>
      <c r="H134" s="837" t="s"/>
      <c r="I134" s="508" t="s"/>
      <c r="J134" s="508" t="s"/>
      <c r="K134" s="508" t="s"/>
      <c r="L134" s="508" t="s"/>
      <c r="M134" s="508" t="s"/>
      <c r="N134" s="508" t="s"/>
      <c r="O134" s="508" t="s"/>
      <c r="P134" s="508" t="s"/>
      <c r="Q134" s="508" t="s"/>
      <c r="R134" s="508" t="s"/>
      <c r="S134" s="508" t="s"/>
      <c r="T134" s="508" t="s"/>
      <c r="U134" s="508" t="s"/>
      <c r="V134" s="508" t="s"/>
      <c r="W134" s="508" t="s"/>
      <c r="X134" s="508" t="s"/>
      <c r="Y134" s="508" t="s"/>
    </row>
    <row r="135" spans="1:25">
      <c r="A135" s="680" t="s"/>
      <c r="B135" s="837" t="s"/>
      <c r="C135" s="837" t="s"/>
      <c r="D135" s="838" t="s"/>
      <c r="E135" s="837" t="s"/>
      <c r="F135" s="839" t="s"/>
      <c r="G135" s="839" t="s"/>
      <c r="H135" s="837" t="s"/>
      <c r="I135" s="508" t="s"/>
      <c r="J135" s="508" t="s"/>
      <c r="K135" s="508" t="s"/>
      <c r="L135" s="508" t="s"/>
      <c r="M135" s="508" t="s"/>
      <c r="N135" s="508" t="s"/>
      <c r="O135" s="508" t="s"/>
      <c r="P135" s="508" t="s"/>
      <c r="Q135" s="508" t="s"/>
      <c r="R135" s="508" t="s"/>
      <c r="S135" s="508" t="s"/>
      <c r="T135" s="508" t="s"/>
      <c r="U135" s="508" t="s"/>
      <c r="V135" s="508" t="s"/>
      <c r="W135" s="508" t="s"/>
      <c r="X135" s="508" t="s"/>
      <c r="Y135" s="508" t="s"/>
    </row>
    <row r="136" spans="1:25">
      <c r="A136" s="680" t="s"/>
      <c r="B136" s="837" t="s"/>
      <c r="C136" s="837" t="s"/>
      <c r="D136" s="838" t="s"/>
      <c r="E136" s="837" t="s"/>
      <c r="F136" s="839" t="s"/>
      <c r="G136" s="839" t="s"/>
      <c r="H136" s="837" t="s"/>
      <c r="I136" s="508" t="s"/>
      <c r="J136" s="508" t="s"/>
      <c r="K136" s="508" t="s"/>
      <c r="L136" s="508" t="s"/>
      <c r="M136" s="508" t="s"/>
      <c r="N136" s="508" t="s"/>
      <c r="O136" s="508" t="s"/>
      <c r="P136" s="508" t="s"/>
      <c r="Q136" s="508" t="s"/>
      <c r="R136" s="508" t="s"/>
      <c r="S136" s="508" t="s"/>
      <c r="T136" s="508" t="s"/>
      <c r="U136" s="508" t="s"/>
      <c r="V136" s="508" t="s"/>
      <c r="W136" s="508" t="s"/>
      <c r="X136" s="508" t="s"/>
      <c r="Y136" s="508" t="s"/>
    </row>
    <row r="137" spans="1:25">
      <c r="A137" s="680" t="s"/>
      <c r="B137" s="837" t="s"/>
      <c r="C137" s="837" t="s"/>
      <c r="D137" s="838" t="s"/>
      <c r="E137" s="837" t="s"/>
      <c r="F137" s="839" t="s"/>
      <c r="G137" s="839" t="s"/>
      <c r="H137" s="837" t="s"/>
      <c r="I137" s="508" t="s"/>
      <c r="J137" s="508" t="s"/>
      <c r="K137" s="508" t="s"/>
      <c r="L137" s="508" t="s"/>
      <c r="M137" s="508" t="s"/>
      <c r="N137" s="508" t="s"/>
      <c r="O137" s="508" t="s"/>
      <c r="P137" s="508" t="s"/>
      <c r="Q137" s="508" t="s"/>
      <c r="R137" s="508" t="s"/>
      <c r="S137" s="508" t="s"/>
      <c r="T137" s="508" t="s"/>
      <c r="U137" s="508" t="s"/>
      <c r="V137" s="508" t="s"/>
      <c r="W137" s="508" t="s"/>
      <c r="X137" s="508" t="s"/>
      <c r="Y137" s="508" t="s"/>
    </row>
    <row r="138" spans="1:25">
      <c r="A138" s="680" t="s"/>
      <c r="B138" s="837" t="s"/>
      <c r="C138" s="837" t="s"/>
      <c r="D138" s="838" t="s"/>
      <c r="E138" s="837" t="s"/>
      <c r="F138" s="839" t="s"/>
      <c r="G138" s="839" t="s"/>
      <c r="H138" s="837" t="s"/>
      <c r="I138" s="508" t="s"/>
      <c r="J138" s="508" t="s"/>
      <c r="K138" s="508" t="s"/>
      <c r="L138" s="508" t="s"/>
      <c r="M138" s="508" t="s"/>
      <c r="N138" s="508" t="s"/>
      <c r="O138" s="508" t="s"/>
      <c r="P138" s="508" t="s"/>
      <c r="Q138" s="508" t="s"/>
      <c r="R138" s="508" t="s"/>
      <c r="S138" s="508" t="s"/>
      <c r="T138" s="508" t="s"/>
      <c r="U138" s="508" t="s"/>
      <c r="V138" s="508" t="s"/>
      <c r="W138" s="508" t="s"/>
      <c r="X138" s="508" t="s"/>
      <c r="Y138" s="508" t="s"/>
    </row>
    <row r="139" spans="1:25">
      <c r="A139" s="680" t="s"/>
      <c r="B139" s="837" t="s"/>
      <c r="C139" s="837" t="s"/>
      <c r="D139" s="838" t="s"/>
      <c r="E139" s="837" t="s"/>
      <c r="F139" s="839" t="s"/>
      <c r="G139" s="839" t="s"/>
      <c r="H139" s="837" t="s"/>
      <c r="I139" s="508" t="s"/>
      <c r="J139" s="508" t="s"/>
      <c r="K139" s="508" t="s"/>
      <c r="L139" s="508" t="s"/>
      <c r="M139" s="508" t="s"/>
      <c r="N139" s="508" t="s"/>
      <c r="O139" s="508" t="s"/>
      <c r="P139" s="508" t="s"/>
      <c r="Q139" s="508" t="s"/>
      <c r="R139" s="508" t="s"/>
      <c r="S139" s="508" t="s"/>
      <c r="T139" s="508" t="s"/>
      <c r="U139" s="508" t="s"/>
      <c r="V139" s="508" t="s"/>
      <c r="W139" s="508" t="s"/>
      <c r="X139" s="508" t="s"/>
      <c r="Y139" s="508" t="s"/>
    </row>
    <row r="140" spans="1:25">
      <c r="A140" s="680" t="s"/>
      <c r="B140" s="837" t="s"/>
      <c r="C140" s="837" t="s"/>
      <c r="D140" s="838" t="s"/>
      <c r="E140" s="837" t="s"/>
      <c r="F140" s="839" t="s"/>
      <c r="G140" s="839" t="s"/>
      <c r="H140" s="837" t="s"/>
      <c r="I140" s="508" t="s"/>
      <c r="J140" s="508" t="s"/>
      <c r="K140" s="508" t="s"/>
      <c r="L140" s="508" t="s"/>
      <c r="M140" s="508" t="s"/>
      <c r="N140" s="508" t="s"/>
      <c r="O140" s="508" t="s"/>
      <c r="P140" s="508" t="s"/>
      <c r="Q140" s="508" t="s"/>
      <c r="R140" s="508" t="s"/>
      <c r="S140" s="508" t="s"/>
      <c r="T140" s="508" t="s"/>
      <c r="U140" s="508" t="s"/>
      <c r="V140" s="508" t="s"/>
      <c r="W140" s="508" t="s"/>
      <c r="X140" s="508" t="s"/>
      <c r="Y140" s="508" t="s"/>
    </row>
    <row r="141" spans="1:25">
      <c r="A141" s="680" t="s"/>
      <c r="B141" s="837" t="s"/>
      <c r="C141" s="837" t="s"/>
      <c r="D141" s="838" t="s"/>
      <c r="E141" s="837" t="s"/>
      <c r="F141" s="839" t="s"/>
      <c r="G141" s="839" t="s"/>
      <c r="H141" s="837" t="s"/>
      <c r="I141" s="508" t="s"/>
      <c r="J141" s="508" t="s"/>
      <c r="K141" s="508" t="s"/>
      <c r="L141" s="508" t="s"/>
      <c r="M141" s="508" t="s"/>
      <c r="N141" s="508" t="s"/>
      <c r="O141" s="508" t="s"/>
      <c r="P141" s="508" t="s"/>
      <c r="Q141" s="508" t="s"/>
      <c r="R141" s="508" t="s"/>
      <c r="S141" s="508" t="s"/>
      <c r="T141" s="508" t="s"/>
      <c r="U141" s="508" t="s"/>
      <c r="V141" s="508" t="s"/>
      <c r="W141" s="508" t="s"/>
      <c r="X141" s="508" t="s"/>
      <c r="Y141" s="508" t="s"/>
    </row>
    <row r="142" spans="1:25">
      <c r="A142" s="680" t="s"/>
      <c r="B142" s="837" t="s"/>
      <c r="C142" s="837" t="s"/>
      <c r="D142" s="838" t="s"/>
      <c r="E142" s="837" t="s"/>
      <c r="F142" s="839" t="s"/>
      <c r="G142" s="839" t="s"/>
      <c r="H142" s="837" t="s"/>
      <c r="I142" s="508" t="s"/>
      <c r="J142" s="508" t="s"/>
      <c r="K142" s="508" t="s"/>
      <c r="L142" s="508" t="s"/>
      <c r="M142" s="508" t="s"/>
      <c r="N142" s="508" t="s"/>
      <c r="O142" s="508" t="s"/>
      <c r="P142" s="508" t="s"/>
      <c r="Q142" s="508" t="s"/>
      <c r="R142" s="508" t="s"/>
      <c r="S142" s="508" t="s"/>
      <c r="T142" s="508" t="s"/>
      <c r="U142" s="508" t="s"/>
      <c r="V142" s="508" t="s"/>
      <c r="W142" s="508" t="s"/>
      <c r="X142" s="508" t="s"/>
      <c r="Y142" s="508" t="s"/>
    </row>
    <row r="143" spans="1:25">
      <c r="A143" s="680" t="s"/>
      <c r="B143" s="837" t="s"/>
      <c r="C143" s="837" t="s"/>
      <c r="D143" s="838" t="s"/>
      <c r="E143" s="837" t="s"/>
      <c r="F143" s="839" t="s"/>
      <c r="G143" s="839" t="s"/>
      <c r="H143" s="837" t="s"/>
      <c r="I143" s="508" t="s"/>
      <c r="J143" s="508" t="s"/>
      <c r="K143" s="508" t="s"/>
      <c r="L143" s="508" t="s"/>
      <c r="M143" s="508" t="s"/>
      <c r="N143" s="508" t="s"/>
      <c r="O143" s="508" t="s"/>
      <c r="P143" s="508" t="s"/>
      <c r="Q143" s="508" t="s"/>
      <c r="R143" s="508" t="s"/>
      <c r="S143" s="508" t="s"/>
      <c r="T143" s="508" t="s"/>
      <c r="U143" s="508" t="s"/>
      <c r="V143" s="508" t="s"/>
      <c r="W143" s="508" t="s"/>
      <c r="X143" s="508" t="s"/>
      <c r="Y143" s="508" t="s"/>
    </row>
    <row r="144" spans="1:25">
      <c r="A144" s="680" t="s"/>
      <c r="B144" s="837" t="s"/>
      <c r="C144" s="837" t="s"/>
      <c r="D144" s="838" t="s"/>
      <c r="E144" s="837" t="s"/>
      <c r="F144" s="839" t="s"/>
      <c r="G144" s="839" t="s"/>
      <c r="H144" s="837" t="s"/>
      <c r="I144" s="508" t="s"/>
      <c r="J144" s="508" t="s"/>
      <c r="K144" s="508" t="s"/>
      <c r="L144" s="508" t="s"/>
      <c r="M144" s="508" t="s"/>
      <c r="N144" s="508" t="s"/>
      <c r="O144" s="508" t="s"/>
      <c r="P144" s="508" t="s"/>
      <c r="Q144" s="508" t="s"/>
      <c r="R144" s="508" t="s"/>
      <c r="S144" s="508" t="s"/>
      <c r="T144" s="508" t="s"/>
      <c r="U144" s="508" t="s"/>
      <c r="V144" s="508" t="s"/>
      <c r="W144" s="508" t="s"/>
      <c r="X144" s="508" t="s"/>
      <c r="Y144" s="508" t="s"/>
    </row>
    <row r="145" spans="1:25">
      <c r="A145" s="680" t="s"/>
      <c r="B145" s="837" t="s"/>
      <c r="C145" s="837" t="s"/>
      <c r="D145" s="838" t="s"/>
      <c r="E145" s="837" t="s"/>
      <c r="F145" s="839" t="s"/>
      <c r="G145" s="839" t="s"/>
      <c r="H145" s="837" t="s"/>
      <c r="I145" s="508" t="s"/>
      <c r="J145" s="508" t="s"/>
      <c r="K145" s="508" t="s"/>
      <c r="L145" s="508" t="s"/>
      <c r="M145" s="508" t="s"/>
      <c r="N145" s="508" t="s"/>
      <c r="O145" s="508" t="s"/>
      <c r="P145" s="508" t="s"/>
      <c r="Q145" s="508" t="s"/>
      <c r="R145" s="508" t="s"/>
      <c r="S145" s="508" t="s"/>
      <c r="T145" s="508" t="s"/>
      <c r="U145" s="508" t="s"/>
      <c r="V145" s="508" t="s"/>
      <c r="W145" s="508" t="s"/>
      <c r="X145" s="508" t="s"/>
      <c r="Y145" s="508" t="s"/>
    </row>
    <row r="146" spans="1:25">
      <c r="A146" s="680" t="s"/>
      <c r="B146" s="837" t="s"/>
      <c r="C146" s="837" t="s"/>
      <c r="D146" s="838" t="s"/>
      <c r="E146" s="837" t="s"/>
      <c r="F146" s="839" t="s"/>
      <c r="G146" s="839" t="s"/>
      <c r="H146" s="837" t="s"/>
      <c r="I146" s="508" t="s"/>
      <c r="J146" s="508" t="s"/>
      <c r="K146" s="508" t="s"/>
      <c r="L146" s="508" t="s"/>
      <c r="M146" s="508" t="s"/>
      <c r="N146" s="508" t="s"/>
      <c r="O146" s="508" t="s"/>
      <c r="P146" s="508" t="s"/>
      <c r="Q146" s="508" t="s"/>
      <c r="R146" s="508" t="s"/>
      <c r="S146" s="508" t="s"/>
      <c r="T146" s="508" t="s"/>
      <c r="U146" s="508" t="s"/>
      <c r="V146" s="508" t="s"/>
      <c r="W146" s="508" t="s"/>
      <c r="X146" s="508" t="s"/>
      <c r="Y146" s="508" t="s"/>
    </row>
    <row r="147" spans="1:25">
      <c r="A147" s="680" t="s"/>
      <c r="B147" s="837" t="s"/>
      <c r="C147" s="837" t="s"/>
      <c r="D147" s="838" t="s"/>
      <c r="E147" s="837" t="s"/>
      <c r="F147" s="839" t="s"/>
      <c r="G147" s="839" t="s"/>
      <c r="H147" s="837" t="s"/>
      <c r="I147" s="508" t="s"/>
      <c r="J147" s="508" t="s"/>
      <c r="K147" s="508" t="s"/>
      <c r="L147" s="508" t="s"/>
      <c r="M147" s="508" t="s"/>
      <c r="N147" s="508" t="s"/>
      <c r="O147" s="508" t="s"/>
      <c r="P147" s="508" t="s"/>
      <c r="Q147" s="508" t="s"/>
      <c r="R147" s="508" t="s"/>
      <c r="S147" s="508" t="s"/>
      <c r="T147" s="508" t="s"/>
      <c r="U147" s="508" t="s"/>
      <c r="V147" s="508" t="s"/>
      <c r="W147" s="508" t="s"/>
      <c r="X147" s="508" t="s"/>
      <c r="Y147" s="508" t="s"/>
    </row>
    <row r="148" spans="1:25">
      <c r="A148" s="680" t="s"/>
      <c r="B148" s="837" t="s"/>
      <c r="C148" s="837" t="s"/>
      <c r="D148" s="838" t="s"/>
      <c r="E148" s="837" t="s"/>
      <c r="F148" s="839" t="s"/>
      <c r="G148" s="839" t="s"/>
      <c r="H148" s="837" t="s"/>
      <c r="I148" s="508" t="s"/>
      <c r="J148" s="508" t="s"/>
      <c r="K148" s="508" t="s"/>
      <c r="L148" s="508" t="s"/>
      <c r="M148" s="508" t="s"/>
      <c r="N148" s="508" t="s"/>
      <c r="O148" s="508" t="s"/>
      <c r="P148" s="508" t="s"/>
      <c r="Q148" s="508" t="s"/>
      <c r="R148" s="508" t="s"/>
      <c r="S148" s="508" t="s"/>
      <c r="T148" s="508" t="s"/>
      <c r="U148" s="508" t="s"/>
      <c r="V148" s="508" t="s"/>
      <c r="W148" s="508" t="s"/>
      <c r="X148" s="508" t="s"/>
      <c r="Y148" s="508" t="s"/>
    </row>
    <row r="149" spans="1:25">
      <c r="A149" s="680" t="s"/>
      <c r="B149" s="837" t="s"/>
      <c r="C149" s="837" t="s"/>
      <c r="D149" s="838" t="s"/>
      <c r="E149" s="837" t="s"/>
      <c r="F149" s="839" t="s"/>
      <c r="G149" s="839" t="s"/>
      <c r="H149" s="837" t="s"/>
      <c r="I149" s="508" t="s"/>
      <c r="J149" s="508" t="s"/>
      <c r="K149" s="508" t="s"/>
      <c r="L149" s="508" t="s"/>
      <c r="M149" s="508" t="s"/>
      <c r="N149" s="508" t="s"/>
      <c r="O149" s="508" t="s"/>
      <c r="P149" s="508" t="s"/>
      <c r="Q149" s="508" t="s"/>
      <c r="R149" s="508" t="s"/>
      <c r="S149" s="508" t="s"/>
      <c r="T149" s="508" t="s"/>
      <c r="U149" s="508" t="s"/>
      <c r="V149" s="508" t="s"/>
      <c r="W149" s="508" t="s"/>
      <c r="X149" s="508" t="s"/>
      <c r="Y149" s="508" t="s"/>
    </row>
    <row r="150" spans="1:25">
      <c r="A150" s="680" t="s"/>
      <c r="B150" s="837" t="s"/>
      <c r="C150" s="837" t="s"/>
      <c r="D150" s="838" t="s"/>
      <c r="E150" s="837" t="s"/>
      <c r="F150" s="839" t="s"/>
      <c r="G150" s="839" t="s"/>
      <c r="H150" s="837" t="s"/>
      <c r="I150" s="508" t="s"/>
      <c r="J150" s="508" t="s"/>
      <c r="K150" s="508" t="s"/>
      <c r="L150" s="508" t="s"/>
      <c r="M150" s="508" t="s"/>
      <c r="N150" s="508" t="s"/>
      <c r="O150" s="508" t="s"/>
      <c r="P150" s="508" t="s"/>
      <c r="Q150" s="508" t="s"/>
      <c r="R150" s="508" t="s"/>
      <c r="S150" s="508" t="s"/>
      <c r="T150" s="508" t="s"/>
      <c r="U150" s="508" t="s"/>
      <c r="V150" s="508" t="s"/>
      <c r="W150" s="508" t="s"/>
      <c r="X150" s="508" t="s"/>
      <c r="Y150" s="508" t="s"/>
    </row>
    <row r="151" spans="1:25">
      <c r="A151" s="680" t="s"/>
      <c r="B151" s="837" t="s"/>
      <c r="C151" s="837" t="s"/>
      <c r="D151" s="838" t="s"/>
      <c r="E151" s="837" t="s"/>
      <c r="F151" s="839" t="s"/>
      <c r="G151" s="839" t="s"/>
      <c r="H151" s="837" t="s"/>
      <c r="I151" s="508" t="s"/>
      <c r="J151" s="508" t="s"/>
      <c r="K151" s="508" t="s"/>
      <c r="L151" s="508" t="s"/>
      <c r="M151" s="508" t="s"/>
      <c r="N151" s="508" t="s"/>
      <c r="O151" s="508" t="s"/>
      <c r="P151" s="508" t="s"/>
      <c r="Q151" s="508" t="s"/>
      <c r="R151" s="508" t="s"/>
      <c r="S151" s="508" t="s"/>
      <c r="T151" s="508" t="s"/>
      <c r="U151" s="508" t="s"/>
      <c r="V151" s="508" t="s"/>
      <c r="W151" s="508" t="s"/>
      <c r="X151" s="508" t="s"/>
      <c r="Y151" s="508" t="s"/>
    </row>
    <row r="152" spans="1:25">
      <c r="A152" s="680" t="s"/>
      <c r="B152" s="837" t="s"/>
      <c r="C152" s="837" t="s"/>
      <c r="D152" s="838" t="s"/>
      <c r="E152" s="837" t="s"/>
      <c r="F152" s="839" t="s"/>
      <c r="G152" s="839" t="s"/>
      <c r="H152" s="837" t="s"/>
      <c r="I152" s="508" t="s"/>
      <c r="J152" s="508" t="s"/>
      <c r="K152" s="508" t="s"/>
      <c r="L152" s="508" t="s"/>
      <c r="M152" s="508" t="s"/>
      <c r="N152" s="508" t="s"/>
      <c r="O152" s="508" t="s"/>
      <c r="P152" s="508" t="s"/>
      <c r="Q152" s="508" t="s"/>
      <c r="R152" s="508" t="s"/>
      <c r="S152" s="508" t="s"/>
      <c r="T152" s="508" t="s"/>
      <c r="U152" s="508" t="s"/>
      <c r="V152" s="508" t="s"/>
      <c r="W152" s="508" t="s"/>
      <c r="X152" s="508" t="s"/>
      <c r="Y152" s="508" t="s"/>
    </row>
    <row r="153" spans="1:25">
      <c r="A153" s="680" t="s"/>
      <c r="B153" s="837" t="s"/>
      <c r="C153" s="837" t="s"/>
      <c r="D153" s="838" t="s"/>
      <c r="E153" s="837" t="s"/>
      <c r="F153" s="839" t="s"/>
      <c r="G153" s="839" t="s"/>
      <c r="H153" s="837" t="s"/>
      <c r="I153" s="508" t="s"/>
      <c r="J153" s="508" t="s"/>
      <c r="K153" s="508" t="s"/>
      <c r="L153" s="508" t="s"/>
      <c r="M153" s="508" t="s"/>
      <c r="N153" s="508" t="s"/>
      <c r="O153" s="508" t="s"/>
      <c r="P153" s="508" t="s"/>
      <c r="Q153" s="508" t="s"/>
      <c r="R153" s="508" t="s"/>
      <c r="S153" s="508" t="s"/>
      <c r="T153" s="508" t="s"/>
      <c r="U153" s="508" t="s"/>
      <c r="V153" s="508" t="s"/>
      <c r="W153" s="508" t="s"/>
      <c r="X153" s="508" t="s"/>
      <c r="Y153" s="508" t="s"/>
    </row>
    <row r="154" spans="1:25">
      <c r="A154" s="680" t="s"/>
      <c r="B154" s="837" t="s"/>
      <c r="C154" s="837" t="s"/>
      <c r="D154" s="838" t="s"/>
      <c r="E154" s="837" t="s"/>
      <c r="F154" s="839" t="s"/>
      <c r="G154" s="839" t="s"/>
      <c r="H154" s="837" t="s"/>
      <c r="I154" s="508" t="s"/>
      <c r="J154" s="508" t="s"/>
      <c r="K154" s="508" t="s"/>
      <c r="L154" s="508" t="s"/>
      <c r="M154" s="508" t="s"/>
      <c r="N154" s="508" t="s"/>
      <c r="O154" s="508" t="s"/>
      <c r="P154" s="508" t="s"/>
      <c r="Q154" s="508" t="s"/>
      <c r="R154" s="508" t="s"/>
      <c r="S154" s="508" t="s"/>
      <c r="T154" s="508" t="s"/>
      <c r="U154" s="508" t="s"/>
      <c r="V154" s="508" t="s"/>
      <c r="W154" s="508" t="s"/>
      <c r="X154" s="508" t="s"/>
      <c r="Y154" s="508" t="s"/>
    </row>
    <row r="155" spans="1:25">
      <c r="A155" s="680" t="s"/>
      <c r="B155" s="837" t="s"/>
      <c r="C155" s="837" t="s"/>
      <c r="D155" s="838" t="s"/>
      <c r="E155" s="837" t="s"/>
      <c r="F155" s="839" t="s"/>
      <c r="G155" s="839" t="s"/>
      <c r="H155" s="837" t="s"/>
      <c r="I155" s="508" t="s"/>
      <c r="J155" s="508" t="s"/>
      <c r="K155" s="508" t="s"/>
      <c r="L155" s="508" t="s"/>
      <c r="M155" s="508" t="s"/>
      <c r="N155" s="508" t="s"/>
      <c r="O155" s="508" t="s"/>
      <c r="P155" s="508" t="s"/>
      <c r="Q155" s="508" t="s"/>
      <c r="R155" s="508" t="s"/>
      <c r="S155" s="508" t="s"/>
      <c r="T155" s="508" t="s"/>
      <c r="U155" s="508" t="s"/>
      <c r="V155" s="508" t="s"/>
      <c r="W155" s="508" t="s"/>
      <c r="X155" s="508" t="s"/>
      <c r="Y155" s="508" t="s"/>
    </row>
    <row r="156" spans="1:25">
      <c r="A156" s="680" t="s"/>
      <c r="B156" s="837" t="s"/>
      <c r="C156" s="837" t="s"/>
      <c r="D156" s="838" t="s"/>
      <c r="E156" s="837" t="s"/>
      <c r="F156" s="839" t="s"/>
      <c r="G156" s="839" t="s"/>
      <c r="H156" s="837" t="s"/>
      <c r="I156" s="508" t="s"/>
      <c r="J156" s="508" t="s"/>
      <c r="K156" s="508" t="s"/>
      <c r="L156" s="508" t="s"/>
      <c r="M156" s="508" t="s"/>
      <c r="N156" s="508" t="s"/>
      <c r="O156" s="508" t="s"/>
      <c r="P156" s="508" t="s"/>
      <c r="Q156" s="508" t="s"/>
      <c r="R156" s="508" t="s"/>
      <c r="S156" s="508" t="s"/>
      <c r="T156" s="508" t="s"/>
      <c r="U156" s="508" t="s"/>
      <c r="V156" s="508" t="s"/>
      <c r="W156" s="508" t="s"/>
      <c r="X156" s="508" t="s"/>
      <c r="Y156" s="508" t="s"/>
    </row>
    <row r="157" spans="1:25">
      <c r="A157" s="680" t="s"/>
      <c r="B157" s="837" t="s"/>
      <c r="C157" s="837" t="s"/>
      <c r="D157" s="838" t="s"/>
      <c r="E157" s="837" t="s"/>
      <c r="F157" s="839" t="s"/>
      <c r="G157" s="839" t="s"/>
      <c r="H157" s="837" t="s"/>
      <c r="I157" s="508" t="s"/>
      <c r="J157" s="508" t="s"/>
      <c r="K157" s="508" t="s"/>
      <c r="L157" s="508" t="s"/>
      <c r="M157" s="508" t="s"/>
      <c r="N157" s="508" t="s"/>
      <c r="O157" s="508" t="s"/>
      <c r="P157" s="508" t="s"/>
      <c r="Q157" s="508" t="s"/>
      <c r="R157" s="508" t="s"/>
      <c r="S157" s="508" t="s"/>
      <c r="T157" s="508" t="s"/>
      <c r="U157" s="508" t="s"/>
      <c r="V157" s="508" t="s"/>
      <c r="W157" s="508" t="s"/>
      <c r="X157" s="508" t="s"/>
      <c r="Y157" s="508" t="s"/>
    </row>
    <row r="158" spans="1:25">
      <c r="A158" s="680" t="s"/>
      <c r="B158" s="837" t="s"/>
      <c r="C158" s="837" t="s"/>
      <c r="D158" s="838" t="s"/>
      <c r="E158" s="837" t="s"/>
      <c r="F158" s="839" t="s"/>
      <c r="G158" s="839" t="s"/>
      <c r="H158" s="837" t="s"/>
      <c r="I158" s="508" t="s"/>
      <c r="J158" s="508" t="s"/>
      <c r="K158" s="508" t="s"/>
      <c r="L158" s="508" t="s"/>
      <c r="M158" s="508" t="s"/>
      <c r="N158" s="508" t="s"/>
      <c r="O158" s="508" t="s"/>
      <c r="P158" s="508" t="s"/>
      <c r="Q158" s="508" t="s"/>
      <c r="R158" s="508" t="s"/>
      <c r="S158" s="508" t="s"/>
      <c r="T158" s="508" t="s"/>
      <c r="U158" s="508" t="s"/>
      <c r="V158" s="508" t="s"/>
      <c r="W158" s="508" t="s"/>
      <c r="X158" s="508" t="s"/>
      <c r="Y158" s="508" t="s"/>
    </row>
    <row r="159" spans="1:25">
      <c r="A159" s="680" t="s"/>
      <c r="B159" s="837" t="s"/>
      <c r="C159" s="837" t="s"/>
      <c r="D159" s="838" t="s"/>
      <c r="E159" s="837" t="s"/>
      <c r="F159" s="839" t="s"/>
      <c r="G159" s="839" t="s"/>
      <c r="H159" s="837" t="s"/>
      <c r="I159" s="508" t="s"/>
      <c r="J159" s="508" t="s"/>
      <c r="K159" s="508" t="s"/>
      <c r="L159" s="508" t="s"/>
      <c r="M159" s="508" t="s"/>
      <c r="N159" s="508" t="s"/>
      <c r="O159" s="508" t="s"/>
      <c r="P159" s="508" t="s"/>
      <c r="Q159" s="508" t="s"/>
      <c r="R159" s="508" t="s"/>
      <c r="S159" s="508" t="s"/>
      <c r="T159" s="508" t="s"/>
      <c r="U159" s="508" t="s"/>
      <c r="V159" s="508" t="s"/>
      <c r="W159" s="508" t="s"/>
      <c r="X159" s="508" t="s"/>
      <c r="Y159" s="508" t="s"/>
    </row>
    <row r="160" spans="1:25">
      <c r="A160" s="680" t="s"/>
      <c r="B160" s="837" t="s"/>
      <c r="C160" s="837" t="s"/>
      <c r="D160" s="838" t="s"/>
      <c r="E160" s="837" t="s"/>
      <c r="F160" s="839" t="s"/>
      <c r="G160" s="839" t="s"/>
      <c r="H160" s="837" t="s"/>
      <c r="I160" s="508" t="s"/>
      <c r="J160" s="508" t="s"/>
      <c r="K160" s="508" t="s"/>
      <c r="L160" s="508" t="s"/>
      <c r="M160" s="508" t="s"/>
      <c r="N160" s="508" t="s"/>
      <c r="O160" s="508" t="s"/>
      <c r="P160" s="508" t="s"/>
      <c r="Q160" s="508" t="s"/>
      <c r="R160" s="508" t="s"/>
      <c r="S160" s="508" t="s"/>
      <c r="T160" s="508" t="s"/>
      <c r="U160" s="508" t="s"/>
      <c r="V160" s="508" t="s"/>
      <c r="W160" s="508" t="s"/>
      <c r="X160" s="508" t="s"/>
      <c r="Y160" s="508" t="s"/>
    </row>
    <row r="161" spans="1:25">
      <c r="A161" s="680" t="s"/>
      <c r="B161" s="837" t="s"/>
      <c r="C161" s="837" t="s"/>
      <c r="D161" s="838" t="s"/>
      <c r="E161" s="837" t="s"/>
      <c r="F161" s="839" t="s"/>
      <c r="G161" s="839" t="s"/>
      <c r="H161" s="837" t="s"/>
      <c r="I161" s="508" t="s"/>
      <c r="J161" s="508" t="s"/>
      <c r="K161" s="508" t="s"/>
      <c r="L161" s="508" t="s"/>
      <c r="M161" s="508" t="s"/>
      <c r="N161" s="508" t="s"/>
      <c r="O161" s="508" t="s"/>
      <c r="P161" s="508" t="s"/>
      <c r="Q161" s="508" t="s"/>
      <c r="R161" s="508" t="s"/>
      <c r="S161" s="508" t="s"/>
      <c r="T161" s="508" t="s"/>
      <c r="U161" s="508" t="s"/>
      <c r="V161" s="508" t="s"/>
      <c r="W161" s="508" t="s"/>
      <c r="X161" s="508" t="s"/>
      <c r="Y161" s="508" t="s"/>
    </row>
    <row r="162" spans="1:25">
      <c r="A162" s="680" t="s"/>
      <c r="B162" s="837" t="s"/>
      <c r="C162" s="837" t="s"/>
      <c r="D162" s="838" t="s"/>
      <c r="E162" s="837" t="s"/>
      <c r="F162" s="839" t="s"/>
      <c r="G162" s="839" t="s"/>
      <c r="H162" s="837" t="s"/>
      <c r="I162" s="508" t="s"/>
      <c r="J162" s="508" t="s"/>
      <c r="K162" s="508" t="s"/>
      <c r="L162" s="508" t="s"/>
      <c r="M162" s="508" t="s"/>
      <c r="N162" s="508" t="s"/>
      <c r="O162" s="508" t="s"/>
      <c r="P162" s="508" t="s"/>
      <c r="Q162" s="508" t="s"/>
      <c r="R162" s="508" t="s"/>
      <c r="S162" s="508" t="s"/>
      <c r="T162" s="508" t="s"/>
      <c r="U162" s="508" t="s"/>
      <c r="V162" s="508" t="s"/>
      <c r="W162" s="508" t="s"/>
      <c r="X162" s="508" t="s"/>
      <c r="Y162" s="508" t="s"/>
    </row>
    <row r="163" spans="1:25">
      <c r="A163" s="680" t="s"/>
      <c r="B163" s="837" t="s"/>
      <c r="C163" s="837" t="s"/>
      <c r="D163" s="838" t="s"/>
      <c r="E163" s="837" t="s"/>
      <c r="F163" s="839" t="s"/>
      <c r="G163" s="839" t="s"/>
      <c r="H163" s="837" t="s"/>
      <c r="I163" s="508" t="s"/>
      <c r="J163" s="508" t="s"/>
      <c r="K163" s="508" t="s"/>
      <c r="L163" s="508" t="s"/>
      <c r="M163" s="508" t="s"/>
      <c r="N163" s="508" t="s"/>
      <c r="O163" s="508" t="s"/>
      <c r="P163" s="508" t="s"/>
      <c r="Q163" s="508" t="s"/>
      <c r="R163" s="508" t="s"/>
      <c r="S163" s="508" t="s"/>
      <c r="T163" s="508" t="s"/>
      <c r="U163" s="508" t="s"/>
      <c r="V163" s="508" t="s"/>
      <c r="W163" s="508" t="s"/>
      <c r="X163" s="508" t="s"/>
      <c r="Y163" s="508" t="s"/>
    </row>
    <row r="164" spans="1:25">
      <c r="A164" s="680" t="s"/>
      <c r="B164" s="837" t="s"/>
      <c r="C164" s="837" t="s"/>
      <c r="D164" s="838" t="s"/>
      <c r="E164" s="837" t="s"/>
      <c r="F164" s="839" t="s"/>
      <c r="G164" s="839" t="s"/>
      <c r="H164" s="837" t="s"/>
      <c r="I164" s="508" t="s"/>
      <c r="J164" s="508" t="s"/>
      <c r="K164" s="508" t="s"/>
      <c r="L164" s="508" t="s"/>
      <c r="M164" s="508" t="s"/>
      <c r="N164" s="508" t="s"/>
      <c r="O164" s="508" t="s"/>
      <c r="P164" s="508" t="s"/>
      <c r="Q164" s="508" t="s"/>
      <c r="R164" s="508" t="s"/>
      <c r="S164" s="508" t="s"/>
      <c r="T164" s="508" t="s"/>
      <c r="U164" s="508" t="s"/>
      <c r="V164" s="508" t="s"/>
      <c r="W164" s="508" t="s"/>
      <c r="X164" s="508" t="s"/>
      <c r="Y164" s="508" t="s"/>
    </row>
    <row r="165" spans="1:25">
      <c r="A165" s="680" t="s"/>
      <c r="B165" s="837" t="s"/>
      <c r="C165" s="837" t="s"/>
      <c r="D165" s="838" t="s"/>
      <c r="E165" s="837" t="s"/>
      <c r="F165" s="839" t="s"/>
      <c r="G165" s="839" t="s"/>
      <c r="H165" s="837" t="s"/>
      <c r="I165" s="508" t="s"/>
      <c r="J165" s="508" t="s"/>
      <c r="K165" s="508" t="s"/>
      <c r="L165" s="508" t="s"/>
      <c r="M165" s="508" t="s"/>
      <c r="N165" s="508" t="s"/>
      <c r="O165" s="508" t="s"/>
      <c r="P165" s="508" t="s"/>
      <c r="Q165" s="508" t="s"/>
      <c r="R165" s="508" t="s"/>
      <c r="S165" s="508" t="s"/>
      <c r="T165" s="508" t="s"/>
      <c r="U165" s="508" t="s"/>
      <c r="V165" s="508" t="s"/>
      <c r="W165" s="508" t="s"/>
      <c r="X165" s="508" t="s"/>
      <c r="Y165" s="508" t="s"/>
    </row>
    <row r="166" spans="1:25">
      <c r="A166" s="680" t="s"/>
      <c r="B166" s="837" t="s"/>
      <c r="C166" s="837" t="s"/>
      <c r="D166" s="838" t="s"/>
      <c r="E166" s="837" t="s"/>
      <c r="F166" s="839" t="s"/>
      <c r="G166" s="839" t="s"/>
      <c r="H166" s="837" t="s"/>
      <c r="I166" s="508" t="s"/>
      <c r="J166" s="508" t="s"/>
      <c r="K166" s="508" t="s"/>
      <c r="L166" s="508" t="s"/>
      <c r="M166" s="508" t="s"/>
      <c r="N166" s="508" t="s"/>
      <c r="O166" s="508" t="s"/>
      <c r="P166" s="508" t="s"/>
      <c r="Q166" s="508" t="s"/>
      <c r="R166" s="508" t="s"/>
      <c r="S166" s="508" t="s"/>
      <c r="T166" s="508" t="s"/>
      <c r="U166" s="508" t="s"/>
      <c r="V166" s="508" t="s"/>
      <c r="W166" s="508" t="s"/>
      <c r="X166" s="508" t="s"/>
      <c r="Y166" s="508" t="s"/>
    </row>
    <row r="167" spans="1:25">
      <c r="A167" s="680" t="s"/>
      <c r="B167" s="837" t="s"/>
      <c r="C167" s="837" t="s"/>
      <c r="D167" s="838" t="s"/>
      <c r="E167" s="837" t="s"/>
      <c r="F167" s="839" t="s"/>
      <c r="G167" s="839" t="s"/>
      <c r="H167" s="837" t="s"/>
      <c r="I167" s="508" t="s"/>
      <c r="J167" s="508" t="s"/>
      <c r="K167" s="508" t="s"/>
      <c r="L167" s="508" t="s"/>
      <c r="M167" s="508" t="s"/>
      <c r="N167" s="508" t="s"/>
      <c r="O167" s="508" t="s"/>
      <c r="P167" s="508" t="s"/>
      <c r="Q167" s="508" t="s"/>
      <c r="R167" s="508" t="s"/>
      <c r="S167" s="508" t="s"/>
      <c r="T167" s="508" t="s"/>
      <c r="U167" s="508" t="s"/>
      <c r="V167" s="508" t="s"/>
      <c r="W167" s="508" t="s"/>
      <c r="X167" s="508" t="s"/>
      <c r="Y167" s="508" t="s"/>
    </row>
    <row r="168" spans="1:25">
      <c r="A168" s="680" t="s"/>
      <c r="B168" s="837" t="s"/>
      <c r="C168" s="837" t="s"/>
      <c r="D168" s="838" t="s"/>
      <c r="E168" s="837" t="s"/>
      <c r="F168" s="839" t="s"/>
      <c r="G168" s="839" t="s"/>
      <c r="H168" s="837" t="s"/>
      <c r="I168" s="508" t="s"/>
      <c r="J168" s="508" t="s"/>
      <c r="K168" s="508" t="s"/>
      <c r="L168" s="508" t="s"/>
      <c r="M168" s="508" t="s"/>
      <c r="N168" s="508" t="s"/>
      <c r="O168" s="508" t="s"/>
      <c r="P168" s="508" t="s"/>
      <c r="Q168" s="508" t="s"/>
      <c r="R168" s="508" t="s"/>
      <c r="S168" s="508" t="s"/>
      <c r="T168" s="508" t="s"/>
      <c r="U168" s="508" t="s"/>
      <c r="V168" s="508" t="s"/>
      <c r="W168" s="508" t="s"/>
      <c r="X168" s="508" t="s"/>
      <c r="Y168" s="508" t="s"/>
    </row>
    <row r="169" spans="1:25">
      <c r="A169" s="680" t="s"/>
      <c r="B169" s="837" t="s"/>
      <c r="C169" s="837" t="s"/>
      <c r="D169" s="838" t="s"/>
      <c r="E169" s="837" t="s"/>
      <c r="F169" s="839" t="s"/>
      <c r="G169" s="839" t="s"/>
      <c r="H169" s="837" t="s"/>
      <c r="I169" s="508" t="s"/>
      <c r="J169" s="508" t="s"/>
      <c r="K169" s="508" t="s"/>
      <c r="L169" s="508" t="s"/>
      <c r="M169" s="508" t="s"/>
      <c r="N169" s="508" t="s"/>
      <c r="O169" s="508" t="s"/>
      <c r="P169" s="508" t="s"/>
      <c r="Q169" s="508" t="s"/>
      <c r="R169" s="508" t="s"/>
      <c r="S169" s="508" t="s"/>
      <c r="T169" s="508" t="s"/>
      <c r="U169" s="508" t="s"/>
      <c r="V169" s="508" t="s"/>
      <c r="W169" s="508" t="s"/>
      <c r="X169" s="508" t="s"/>
      <c r="Y169" s="508" t="s"/>
    </row>
    <row r="170" spans="1:25">
      <c r="A170" s="680" t="s"/>
      <c r="B170" s="837" t="s"/>
      <c r="C170" s="837" t="s"/>
      <c r="D170" s="838" t="s"/>
      <c r="E170" s="837" t="s"/>
      <c r="F170" s="839" t="s"/>
      <c r="G170" s="839" t="s"/>
      <c r="H170" s="837" t="s"/>
      <c r="I170" s="508" t="s"/>
      <c r="J170" s="508" t="s"/>
      <c r="K170" s="508" t="s"/>
      <c r="L170" s="508" t="s"/>
      <c r="M170" s="508" t="s"/>
      <c r="N170" s="508" t="s"/>
      <c r="O170" s="508" t="s"/>
      <c r="P170" s="508" t="s"/>
      <c r="Q170" s="508" t="s"/>
      <c r="R170" s="508" t="s"/>
      <c r="S170" s="508" t="s"/>
      <c r="T170" s="508" t="s"/>
      <c r="U170" s="508" t="s"/>
      <c r="V170" s="508" t="s"/>
      <c r="W170" s="508" t="s"/>
      <c r="X170" s="508" t="s"/>
      <c r="Y170" s="508" t="s"/>
    </row>
    <row r="171" spans="1:25">
      <c r="A171" s="680" t="s"/>
      <c r="B171" s="837" t="s"/>
      <c r="C171" s="837" t="s"/>
      <c r="D171" s="838" t="s"/>
      <c r="E171" s="837" t="s"/>
      <c r="F171" s="839" t="s"/>
      <c r="G171" s="839" t="s"/>
      <c r="H171" s="837" t="s"/>
      <c r="I171" s="508" t="s"/>
      <c r="J171" s="508" t="s"/>
      <c r="K171" s="508" t="s"/>
      <c r="L171" s="508" t="s"/>
      <c r="M171" s="508" t="s"/>
      <c r="N171" s="508" t="s"/>
      <c r="O171" s="508" t="s"/>
      <c r="P171" s="508" t="s"/>
      <c r="Q171" s="508" t="s"/>
      <c r="R171" s="508" t="s"/>
      <c r="S171" s="508" t="s"/>
      <c r="T171" s="508" t="s"/>
      <c r="U171" s="508" t="s"/>
      <c r="V171" s="508" t="s"/>
      <c r="W171" s="508" t="s"/>
      <c r="X171" s="508" t="s"/>
      <c r="Y171" s="508" t="s"/>
    </row>
    <row r="172" spans="1:25">
      <c r="A172" s="680" t="s"/>
      <c r="B172" s="837" t="s"/>
      <c r="C172" s="837" t="s"/>
      <c r="D172" s="838" t="s"/>
      <c r="E172" s="837" t="s"/>
      <c r="F172" s="839" t="s"/>
      <c r="G172" s="839" t="s"/>
      <c r="H172" s="837" t="s"/>
      <c r="I172" s="508" t="s"/>
      <c r="J172" s="508" t="s"/>
      <c r="K172" s="508" t="s"/>
      <c r="L172" s="508" t="s"/>
      <c r="M172" s="508" t="s"/>
      <c r="N172" s="508" t="s"/>
      <c r="O172" s="508" t="s"/>
      <c r="P172" s="508" t="s"/>
      <c r="Q172" s="508" t="s"/>
      <c r="R172" s="508" t="s"/>
      <c r="S172" s="508" t="s"/>
      <c r="T172" s="508" t="s"/>
      <c r="U172" s="508" t="s"/>
      <c r="V172" s="508" t="s"/>
      <c r="W172" s="508" t="s"/>
      <c r="X172" s="508" t="s"/>
      <c r="Y172" s="508" t="s"/>
    </row>
    <row r="173" spans="1:25">
      <c r="A173" s="680" t="s"/>
      <c r="B173" s="837" t="s"/>
      <c r="C173" s="837" t="s"/>
      <c r="D173" s="838" t="s"/>
      <c r="E173" s="837" t="s"/>
      <c r="F173" s="839" t="s"/>
      <c r="G173" s="839" t="s"/>
      <c r="H173" s="837" t="s"/>
      <c r="I173" s="508" t="s"/>
      <c r="J173" s="508" t="s"/>
      <c r="K173" s="508" t="s"/>
      <c r="L173" s="508" t="s"/>
      <c r="M173" s="508" t="s"/>
      <c r="N173" s="508" t="s"/>
      <c r="O173" s="508" t="s"/>
      <c r="P173" s="508" t="s"/>
      <c r="Q173" s="508" t="s"/>
      <c r="R173" s="508" t="s"/>
      <c r="S173" s="508" t="s"/>
      <c r="T173" s="508" t="s"/>
      <c r="U173" s="508" t="s"/>
      <c r="V173" s="508" t="s"/>
      <c r="W173" s="508" t="s"/>
      <c r="X173" s="508" t="s"/>
      <c r="Y173" s="508" t="s"/>
    </row>
    <row r="174" spans="1:25">
      <c r="A174" s="680" t="s"/>
      <c r="B174" s="837" t="s"/>
      <c r="C174" s="837" t="s"/>
      <c r="D174" s="838" t="s"/>
      <c r="E174" s="837" t="s"/>
      <c r="F174" s="839" t="s"/>
      <c r="G174" s="839" t="s"/>
      <c r="H174" s="837" t="s"/>
      <c r="I174" s="508" t="s"/>
      <c r="J174" s="508" t="s"/>
      <c r="K174" s="508" t="s"/>
      <c r="L174" s="508" t="s"/>
      <c r="M174" s="508" t="s"/>
      <c r="N174" s="508" t="s"/>
      <c r="O174" s="508" t="s"/>
      <c r="P174" s="508" t="s"/>
      <c r="Q174" s="508" t="s"/>
      <c r="R174" s="508" t="s"/>
      <c r="S174" s="508" t="s"/>
      <c r="T174" s="508" t="s"/>
      <c r="U174" s="508" t="s"/>
      <c r="V174" s="508" t="s"/>
      <c r="W174" s="508" t="s"/>
      <c r="X174" s="508" t="s"/>
      <c r="Y174" s="508" t="s"/>
    </row>
    <row r="175" spans="1:25">
      <c r="A175" s="680" t="s"/>
      <c r="B175" s="837" t="s"/>
      <c r="C175" s="837" t="s"/>
      <c r="D175" s="838" t="s"/>
      <c r="E175" s="837" t="s"/>
      <c r="F175" s="839" t="s"/>
      <c r="G175" s="839" t="s"/>
      <c r="H175" s="837" t="s"/>
      <c r="I175" s="508" t="s"/>
      <c r="J175" s="508" t="s"/>
      <c r="K175" s="508" t="s"/>
      <c r="L175" s="508" t="s"/>
      <c r="M175" s="508" t="s"/>
      <c r="N175" s="508" t="s"/>
      <c r="O175" s="508" t="s"/>
      <c r="P175" s="508" t="s"/>
      <c r="Q175" s="508" t="s"/>
      <c r="R175" s="508" t="s"/>
      <c r="S175" s="508" t="s"/>
      <c r="T175" s="508" t="s"/>
      <c r="U175" s="508" t="s"/>
      <c r="V175" s="508" t="s"/>
      <c r="W175" s="508" t="s"/>
      <c r="X175" s="508" t="s"/>
      <c r="Y175" s="508" t="s"/>
    </row>
    <row r="176" spans="1:25">
      <c r="A176" s="680" t="s"/>
      <c r="B176" s="837" t="s"/>
      <c r="C176" s="837" t="s"/>
      <c r="D176" s="838" t="s"/>
      <c r="E176" s="837" t="s"/>
      <c r="F176" s="839" t="s"/>
      <c r="G176" s="839" t="s"/>
      <c r="H176" s="837" t="s"/>
      <c r="I176" s="508" t="s"/>
      <c r="J176" s="508" t="s"/>
      <c r="K176" s="508" t="s"/>
      <c r="L176" s="508" t="s"/>
      <c r="M176" s="508" t="s"/>
      <c r="N176" s="508" t="s"/>
      <c r="O176" s="508" t="s"/>
      <c r="P176" s="508" t="s"/>
      <c r="Q176" s="508" t="s"/>
      <c r="R176" s="508" t="s"/>
      <c r="S176" s="508" t="s"/>
      <c r="T176" s="508" t="s"/>
      <c r="U176" s="508" t="s"/>
      <c r="V176" s="508" t="s"/>
      <c r="W176" s="508" t="s"/>
      <c r="X176" s="508" t="s"/>
      <c r="Y176" s="508" t="s"/>
    </row>
    <row r="177" spans="1:25">
      <c r="A177" s="680" t="s"/>
      <c r="B177" s="837" t="s"/>
      <c r="C177" s="837" t="s"/>
      <c r="D177" s="838" t="s"/>
      <c r="E177" s="837" t="s"/>
      <c r="F177" s="839" t="s"/>
      <c r="G177" s="839" t="s"/>
      <c r="H177" s="837" t="s"/>
      <c r="I177" s="508" t="s"/>
      <c r="J177" s="508" t="s"/>
      <c r="K177" s="508" t="s"/>
      <c r="L177" s="508" t="s"/>
      <c r="M177" s="508" t="s"/>
      <c r="N177" s="508" t="s"/>
      <c r="O177" s="508" t="s"/>
      <c r="P177" s="508" t="s"/>
      <c r="Q177" s="508" t="s"/>
      <c r="R177" s="508" t="s"/>
      <c r="S177" s="508" t="s"/>
      <c r="T177" s="508" t="s"/>
      <c r="U177" s="508" t="s"/>
      <c r="V177" s="508" t="s"/>
      <c r="W177" s="508" t="s"/>
      <c r="X177" s="508" t="s"/>
      <c r="Y177" s="508" t="s"/>
    </row>
    <row r="178" spans="1:25">
      <c r="A178" s="680" t="s"/>
      <c r="B178" s="837" t="s"/>
      <c r="C178" s="837" t="s"/>
      <c r="D178" s="838" t="s"/>
      <c r="E178" s="837" t="s"/>
      <c r="F178" s="839" t="s"/>
      <c r="G178" s="839" t="s"/>
      <c r="H178" s="837" t="s"/>
      <c r="I178" s="508" t="s"/>
      <c r="J178" s="508" t="s"/>
      <c r="K178" s="508" t="s"/>
      <c r="L178" s="508" t="s"/>
      <c r="M178" s="508" t="s"/>
      <c r="N178" s="508" t="s"/>
      <c r="O178" s="508" t="s"/>
      <c r="P178" s="508" t="s"/>
      <c r="Q178" s="508" t="s"/>
      <c r="R178" s="508" t="s"/>
      <c r="S178" s="508" t="s"/>
      <c r="T178" s="508" t="s"/>
      <c r="U178" s="508" t="s"/>
      <c r="V178" s="508" t="s"/>
      <c r="W178" s="508" t="s"/>
      <c r="X178" s="508" t="s"/>
      <c r="Y178" s="508" t="s"/>
    </row>
    <row r="179" spans="1:25">
      <c r="A179" s="680" t="s"/>
      <c r="B179" s="837" t="s"/>
      <c r="C179" s="837" t="s"/>
      <c r="D179" s="838" t="s"/>
      <c r="E179" s="837" t="s"/>
      <c r="F179" s="839" t="s"/>
      <c r="G179" s="839" t="s"/>
      <c r="H179" s="837" t="s"/>
      <c r="I179" s="508" t="s"/>
      <c r="J179" s="508" t="s"/>
      <c r="K179" s="508" t="s"/>
      <c r="L179" s="508" t="s"/>
      <c r="M179" s="508" t="s"/>
      <c r="N179" s="508" t="s"/>
      <c r="O179" s="508" t="s"/>
      <c r="P179" s="508" t="s"/>
      <c r="Q179" s="508" t="s"/>
      <c r="R179" s="508" t="s"/>
      <c r="S179" s="508" t="s"/>
      <c r="T179" s="508" t="s"/>
      <c r="U179" s="508" t="s"/>
      <c r="V179" s="508" t="s"/>
      <c r="W179" s="508" t="s"/>
      <c r="X179" s="508" t="s"/>
      <c r="Y179" s="508" t="s"/>
    </row>
    <row r="180" spans="1:25">
      <c r="A180" s="680" t="s"/>
      <c r="B180" s="837" t="s"/>
      <c r="C180" s="837" t="s"/>
      <c r="D180" s="838" t="s"/>
      <c r="E180" s="837" t="s"/>
      <c r="F180" s="839" t="s"/>
      <c r="G180" s="839" t="s"/>
      <c r="H180" s="837" t="s"/>
      <c r="I180" s="508" t="s"/>
      <c r="J180" s="508" t="s"/>
      <c r="K180" s="508" t="s"/>
      <c r="L180" s="508" t="s"/>
      <c r="M180" s="508" t="s"/>
      <c r="N180" s="508" t="s"/>
      <c r="O180" s="508" t="s"/>
      <c r="P180" s="508" t="s"/>
      <c r="Q180" s="508" t="s"/>
      <c r="R180" s="508" t="s"/>
      <c r="S180" s="508" t="s"/>
      <c r="T180" s="508" t="s"/>
      <c r="U180" s="508" t="s"/>
      <c r="V180" s="508" t="s"/>
      <c r="W180" s="508" t="s"/>
      <c r="X180" s="508" t="s"/>
      <c r="Y180" s="508" t="s"/>
    </row>
    <row r="181" spans="1:25">
      <c r="A181" s="680" t="s"/>
      <c r="B181" s="837" t="s"/>
      <c r="C181" s="837" t="s"/>
      <c r="D181" s="838" t="s"/>
      <c r="E181" s="837" t="s"/>
      <c r="F181" s="839" t="s"/>
      <c r="G181" s="839" t="s"/>
      <c r="H181" s="837" t="s"/>
      <c r="I181" s="508" t="s"/>
      <c r="J181" s="508" t="s"/>
      <c r="K181" s="508" t="s"/>
      <c r="L181" s="508" t="s"/>
      <c r="M181" s="508" t="s"/>
      <c r="N181" s="508" t="s"/>
      <c r="O181" s="508" t="s"/>
      <c r="P181" s="508" t="s"/>
      <c r="Q181" s="508" t="s"/>
      <c r="R181" s="508" t="s"/>
      <c r="S181" s="508" t="s"/>
      <c r="T181" s="508" t="s"/>
      <c r="U181" s="508" t="s"/>
      <c r="V181" s="508" t="s"/>
      <c r="W181" s="508" t="s"/>
      <c r="X181" s="508" t="s"/>
      <c r="Y181" s="508" t="s"/>
    </row>
    <row r="182" spans="1:25">
      <c r="A182" s="680" t="s"/>
      <c r="B182" s="837" t="s"/>
      <c r="C182" s="837" t="s"/>
      <c r="D182" s="838" t="s"/>
      <c r="E182" s="837" t="s"/>
      <c r="F182" s="839" t="s"/>
      <c r="G182" s="839" t="s"/>
      <c r="H182" s="837" t="s"/>
      <c r="I182" s="508" t="s"/>
      <c r="J182" s="508" t="s"/>
      <c r="K182" s="508" t="s"/>
      <c r="L182" s="508" t="s"/>
      <c r="M182" s="508" t="s"/>
      <c r="N182" s="508" t="s"/>
      <c r="O182" s="508" t="s"/>
      <c r="P182" s="508" t="s"/>
      <c r="Q182" s="508" t="s"/>
      <c r="R182" s="508" t="s"/>
      <c r="S182" s="508" t="s"/>
      <c r="T182" s="508" t="s"/>
      <c r="U182" s="508" t="s"/>
      <c r="V182" s="508" t="s"/>
      <c r="W182" s="508" t="s"/>
      <c r="X182" s="508" t="s"/>
      <c r="Y182" s="508" t="s"/>
    </row>
    <row r="183" spans="1:25">
      <c r="A183" s="680" t="s"/>
      <c r="B183" s="837" t="s"/>
      <c r="C183" s="837" t="s"/>
      <c r="D183" s="838" t="s"/>
      <c r="E183" s="837" t="s"/>
      <c r="F183" s="839" t="s"/>
      <c r="G183" s="839" t="s"/>
      <c r="H183" s="837" t="s"/>
      <c r="I183" s="508" t="s"/>
      <c r="J183" s="508" t="s"/>
      <c r="K183" s="508" t="s"/>
      <c r="L183" s="508" t="s"/>
      <c r="M183" s="508" t="s"/>
      <c r="N183" s="508" t="s"/>
      <c r="O183" s="508" t="s"/>
      <c r="P183" s="508" t="s"/>
      <c r="Q183" s="508" t="s"/>
      <c r="R183" s="508" t="s"/>
      <c r="S183" s="508" t="s"/>
      <c r="T183" s="508" t="s"/>
      <c r="U183" s="508" t="s"/>
      <c r="V183" s="508" t="s"/>
      <c r="W183" s="508" t="s"/>
      <c r="X183" s="508" t="s"/>
      <c r="Y183" s="508" t="s"/>
    </row>
    <row r="184" spans="1:25">
      <c r="A184" s="680" t="s"/>
      <c r="B184" s="837" t="s"/>
      <c r="C184" s="837" t="s"/>
      <c r="D184" s="838" t="s"/>
      <c r="E184" s="837" t="s"/>
      <c r="F184" s="839" t="s"/>
      <c r="G184" s="839" t="s"/>
      <c r="H184" s="837" t="s"/>
      <c r="I184" s="508" t="s"/>
      <c r="J184" s="508" t="s"/>
      <c r="K184" s="508" t="s"/>
      <c r="L184" s="508" t="s"/>
      <c r="M184" s="508" t="s"/>
      <c r="N184" s="508" t="s"/>
      <c r="O184" s="508" t="s"/>
      <c r="P184" s="508" t="s"/>
      <c r="Q184" s="508" t="s"/>
      <c r="R184" s="508" t="s"/>
      <c r="S184" s="508" t="s"/>
      <c r="T184" s="508" t="s"/>
      <c r="U184" s="508" t="s"/>
      <c r="V184" s="508" t="s"/>
      <c r="W184" s="508" t="s"/>
      <c r="X184" s="508" t="s"/>
      <c r="Y184" s="508" t="s"/>
    </row>
    <row r="185" spans="1:25">
      <c r="A185" s="680" t="s"/>
      <c r="B185" s="837" t="s"/>
      <c r="C185" s="837" t="s"/>
      <c r="D185" s="838" t="s"/>
      <c r="E185" s="837" t="s"/>
      <c r="F185" s="839" t="s"/>
      <c r="G185" s="839" t="s"/>
      <c r="H185" s="837" t="s"/>
      <c r="I185" s="508" t="s"/>
      <c r="J185" s="508" t="s"/>
      <c r="K185" s="508" t="s"/>
      <c r="L185" s="508" t="s"/>
      <c r="M185" s="508" t="s"/>
      <c r="N185" s="508" t="s"/>
      <c r="O185" s="508" t="s"/>
      <c r="P185" s="508" t="s"/>
      <c r="Q185" s="508" t="s"/>
      <c r="R185" s="508" t="s"/>
      <c r="S185" s="508" t="s"/>
      <c r="T185" s="508" t="s"/>
      <c r="U185" s="508" t="s"/>
      <c r="V185" s="508" t="s"/>
      <c r="W185" s="508" t="s"/>
      <c r="X185" s="508" t="s"/>
      <c r="Y185" s="508" t="s"/>
    </row>
    <row r="186" spans="1:25">
      <c r="A186" s="680" t="s"/>
      <c r="B186" s="837" t="s"/>
      <c r="C186" s="837" t="s"/>
      <c r="D186" s="838" t="s"/>
      <c r="E186" s="837" t="s"/>
      <c r="F186" s="839" t="s"/>
      <c r="G186" s="839" t="s"/>
      <c r="H186" s="837" t="s"/>
      <c r="I186" s="508" t="s"/>
      <c r="J186" s="508" t="s"/>
      <c r="K186" s="508" t="s"/>
      <c r="L186" s="508" t="s"/>
      <c r="M186" s="508" t="s"/>
      <c r="N186" s="508" t="s"/>
      <c r="O186" s="508" t="s"/>
      <c r="P186" s="508" t="s"/>
      <c r="Q186" s="508" t="s"/>
      <c r="R186" s="508" t="s"/>
      <c r="S186" s="508" t="s"/>
      <c r="T186" s="508" t="s"/>
      <c r="U186" s="508" t="s"/>
      <c r="V186" s="508" t="s"/>
      <c r="W186" s="508" t="s"/>
      <c r="X186" s="508" t="s"/>
      <c r="Y186" s="508" t="s"/>
    </row>
    <row r="187" spans="1:25">
      <c r="A187" s="680" t="s"/>
      <c r="B187" s="837" t="s"/>
      <c r="C187" s="837" t="s"/>
      <c r="D187" s="838" t="s"/>
      <c r="E187" s="837" t="s"/>
      <c r="F187" s="839" t="s"/>
      <c r="G187" s="839" t="s"/>
      <c r="H187" s="837" t="s"/>
      <c r="I187" s="508" t="s"/>
      <c r="J187" s="508" t="s"/>
      <c r="K187" s="508" t="s"/>
      <c r="L187" s="508" t="s"/>
      <c r="M187" s="508" t="s"/>
      <c r="N187" s="508" t="s"/>
      <c r="O187" s="508" t="s"/>
      <c r="P187" s="508" t="s"/>
      <c r="Q187" s="508" t="s"/>
      <c r="R187" s="508" t="s"/>
      <c r="S187" s="508" t="s"/>
      <c r="T187" s="508" t="s"/>
      <c r="U187" s="508" t="s"/>
      <c r="V187" s="508" t="s"/>
      <c r="W187" s="508" t="s"/>
      <c r="X187" s="508" t="s"/>
      <c r="Y187" s="508" t="s"/>
    </row>
    <row r="188" spans="1:25">
      <c r="A188" s="680" t="s"/>
      <c r="B188" s="837" t="s"/>
      <c r="C188" s="837" t="s"/>
      <c r="D188" s="838" t="s"/>
      <c r="E188" s="837" t="s"/>
      <c r="F188" s="839" t="s"/>
      <c r="G188" s="839" t="s"/>
      <c r="H188" s="837" t="s"/>
      <c r="I188" s="508" t="s"/>
      <c r="J188" s="508" t="s"/>
      <c r="K188" s="508" t="s"/>
      <c r="L188" s="508" t="s"/>
      <c r="M188" s="508" t="s"/>
      <c r="N188" s="508" t="s"/>
      <c r="O188" s="508" t="s"/>
      <c r="P188" s="508" t="s"/>
      <c r="Q188" s="508" t="s"/>
      <c r="R188" s="508" t="s"/>
      <c r="S188" s="508" t="s"/>
      <c r="T188" s="508" t="s"/>
      <c r="U188" s="508" t="s"/>
      <c r="V188" s="508" t="s"/>
      <c r="W188" s="508" t="s"/>
      <c r="X188" s="508" t="s"/>
      <c r="Y188" s="508" t="s"/>
    </row>
    <row r="189" spans="1:25">
      <c r="A189" s="680" t="s"/>
      <c r="B189" s="837" t="s"/>
      <c r="C189" s="837" t="s"/>
      <c r="D189" s="838" t="s"/>
      <c r="E189" s="837" t="s"/>
      <c r="F189" s="839" t="s"/>
      <c r="G189" s="839" t="s"/>
      <c r="H189" s="837" t="s"/>
      <c r="I189" s="508" t="s"/>
      <c r="J189" s="508" t="s"/>
      <c r="K189" s="508" t="s"/>
      <c r="L189" s="508" t="s"/>
      <c r="M189" s="508" t="s"/>
      <c r="N189" s="508" t="s"/>
      <c r="O189" s="508" t="s"/>
      <c r="P189" s="508" t="s"/>
      <c r="Q189" s="508" t="s"/>
      <c r="R189" s="508" t="s"/>
      <c r="S189" s="508" t="s"/>
      <c r="T189" s="508" t="s"/>
      <c r="U189" s="508" t="s"/>
      <c r="V189" s="508" t="s"/>
      <c r="W189" s="508" t="s"/>
      <c r="X189" s="508" t="s"/>
      <c r="Y189" s="508" t="s"/>
    </row>
    <row r="190" spans="1:25">
      <c r="A190" s="680" t="s"/>
      <c r="B190" s="837" t="s"/>
      <c r="C190" s="837" t="s"/>
      <c r="D190" s="838" t="s"/>
      <c r="E190" s="837" t="s"/>
      <c r="F190" s="839" t="s"/>
      <c r="G190" s="839" t="s"/>
      <c r="H190" s="837" t="s"/>
      <c r="I190" s="508" t="s"/>
      <c r="J190" s="508" t="s"/>
      <c r="K190" s="508" t="s"/>
      <c r="L190" s="508" t="s"/>
      <c r="M190" s="508" t="s"/>
      <c r="N190" s="508" t="s"/>
      <c r="O190" s="508" t="s"/>
      <c r="P190" s="508" t="s"/>
      <c r="Q190" s="508" t="s"/>
      <c r="R190" s="508" t="s"/>
      <c r="S190" s="508" t="s"/>
      <c r="T190" s="508" t="s"/>
      <c r="U190" s="508" t="s"/>
      <c r="V190" s="508" t="s"/>
      <c r="W190" s="508" t="s"/>
      <c r="X190" s="508" t="s"/>
      <c r="Y190" s="508" t="s"/>
    </row>
    <row r="191" spans="1:25">
      <c r="A191" s="680" t="s"/>
      <c r="B191" s="837" t="s"/>
      <c r="C191" s="837" t="s"/>
      <c r="D191" s="838" t="s"/>
      <c r="E191" s="837" t="s"/>
      <c r="F191" s="839" t="s"/>
      <c r="G191" s="839" t="s"/>
      <c r="H191" s="837" t="s"/>
      <c r="I191" s="508" t="s"/>
      <c r="J191" s="508" t="s"/>
      <c r="K191" s="508" t="s"/>
      <c r="L191" s="508" t="s"/>
      <c r="M191" s="508" t="s"/>
      <c r="N191" s="508" t="s"/>
      <c r="O191" s="508" t="s"/>
      <c r="P191" s="508" t="s"/>
      <c r="Q191" s="508" t="s"/>
      <c r="R191" s="508" t="s"/>
      <c r="S191" s="508" t="s"/>
      <c r="T191" s="508" t="s"/>
      <c r="U191" s="508" t="s"/>
      <c r="V191" s="508" t="s"/>
      <c r="W191" s="508" t="s"/>
      <c r="X191" s="508" t="s"/>
      <c r="Y191" s="508" t="s"/>
    </row>
    <row r="192" spans="1:25">
      <c r="A192" s="680" t="s"/>
      <c r="B192" s="837" t="s"/>
      <c r="C192" s="837" t="s"/>
      <c r="D192" s="838" t="s"/>
      <c r="E192" s="837" t="s"/>
      <c r="F192" s="839" t="s"/>
      <c r="G192" s="839" t="s"/>
      <c r="H192" s="837" t="s"/>
      <c r="I192" s="508" t="s"/>
      <c r="J192" s="508" t="s"/>
      <c r="K192" s="508" t="s"/>
      <c r="L192" s="508" t="s"/>
      <c r="M192" s="508" t="s"/>
      <c r="N192" s="508" t="s"/>
      <c r="O192" s="508" t="s"/>
      <c r="P192" s="508" t="s"/>
      <c r="Q192" s="508" t="s"/>
      <c r="R192" s="508" t="s"/>
      <c r="S192" s="508" t="s"/>
      <c r="T192" s="508" t="s"/>
      <c r="U192" s="508" t="s"/>
      <c r="V192" s="508" t="s"/>
      <c r="W192" s="508" t="s"/>
      <c r="X192" s="508" t="s"/>
      <c r="Y192" s="508" t="s"/>
    </row>
    <row r="193" spans="1:25">
      <c r="A193" s="680" t="s"/>
      <c r="B193" s="837" t="s"/>
      <c r="C193" s="837" t="s"/>
      <c r="D193" s="838" t="s"/>
      <c r="E193" s="837" t="s"/>
      <c r="F193" s="839" t="s"/>
      <c r="G193" s="839" t="s"/>
      <c r="H193" s="837" t="s"/>
      <c r="I193" s="508" t="s"/>
      <c r="J193" s="508" t="s"/>
      <c r="K193" s="508" t="s"/>
      <c r="L193" s="508" t="s"/>
      <c r="M193" s="508" t="s"/>
      <c r="N193" s="508" t="s"/>
      <c r="O193" s="508" t="s"/>
      <c r="P193" s="508" t="s"/>
      <c r="Q193" s="508" t="s"/>
      <c r="R193" s="508" t="s"/>
      <c r="S193" s="508" t="s"/>
      <c r="T193" s="508" t="s"/>
      <c r="U193" s="508" t="s"/>
      <c r="V193" s="508" t="s"/>
      <c r="W193" s="508" t="s"/>
      <c r="X193" s="508" t="s"/>
      <c r="Y193" s="508" t="s"/>
    </row>
    <row r="194" spans="1:25">
      <c r="A194" s="680" t="s"/>
      <c r="B194" s="837" t="s"/>
      <c r="C194" s="837" t="s"/>
      <c r="D194" s="838" t="s"/>
      <c r="E194" s="837" t="s"/>
      <c r="F194" s="839" t="s"/>
      <c r="G194" s="839" t="s"/>
      <c r="H194" s="837" t="s"/>
      <c r="I194" s="508" t="s"/>
      <c r="J194" s="508" t="s"/>
      <c r="K194" s="508" t="s"/>
      <c r="L194" s="508" t="s"/>
      <c r="M194" s="508" t="s"/>
      <c r="N194" s="508" t="s"/>
      <c r="O194" s="508" t="s"/>
      <c r="P194" s="508" t="s"/>
      <c r="Q194" s="508" t="s"/>
      <c r="R194" s="508" t="s"/>
      <c r="S194" s="508" t="s"/>
      <c r="T194" s="508" t="s"/>
      <c r="U194" s="508" t="s"/>
      <c r="V194" s="508" t="s"/>
      <c r="W194" s="508" t="s"/>
      <c r="X194" s="508" t="s"/>
      <c r="Y194" s="508" t="s"/>
    </row>
    <row r="195" spans="1:25">
      <c r="A195" s="680" t="s"/>
      <c r="B195" s="837" t="s"/>
      <c r="C195" s="837" t="s"/>
      <c r="D195" s="838" t="s"/>
      <c r="E195" s="837" t="s"/>
      <c r="F195" s="839" t="s"/>
      <c r="G195" s="839" t="s"/>
      <c r="H195" s="837" t="s"/>
      <c r="I195" s="508" t="s"/>
      <c r="J195" s="508" t="s"/>
      <c r="K195" s="508" t="s"/>
      <c r="L195" s="508" t="s"/>
      <c r="M195" s="508" t="s"/>
      <c r="N195" s="508" t="s"/>
      <c r="O195" s="508" t="s"/>
      <c r="P195" s="508" t="s"/>
      <c r="Q195" s="508" t="s"/>
      <c r="R195" s="508" t="s"/>
      <c r="S195" s="508" t="s"/>
      <c r="T195" s="508" t="s"/>
      <c r="U195" s="508" t="s"/>
      <c r="V195" s="508" t="s"/>
      <c r="W195" s="508" t="s"/>
      <c r="X195" s="508" t="s"/>
      <c r="Y195" s="508" t="s"/>
    </row>
    <row r="196" spans="1:25">
      <c r="A196" s="680" t="s"/>
      <c r="B196" s="837" t="s"/>
      <c r="C196" s="837" t="s"/>
      <c r="D196" s="838" t="s"/>
      <c r="E196" s="837" t="s"/>
      <c r="F196" s="839" t="s"/>
      <c r="G196" s="839" t="s"/>
      <c r="H196" s="837" t="s"/>
      <c r="I196" s="508" t="s"/>
      <c r="J196" s="508" t="s"/>
      <c r="K196" s="508" t="s"/>
      <c r="L196" s="508" t="s"/>
      <c r="M196" s="508" t="s"/>
      <c r="N196" s="508" t="s"/>
      <c r="O196" s="508" t="s"/>
      <c r="P196" s="508" t="s"/>
      <c r="Q196" s="508" t="s"/>
      <c r="R196" s="508" t="s"/>
      <c r="S196" s="508" t="s"/>
      <c r="T196" s="508" t="s"/>
      <c r="U196" s="508" t="s"/>
      <c r="V196" s="508" t="s"/>
      <c r="W196" s="508" t="s"/>
      <c r="X196" s="508" t="s"/>
      <c r="Y196" s="508" t="s"/>
    </row>
    <row r="197" spans="1:25">
      <c r="A197" s="680" t="s"/>
      <c r="B197" s="837" t="s"/>
      <c r="C197" s="837" t="s"/>
      <c r="D197" s="838" t="s"/>
      <c r="E197" s="837" t="s"/>
      <c r="F197" s="839" t="s"/>
      <c r="G197" s="839" t="s"/>
      <c r="H197" s="837" t="s"/>
      <c r="I197" s="508" t="s"/>
      <c r="J197" s="508" t="s"/>
      <c r="K197" s="508" t="s"/>
      <c r="L197" s="508" t="s"/>
      <c r="M197" s="508" t="s"/>
      <c r="N197" s="508" t="s"/>
      <c r="O197" s="508" t="s"/>
      <c r="P197" s="508" t="s"/>
      <c r="Q197" s="508" t="s"/>
      <c r="R197" s="508" t="s"/>
      <c r="S197" s="508" t="s"/>
      <c r="T197" s="508" t="s"/>
      <c r="U197" s="508" t="s"/>
      <c r="V197" s="508" t="s"/>
      <c r="W197" s="508" t="s"/>
      <c r="X197" s="508" t="s"/>
      <c r="Y197" s="508" t="s"/>
    </row>
    <row r="198" spans="1:25">
      <c r="A198" s="680" t="s"/>
      <c r="B198" s="837" t="s"/>
      <c r="C198" s="837" t="s"/>
      <c r="D198" s="838" t="s"/>
      <c r="E198" s="837" t="s"/>
      <c r="F198" s="839" t="s"/>
      <c r="G198" s="839" t="s"/>
      <c r="H198" s="837" t="s"/>
      <c r="I198" s="508" t="s"/>
      <c r="J198" s="508" t="s"/>
      <c r="K198" s="508" t="s"/>
      <c r="L198" s="508" t="s"/>
      <c r="M198" s="508" t="s"/>
      <c r="N198" s="508" t="s"/>
      <c r="O198" s="508" t="s"/>
      <c r="P198" s="508" t="s"/>
      <c r="Q198" s="508" t="s"/>
      <c r="R198" s="508" t="s"/>
      <c r="S198" s="508" t="s"/>
      <c r="T198" s="508" t="s"/>
      <c r="U198" s="508" t="s"/>
      <c r="V198" s="508" t="s"/>
      <c r="W198" s="508" t="s"/>
      <c r="X198" s="508" t="s"/>
      <c r="Y198" s="508" t="s"/>
    </row>
    <row r="199" spans="1:25">
      <c r="A199" s="680" t="s"/>
      <c r="B199" s="837" t="s"/>
      <c r="C199" s="837" t="s"/>
      <c r="D199" s="838" t="s"/>
      <c r="E199" s="837" t="s"/>
      <c r="F199" s="839" t="s"/>
      <c r="G199" s="839" t="s"/>
      <c r="H199" s="837" t="s"/>
      <c r="I199" s="508" t="s"/>
      <c r="J199" s="508" t="s"/>
      <c r="K199" s="508" t="s"/>
      <c r="L199" s="508" t="s"/>
      <c r="M199" s="508" t="s"/>
      <c r="N199" s="508" t="s"/>
      <c r="O199" s="508" t="s"/>
      <c r="P199" s="508" t="s"/>
      <c r="Q199" s="508" t="s"/>
      <c r="R199" s="508" t="s"/>
      <c r="S199" s="508" t="s"/>
      <c r="T199" s="508" t="s"/>
      <c r="U199" s="508" t="s"/>
      <c r="V199" s="508" t="s"/>
      <c r="W199" s="508" t="s"/>
      <c r="X199" s="508" t="s"/>
      <c r="Y199" s="508" t="s"/>
    </row>
    <row r="200" spans="1:25">
      <c r="A200" s="680" t="s"/>
      <c r="B200" s="837" t="s"/>
      <c r="C200" s="837" t="s"/>
      <c r="D200" s="838" t="s"/>
      <c r="E200" s="837" t="s"/>
      <c r="F200" s="839" t="s"/>
      <c r="G200" s="839" t="s"/>
      <c r="H200" s="837" t="s"/>
      <c r="I200" s="508" t="s"/>
      <c r="J200" s="508" t="s"/>
      <c r="K200" s="508" t="s"/>
      <c r="L200" s="508" t="s"/>
      <c r="M200" s="508" t="s"/>
      <c r="N200" s="508" t="s"/>
      <c r="O200" s="508" t="s"/>
      <c r="P200" s="508" t="s"/>
      <c r="Q200" s="508" t="s"/>
      <c r="R200" s="508" t="s"/>
      <c r="S200" s="508" t="s"/>
      <c r="T200" s="508" t="s"/>
      <c r="U200" s="508" t="s"/>
      <c r="V200" s="508" t="s"/>
      <c r="W200" s="508" t="s"/>
      <c r="X200" s="508" t="s"/>
      <c r="Y200" s="508" t="s"/>
    </row>
    <row r="201" spans="1:25">
      <c r="A201" s="680" t="s"/>
      <c r="B201" s="837" t="s"/>
      <c r="C201" s="837" t="s"/>
      <c r="D201" s="838" t="s"/>
      <c r="E201" s="837" t="s"/>
      <c r="F201" s="839" t="s"/>
      <c r="G201" s="839" t="s"/>
      <c r="H201" s="837" t="s"/>
      <c r="I201" s="508" t="s"/>
      <c r="J201" s="508" t="s"/>
      <c r="K201" s="508" t="s"/>
      <c r="L201" s="508" t="s"/>
      <c r="M201" s="508" t="s"/>
      <c r="N201" s="508" t="s"/>
      <c r="O201" s="508" t="s"/>
      <c r="P201" s="508" t="s"/>
      <c r="Q201" s="508" t="s"/>
      <c r="R201" s="508" t="s"/>
      <c r="S201" s="508" t="s"/>
      <c r="T201" s="508" t="s"/>
      <c r="U201" s="508" t="s"/>
      <c r="V201" s="508" t="s"/>
      <c r="W201" s="508" t="s"/>
      <c r="X201" s="508" t="s"/>
      <c r="Y201" s="508" t="s"/>
    </row>
    <row r="202" spans="1:25">
      <c r="A202" s="680" t="s"/>
      <c r="B202" s="837" t="s"/>
      <c r="C202" s="837" t="s"/>
      <c r="D202" s="838" t="s"/>
      <c r="E202" s="837" t="s"/>
      <c r="F202" s="839" t="s"/>
      <c r="G202" s="839" t="s"/>
      <c r="H202" s="837" t="s"/>
      <c r="I202" s="508" t="s"/>
      <c r="J202" s="508" t="s"/>
      <c r="K202" s="508" t="s"/>
      <c r="L202" s="508" t="s"/>
      <c r="M202" s="508" t="s"/>
      <c r="N202" s="508" t="s"/>
      <c r="O202" s="508" t="s"/>
      <c r="P202" s="508" t="s"/>
      <c r="Q202" s="508" t="s"/>
      <c r="R202" s="508" t="s"/>
      <c r="S202" s="508" t="s"/>
      <c r="T202" s="508" t="s"/>
      <c r="U202" s="508" t="s"/>
      <c r="V202" s="508" t="s"/>
      <c r="W202" s="508" t="s"/>
      <c r="X202" s="508" t="s"/>
      <c r="Y202" s="508" t="s"/>
    </row>
    <row r="203" spans="1:25">
      <c r="A203" s="680" t="s"/>
      <c r="B203" s="837" t="s"/>
      <c r="C203" s="837" t="s"/>
      <c r="D203" s="838" t="s"/>
      <c r="E203" s="837" t="s"/>
      <c r="F203" s="839" t="s"/>
      <c r="G203" s="839" t="s"/>
      <c r="H203" s="837" t="s"/>
      <c r="I203" s="508" t="s"/>
      <c r="J203" s="508" t="s"/>
      <c r="K203" s="508" t="s"/>
      <c r="L203" s="508" t="s"/>
      <c r="M203" s="508" t="s"/>
      <c r="N203" s="508" t="s"/>
      <c r="O203" s="508" t="s"/>
      <c r="P203" s="508" t="s"/>
      <c r="Q203" s="508" t="s"/>
      <c r="R203" s="508" t="s"/>
      <c r="S203" s="508" t="s"/>
      <c r="T203" s="508" t="s"/>
      <c r="U203" s="508" t="s"/>
      <c r="V203" s="508" t="s"/>
      <c r="W203" s="508" t="s"/>
      <c r="X203" s="508" t="s"/>
      <c r="Y203" s="508" t="s"/>
    </row>
    <row r="204" spans="1:25">
      <c r="A204" s="680" t="s"/>
      <c r="B204" s="837" t="s"/>
      <c r="C204" s="837" t="s"/>
      <c r="D204" s="838" t="s"/>
      <c r="E204" s="837" t="s"/>
      <c r="F204" s="839" t="s"/>
      <c r="G204" s="839" t="s"/>
      <c r="H204" s="837" t="s"/>
      <c r="I204" s="508" t="s"/>
      <c r="J204" s="508" t="s"/>
      <c r="K204" s="508" t="s"/>
      <c r="L204" s="508" t="s"/>
      <c r="M204" s="508" t="s"/>
      <c r="N204" s="508" t="s"/>
      <c r="O204" s="508" t="s"/>
      <c r="P204" s="508" t="s"/>
      <c r="Q204" s="508" t="s"/>
      <c r="R204" s="508" t="s"/>
      <c r="S204" s="508" t="s"/>
      <c r="T204" s="508" t="s"/>
      <c r="U204" s="508" t="s"/>
      <c r="V204" s="508" t="s"/>
      <c r="W204" s="508" t="s"/>
      <c r="X204" s="508" t="s"/>
      <c r="Y204" s="508" t="s"/>
    </row>
    <row r="205" spans="1:25">
      <c r="A205" s="680" t="s"/>
      <c r="B205" s="837" t="s"/>
      <c r="C205" s="837" t="s"/>
      <c r="D205" s="838" t="s"/>
      <c r="E205" s="837" t="s"/>
      <c r="F205" s="839" t="s"/>
      <c r="G205" s="839" t="s"/>
      <c r="H205" s="837" t="s"/>
      <c r="I205" s="508" t="s"/>
      <c r="J205" s="508" t="s"/>
      <c r="K205" s="508" t="s"/>
      <c r="L205" s="508" t="s"/>
      <c r="M205" s="508" t="s"/>
      <c r="N205" s="508" t="s"/>
      <c r="O205" s="508" t="s"/>
      <c r="P205" s="508" t="s"/>
      <c r="Q205" s="508" t="s"/>
      <c r="R205" s="508" t="s"/>
      <c r="S205" s="508" t="s"/>
      <c r="T205" s="508" t="s"/>
      <c r="U205" s="508" t="s"/>
      <c r="V205" s="508" t="s"/>
      <c r="W205" s="508" t="s"/>
      <c r="X205" s="508" t="s"/>
      <c r="Y205" s="508" t="s"/>
    </row>
    <row r="206" spans="1:25">
      <c r="A206" s="680" t="s"/>
      <c r="B206" s="837" t="s"/>
      <c r="C206" s="837" t="s"/>
      <c r="D206" s="838" t="s"/>
      <c r="E206" s="837" t="s"/>
      <c r="F206" s="839" t="s"/>
      <c r="G206" s="839" t="s"/>
      <c r="H206" s="837" t="s"/>
      <c r="I206" s="508" t="s"/>
      <c r="J206" s="508" t="s"/>
      <c r="K206" s="508" t="s"/>
      <c r="L206" s="508" t="s"/>
      <c r="M206" s="508" t="s"/>
      <c r="N206" s="508" t="s"/>
      <c r="O206" s="508" t="s"/>
      <c r="P206" s="508" t="s"/>
      <c r="Q206" s="508" t="s"/>
      <c r="R206" s="508" t="s"/>
      <c r="S206" s="508" t="s"/>
      <c r="T206" s="508" t="s"/>
      <c r="U206" s="508" t="s"/>
      <c r="V206" s="508" t="s"/>
      <c r="W206" s="508" t="s"/>
      <c r="X206" s="508" t="s"/>
      <c r="Y206" s="508" t="s"/>
    </row>
    <row r="207" spans="1:25">
      <c r="A207" s="680" t="s"/>
      <c r="B207" s="837" t="s"/>
      <c r="C207" s="837" t="s"/>
      <c r="D207" s="838" t="s"/>
      <c r="E207" s="837" t="s"/>
      <c r="F207" s="839" t="s"/>
      <c r="G207" s="839" t="s"/>
      <c r="H207" s="837" t="s"/>
      <c r="I207" s="508" t="s"/>
      <c r="J207" s="508" t="s"/>
      <c r="K207" s="508" t="s"/>
      <c r="L207" s="508" t="s"/>
      <c r="M207" s="508" t="s"/>
      <c r="N207" s="508" t="s"/>
      <c r="O207" s="508" t="s"/>
      <c r="P207" s="508" t="s"/>
      <c r="Q207" s="508" t="s"/>
      <c r="R207" s="508" t="s"/>
      <c r="S207" s="508" t="s"/>
      <c r="T207" s="508" t="s"/>
      <c r="U207" s="508" t="s"/>
      <c r="V207" s="508" t="s"/>
      <c r="W207" s="508" t="s"/>
      <c r="X207" s="508" t="s"/>
      <c r="Y207" s="508" t="s"/>
    </row>
    <row r="208" spans="1:25">
      <c r="A208" s="680" t="s"/>
      <c r="B208" s="837" t="s"/>
      <c r="C208" s="837" t="s"/>
      <c r="D208" s="838" t="s"/>
      <c r="E208" s="837" t="s"/>
      <c r="F208" s="839" t="s"/>
      <c r="G208" s="839" t="s"/>
      <c r="H208" s="837" t="s"/>
      <c r="I208" s="508" t="s"/>
      <c r="J208" s="508" t="s"/>
      <c r="K208" s="508" t="s"/>
      <c r="L208" s="508" t="s"/>
      <c r="M208" s="508" t="s"/>
      <c r="N208" s="508" t="s"/>
      <c r="O208" s="508" t="s"/>
      <c r="P208" s="508" t="s"/>
      <c r="Q208" s="508" t="s"/>
      <c r="R208" s="508" t="s"/>
      <c r="S208" s="508" t="s"/>
      <c r="T208" s="508" t="s"/>
      <c r="U208" s="508" t="s"/>
      <c r="V208" s="508" t="s"/>
      <c r="W208" s="508" t="s"/>
      <c r="X208" s="508" t="s"/>
      <c r="Y208" s="508" t="s"/>
    </row>
    <row r="209" spans="1:25">
      <c r="A209" s="680" t="s"/>
      <c r="B209" s="837" t="s"/>
      <c r="C209" s="837" t="s"/>
      <c r="D209" s="838" t="s"/>
      <c r="E209" s="837" t="s"/>
      <c r="F209" s="839" t="s"/>
      <c r="G209" s="839" t="s"/>
      <c r="H209" s="837" t="s"/>
      <c r="I209" s="508" t="s"/>
      <c r="J209" s="508" t="s"/>
      <c r="K209" s="508" t="s"/>
      <c r="L209" s="508" t="s"/>
      <c r="M209" s="508" t="s"/>
      <c r="N209" s="508" t="s"/>
      <c r="O209" s="508" t="s"/>
      <c r="P209" s="508" t="s"/>
      <c r="Q209" s="508" t="s"/>
      <c r="R209" s="508" t="s"/>
      <c r="S209" s="508" t="s"/>
      <c r="T209" s="508" t="s"/>
      <c r="U209" s="508" t="s"/>
      <c r="V209" s="508" t="s"/>
      <c r="W209" s="508" t="s"/>
      <c r="X209" s="508" t="s"/>
      <c r="Y209" s="508" t="s"/>
    </row>
    <row r="210" spans="1:7">
      <c r="A210" s="410" t="s"/>
      <c r="D210" s="410" t="s"/>
      <c r="G210" s="410" t="s"/>
    </row>
    <row r="211" spans="1:7">
      <c r="A211" s="410" t="s"/>
      <c r="D211" s="410" t="s"/>
      <c r="G211" s="410" t="s"/>
    </row>
  </sheetData>
  <mergeCells count="24">
    <mergeCell ref="J2:L2"/>
    <mergeCell ref="J1:L1"/>
    <mergeCell ref="A2:H2"/>
    <mergeCell ref="A1:H1"/>
    <mergeCell ref="A4:A7"/>
    <mergeCell ref="C4:C7"/>
    <mergeCell ref="B4:B7"/>
    <mergeCell ref="L4:L7"/>
    <mergeCell ref="A15:A18"/>
    <mergeCell ref="C15:C18"/>
    <mergeCell ref="B15:B18"/>
    <mergeCell ref="L15:L18"/>
    <mergeCell ref="A11:A14"/>
    <mergeCell ref="C11:C14"/>
    <mergeCell ref="B11:B14"/>
    <mergeCell ref="L11:L14"/>
    <mergeCell ref="A20:A21"/>
    <mergeCell ref="C20:C21"/>
    <mergeCell ref="B20:B21"/>
    <mergeCell ref="L20:L21"/>
    <mergeCell ref="A8:A10"/>
    <mergeCell ref="C8:C10"/>
    <mergeCell ref="B8:B10"/>
    <mergeCell ref="L8:L10"/>
  </mergeCells>
  <dataValidations>
    <dataValidation type="list" errorStyle="stop" allowBlank="true" showDropDown="false" showInputMessage="true" showErrorMessage="true" prompt="" sqref="G3:G1048576">
      <formula1>"社招,校招,社招&amp;校招,"</formula1>
    </dataValidation>
    <dataValidation type="list" errorStyle="stop" allowBlank="true" showDropDown="false" showInputMessage="true" showErrorMessage="true" prompt="" sqref="A3:A1048576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D3:D1048576">
      <formula1>"新增需求,替补需求,储备需求,"</formula1>
    </dataValidation>
  </dataValidations>
</worksheet>
</file>

<file path=xl/worksheets/sheet2.xml><?xml version="1.0" encoding="utf-8"?>
<worksheet xmlns="http://schemas.openxmlformats.org/spreadsheetml/2006/main">
  <sheetPr codeName="December">
    <tabColor/>
  </sheetPr>
  <dimension ref="Y218"/>
  <sheetViews>
    <sheetView showGridLines="true" workbookViewId="0">
      <pane ySplit="3" topLeftCell="A4" state="frozen"/>
    </sheetView>
  </sheetViews>
  <sheetFormatPr baseColWidth="13" defaultRowHeight="18" customHeight="true"/>
  <cols>
    <col min="1" max="1" width="16.7227" style="837" customWidth="true"/>
    <col min="2" max="3" width="24.0117" style="837" customWidth="true"/>
    <col min="4" max="4" width="13.8906" style="837" customWidth="true"/>
    <col min="5" max="5" width="13.8906" style="837" customWidth="true"/>
    <col min="6" max="6" width="10.9219" style="837" customWidth="true"/>
    <col min="7" max="7" width="10.9219" style="837" customWidth="true"/>
    <col min="8" max="8" width="31.293" style="837" customWidth="true"/>
    <col min="9" max="11" width="13.6719" style="508"/>
    <col min="12" max="12" width="15.3711" style="508" customWidth="true"/>
    <col min="13" max="25" width="13.6719" style="508"/>
  </cols>
  <sheetData>
    <row r="1" spans="1:25" ht="61.5" customHeight="true">
      <c r="A1" s="705" t="s">
        <v>379</v>
      </c>
      <c r="B1" s="705" t="s"/>
      <c r="I1" s="706" t="s"/>
      <c r="J1" s="706" t="s">
        <v>380</v>
      </c>
      <c r="M1" s="508" t="s"/>
      <c r="N1" s="508" t="s"/>
      <c r="O1" s="508" t="s"/>
      <c r="P1" s="508" t="s"/>
      <c r="Q1" s="508" t="s"/>
      <c r="R1" s="508" t="s"/>
      <c r="S1" s="508" t="s"/>
      <c r="T1" s="508" t="s"/>
      <c r="U1" s="508" t="s"/>
      <c r="V1" s="508" t="s"/>
      <c r="W1" s="508" t="s"/>
      <c r="X1" s="508" t="s"/>
      <c r="Y1" s="508" t="s"/>
    </row>
    <row r="2" spans="1:25" ht="25.5" customHeight="true">
      <c r="A2" s="707" t="s">
        <v>346</v>
      </c>
      <c r="B2" s="708" t="s"/>
      <c r="C2" s="708" t="s"/>
      <c r="D2" s="708" t="s"/>
      <c r="E2" s="709" t="s"/>
      <c r="F2" s="709" t="s"/>
      <c r="G2" s="709" t="s"/>
      <c r="H2" s="710" t="s"/>
      <c r="I2" s="711" t="s"/>
      <c r="J2" s="711" t="s">
        <v>347</v>
      </c>
      <c r="K2" s="958" t="s"/>
      <c r="L2" s="1156" t="s"/>
      <c r="M2" s="508" t="s"/>
      <c r="N2" s="508" t="s"/>
      <c r="O2" s="508" t="s"/>
      <c r="P2" s="508" t="s"/>
      <c r="Q2" s="508" t="s"/>
      <c r="R2" s="508" t="s"/>
      <c r="S2" s="508" t="s"/>
      <c r="T2" s="508" t="s"/>
      <c r="U2" s="508" t="s"/>
      <c r="V2" s="508" t="s"/>
      <c r="W2" s="508" t="s"/>
      <c r="X2" s="508" t="s"/>
      <c r="Y2" s="508" t="s"/>
    </row>
    <row r="3" spans="1:25" ht="19.5" customHeight="true">
      <c r="A3" s="714" t="s">
        <v>6</v>
      </c>
      <c r="B3" s="714" t="s">
        <v>348</v>
      </c>
      <c r="C3" s="714" t="s">
        <v>349</v>
      </c>
      <c r="D3" s="1038" t="s"/>
      <c r="E3" s="714" t="s">
        <v>9</v>
      </c>
      <c r="F3" s="714" t="s">
        <v>10</v>
      </c>
      <c r="G3" s="714" t="s">
        <v>11</v>
      </c>
      <c r="H3" s="1158" t="s">
        <v>125</v>
      </c>
      <c r="I3" s="717" t="s">
        <v>16</v>
      </c>
      <c r="J3" s="717" t="s">
        <v>17</v>
      </c>
      <c r="K3" s="717" t="s">
        <v>126</v>
      </c>
      <c r="L3" s="718" t="s">
        <v>350</v>
      </c>
      <c r="M3" s="508" t="s"/>
      <c r="N3" s="508" t="s"/>
      <c r="O3" s="508" t="s"/>
      <c r="P3" s="508" t="s"/>
      <c r="Q3" s="508" t="s"/>
      <c r="R3" s="508" t="s"/>
      <c r="S3" s="508" t="s"/>
      <c r="T3" s="508" t="s"/>
      <c r="U3" s="508" t="s"/>
      <c r="V3" s="508" t="s"/>
      <c r="W3" s="508" t="s"/>
      <c r="X3" s="508" t="s"/>
      <c r="Y3" s="508" t="s"/>
    </row>
    <row r="4" spans="1:25">
      <c r="A4" s="719" t="s">
        <v>39</v>
      </c>
      <c r="B4" s="720" t="s">
        <v>218</v>
      </c>
      <c r="C4" s="720">
        <v>54</v>
      </c>
      <c r="D4" s="721" t="s">
        <v>20</v>
      </c>
      <c r="E4" s="722" t="s">
        <v>40</v>
      </c>
      <c r="F4" s="723">
        <v>3</v>
      </c>
      <c r="G4" s="723" t="s">
        <v>35</v>
      </c>
      <c r="H4" s="1186" t="s"/>
      <c r="I4" s="725">
        <v>3</v>
      </c>
      <c r="J4" s="725">
        <v>1</v>
      </c>
      <c r="K4" s="725">
        <v>0</v>
      </c>
      <c r="L4" s="726">
        <v>57</v>
      </c>
      <c r="M4" s="508" t="s"/>
      <c r="N4" s="508" t="s"/>
      <c r="O4" s="508" t="s"/>
      <c r="P4" s="508" t="s"/>
      <c r="Q4" s="508" t="s"/>
      <c r="R4" s="508" t="s"/>
      <c r="S4" s="508" t="s"/>
      <c r="T4" s="508" t="s"/>
      <c r="U4" s="508" t="s"/>
      <c r="V4" s="508" t="s"/>
      <c r="W4" s="508" t="s"/>
      <c r="X4" s="508" t="s"/>
      <c r="Y4" s="508" t="s"/>
    </row>
    <row r="5" spans="1:25">
      <c r="A5" s="1342" t="s"/>
      <c r="B5" s="1343" t="s"/>
      <c r="C5" s="1343" t="s"/>
      <c r="D5" s="721" t="s">
        <v>20</v>
      </c>
      <c r="E5" s="722" t="s">
        <v>351</v>
      </c>
      <c r="F5" s="1187">
        <v>2</v>
      </c>
      <c r="G5" s="721" t="s">
        <v>30</v>
      </c>
      <c r="H5" s="1186" t="s"/>
      <c r="I5" s="725">
        <v>2</v>
      </c>
      <c r="J5" s="725">
        <v>2</v>
      </c>
      <c r="K5" s="725">
        <v>0</v>
      </c>
      <c r="L5" s="1196" t="s"/>
      <c r="M5" s="508" t="s"/>
      <c r="N5" s="508" t="s"/>
      <c r="O5" s="508" t="s"/>
      <c r="P5" s="508" t="s"/>
      <c r="Q5" s="508" t="s"/>
      <c r="R5" s="508" t="s"/>
      <c r="S5" s="508" t="s"/>
      <c r="T5" s="508" t="s"/>
      <c r="U5" s="508" t="s"/>
      <c r="V5" s="508" t="s"/>
      <c r="W5" s="508" t="s"/>
      <c r="X5" s="508" t="s"/>
      <c r="Y5" s="508" t="s"/>
    </row>
    <row r="6" spans="1:25">
      <c r="A6" s="727" t="s"/>
      <c r="B6" s="727" t="s"/>
      <c r="C6" s="727" t="s"/>
      <c r="D6" s="721" t="s">
        <v>44</v>
      </c>
      <c r="E6" s="722" t="s">
        <v>40</v>
      </c>
      <c r="F6" s="728">
        <v>1</v>
      </c>
      <c r="G6" s="721" t="s">
        <v>35</v>
      </c>
      <c r="H6" s="1186" t="s"/>
      <c r="I6" s="725">
        <v>0</v>
      </c>
      <c r="J6" s="725">
        <v>0</v>
      </c>
      <c r="K6" s="725">
        <v>0</v>
      </c>
      <c r="L6" s="729" t="s"/>
      <c r="M6" s="508" t="s"/>
      <c r="N6" s="508" t="s"/>
      <c r="O6" s="508" t="s"/>
      <c r="P6" s="508" t="s"/>
      <c r="Q6" s="508" t="s"/>
      <c r="R6" s="508" t="s"/>
      <c r="S6" s="508" t="s"/>
      <c r="T6" s="508" t="s"/>
      <c r="U6" s="508" t="s"/>
      <c r="V6" s="508" t="s"/>
      <c r="W6" s="508" t="s"/>
      <c r="X6" s="508" t="s"/>
      <c r="Y6" s="508" t="s"/>
    </row>
    <row r="7" spans="1:25">
      <c r="A7" s="727" t="s"/>
      <c r="B7" s="727" t="s"/>
      <c r="C7" s="727" t="s"/>
      <c r="D7" s="721" t="s">
        <v>44</v>
      </c>
      <c r="E7" s="722" t="s">
        <v>131</v>
      </c>
      <c r="F7" s="728">
        <v>1</v>
      </c>
      <c r="G7" s="721" t="s">
        <v>30</v>
      </c>
      <c r="H7" s="1186" t="s"/>
      <c r="I7" s="725">
        <v>0</v>
      </c>
      <c r="J7" s="725">
        <v>0</v>
      </c>
      <c r="K7" s="725">
        <v>0</v>
      </c>
      <c r="L7" s="729" t="s"/>
      <c r="M7" s="508" t="s"/>
      <c r="N7" s="508" t="s"/>
      <c r="O7" s="508" t="s"/>
      <c r="P7" s="508" t="s"/>
      <c r="Q7" s="508" t="s"/>
      <c r="R7" s="508" t="s"/>
      <c r="S7" s="508" t="s"/>
      <c r="T7" s="508" t="s"/>
      <c r="U7" s="508" t="s"/>
      <c r="V7" s="508" t="s"/>
      <c r="W7" s="508" t="s"/>
      <c r="X7" s="508" t="s"/>
      <c r="Y7" s="508" t="s"/>
    </row>
    <row r="8" spans="1:25">
      <c r="A8" s="727" t="s"/>
      <c r="B8" s="727" t="s"/>
      <c r="C8" s="727" t="s"/>
      <c r="D8" s="721" t="s">
        <v>44</v>
      </c>
      <c r="E8" s="722" t="s">
        <v>49</v>
      </c>
      <c r="F8" s="721">
        <v>3</v>
      </c>
      <c r="G8" s="721" t="s">
        <v>35</v>
      </c>
      <c r="H8" s="1186" t="s"/>
      <c r="I8" s="725">
        <v>0</v>
      </c>
      <c r="J8" s="725">
        <v>0</v>
      </c>
      <c r="K8" s="725">
        <v>0</v>
      </c>
      <c r="L8" s="730" t="s"/>
      <c r="M8" s="508" t="s"/>
      <c r="N8" s="508" t="s"/>
      <c r="O8" s="508" t="s"/>
      <c r="P8" s="508" t="s"/>
      <c r="Q8" s="508" t="s"/>
      <c r="R8" s="508" t="s"/>
      <c r="S8" s="508" t="s"/>
      <c r="T8" s="508" t="s"/>
      <c r="U8" s="508" t="s"/>
      <c r="V8" s="508" t="s"/>
      <c r="W8" s="508" t="s"/>
      <c r="X8" s="508" t="s"/>
      <c r="Y8" s="508" t="s"/>
    </row>
    <row r="9" spans="1:25">
      <c r="A9" s="734" t="s">
        <v>19</v>
      </c>
      <c r="B9" s="735" t="s">
        <v>219</v>
      </c>
      <c r="C9" s="735">
        <v>74</v>
      </c>
      <c r="D9" s="742" t="s">
        <v>20</v>
      </c>
      <c r="E9" s="737" t="s">
        <v>331</v>
      </c>
      <c r="F9" s="738">
        <v>10</v>
      </c>
      <c r="G9" s="738" t="s">
        <v>22</v>
      </c>
      <c r="H9" s="1184" t="s">
        <v>352</v>
      </c>
      <c r="I9" s="740">
        <v>20</v>
      </c>
      <c r="J9" s="740">
        <v>17</v>
      </c>
      <c r="K9" s="740">
        <v>12</v>
      </c>
      <c r="L9" s="741">
        <v>66</v>
      </c>
      <c r="M9" s="508" t="s"/>
      <c r="N9" s="508" t="s"/>
      <c r="O9" s="508" t="s"/>
      <c r="P9" s="508" t="s"/>
      <c r="Q9" s="508" t="s"/>
      <c r="R9" s="508" t="s"/>
      <c r="S9" s="508" t="s"/>
      <c r="T9" s="508" t="s"/>
      <c r="U9" s="508" t="s"/>
      <c r="V9" s="508" t="s"/>
      <c r="W9" s="508" t="s"/>
      <c r="X9" s="508" t="s"/>
      <c r="Y9" s="508" t="s"/>
    </row>
    <row r="10" spans="1:25">
      <c r="A10" s="727" t="s"/>
      <c r="B10" s="727" t="s"/>
      <c r="C10" s="727" t="s"/>
      <c r="D10" s="742" t="s">
        <v>20</v>
      </c>
      <c r="E10" s="737" t="s">
        <v>332</v>
      </c>
      <c r="F10" s="742">
        <v>5</v>
      </c>
      <c r="G10" s="742" t="s">
        <v>35</v>
      </c>
      <c r="H10" s="1184" t="s"/>
      <c r="I10" s="740">
        <v>13</v>
      </c>
      <c r="J10" s="740">
        <v>11</v>
      </c>
      <c r="K10" s="740">
        <v>7</v>
      </c>
      <c r="L10" s="729" t="s"/>
      <c r="M10" s="508" t="s"/>
      <c r="N10" s="508" t="s"/>
      <c r="O10" s="508" t="s"/>
      <c r="P10" s="508" t="s"/>
      <c r="Q10" s="508" t="s"/>
      <c r="R10" s="508" t="s"/>
      <c r="S10" s="508" t="s"/>
      <c r="T10" s="508" t="s"/>
      <c r="U10" s="508" t="s"/>
      <c r="V10" s="508" t="s"/>
      <c r="W10" s="508" t="s"/>
      <c r="X10" s="508" t="s"/>
      <c r="Y10" s="508" t="s"/>
    </row>
    <row r="11" spans="1:25">
      <c r="A11" s="727" t="s"/>
      <c r="B11" s="727" t="s"/>
      <c r="C11" s="727" t="s"/>
      <c r="D11" s="742" t="s">
        <v>47</v>
      </c>
      <c r="E11" s="737" t="s">
        <v>353</v>
      </c>
      <c r="F11" s="742">
        <v>1</v>
      </c>
      <c r="G11" s="742" t="s">
        <v>30</v>
      </c>
      <c r="H11" s="1184" t="s"/>
      <c r="I11" s="740">
        <v>1</v>
      </c>
      <c r="J11" s="740">
        <v>0</v>
      </c>
      <c r="K11" s="740">
        <v>1</v>
      </c>
      <c r="L11" s="729" t="s"/>
      <c r="M11" s="508" t="s"/>
      <c r="N11" s="508" t="s"/>
      <c r="O11" s="508" t="s"/>
      <c r="P11" s="508" t="s"/>
      <c r="Q11" s="508" t="s"/>
      <c r="R11" s="508" t="s"/>
      <c r="S11" s="508" t="s"/>
      <c r="T11" s="508" t="s"/>
      <c r="U11" s="508" t="s"/>
      <c r="V11" s="508" t="s"/>
      <c r="W11" s="508" t="s"/>
      <c r="X11" s="508" t="s"/>
      <c r="Y11" s="508" t="s"/>
    </row>
    <row r="12" spans="1:25">
      <c r="A12" s="1344" t="s">
        <v>134</v>
      </c>
      <c r="B12" s="1345">
        <v>83</v>
      </c>
      <c r="C12" s="1345">
        <v>88</v>
      </c>
      <c r="D12" s="1346" t="s">
        <v>20</v>
      </c>
      <c r="E12" s="1347" t="s">
        <v>57</v>
      </c>
      <c r="F12" s="1346">
        <v>2</v>
      </c>
      <c r="G12" s="1346" t="s">
        <v>35</v>
      </c>
      <c r="H12" s="1173" t="s"/>
      <c r="I12" s="717">
        <v>2</v>
      </c>
      <c r="J12" s="717">
        <v>1</v>
      </c>
      <c r="K12" s="717">
        <v>2</v>
      </c>
      <c r="L12" s="718">
        <v>89</v>
      </c>
      <c r="M12" s="508" t="s"/>
      <c r="N12" s="508" t="s"/>
      <c r="O12" s="508" t="s"/>
      <c r="P12" s="508" t="s"/>
      <c r="Q12" s="508" t="s"/>
      <c r="R12" s="508" t="s"/>
      <c r="S12" s="508" t="s"/>
      <c r="T12" s="508" t="s"/>
      <c r="U12" s="508" t="s"/>
      <c r="V12" s="508" t="s"/>
      <c r="W12" s="508" t="s"/>
      <c r="X12" s="508" t="s"/>
      <c r="Y12" s="508" t="s"/>
    </row>
    <row r="13" spans="1:25">
      <c r="A13" s="727" t="s"/>
      <c r="B13" s="727" t="s"/>
      <c r="C13" s="727" t="s"/>
      <c r="D13" s="1346" t="s">
        <v>20</v>
      </c>
      <c r="E13" s="1348" t="s">
        <v>354</v>
      </c>
      <c r="F13" s="717">
        <v>1</v>
      </c>
      <c r="G13" s="1346" t="s">
        <v>22</v>
      </c>
      <c r="H13" s="1173" t="s"/>
      <c r="I13" s="717">
        <v>1</v>
      </c>
      <c r="J13" s="717">
        <v>1</v>
      </c>
      <c r="K13" s="717">
        <v>0</v>
      </c>
      <c r="L13" s="729" t="s"/>
      <c r="M13" s="508" t="s"/>
      <c r="N13" s="508" t="s"/>
      <c r="O13" s="508" t="s"/>
      <c r="P13" s="508" t="s"/>
      <c r="Q13" s="508" t="s"/>
      <c r="R13" s="508" t="s"/>
      <c r="S13" s="508" t="s"/>
      <c r="T13" s="508" t="s"/>
      <c r="U13" s="508" t="s"/>
      <c r="V13" s="508" t="s"/>
      <c r="W13" s="508" t="s"/>
      <c r="X13" s="508" t="s"/>
      <c r="Y13" s="508" t="s"/>
    </row>
    <row r="14" spans="1:25">
      <c r="A14" s="727" t="s"/>
      <c r="B14" s="727" t="s"/>
      <c r="C14" s="727" t="s"/>
      <c r="D14" s="1346" t="s">
        <v>44</v>
      </c>
      <c r="E14" s="1347" t="s">
        <v>57</v>
      </c>
      <c r="F14" s="1346">
        <v>1</v>
      </c>
      <c r="G14" s="1346" t="s">
        <v>35</v>
      </c>
      <c r="H14" s="1173" t="s"/>
      <c r="I14" s="717">
        <v>0</v>
      </c>
      <c r="J14" s="717">
        <v>0</v>
      </c>
      <c r="K14" s="717">
        <v>0</v>
      </c>
      <c r="L14" s="729" t="s"/>
      <c r="M14" s="508" t="s"/>
      <c r="N14" s="508" t="s"/>
      <c r="O14" s="508" t="s"/>
      <c r="P14" s="508" t="s"/>
      <c r="Q14" s="508" t="s"/>
      <c r="R14" s="508" t="s"/>
      <c r="S14" s="508" t="s"/>
      <c r="T14" s="508" t="s"/>
      <c r="U14" s="508" t="s"/>
      <c r="V14" s="508" t="s"/>
      <c r="W14" s="508" t="s"/>
      <c r="X14" s="508" t="s"/>
      <c r="Y14" s="508" t="s"/>
    </row>
    <row r="15" spans="1:25">
      <c r="A15" s="727" t="s"/>
      <c r="B15" s="727" t="s"/>
      <c r="C15" s="727" t="s"/>
      <c r="D15" s="1346" t="s">
        <v>47</v>
      </c>
      <c r="E15" s="1347" t="s">
        <v>57</v>
      </c>
      <c r="F15" s="1346">
        <v>1</v>
      </c>
      <c r="G15" s="1346" t="s">
        <v>35</v>
      </c>
      <c r="H15" s="1173" t="s"/>
      <c r="I15" s="717">
        <v>0</v>
      </c>
      <c r="J15" s="717">
        <v>0</v>
      </c>
      <c r="K15" s="717">
        <v>0</v>
      </c>
      <c r="L15" s="729" t="s"/>
      <c r="M15" s="508" t="s"/>
      <c r="N15" s="508" t="s"/>
      <c r="O15" s="508" t="s"/>
      <c r="P15" s="508" t="s"/>
      <c r="Q15" s="508" t="s"/>
      <c r="R15" s="508" t="s"/>
      <c r="S15" s="508" t="s"/>
      <c r="T15" s="508" t="s"/>
      <c r="U15" s="508" t="s"/>
      <c r="V15" s="508" t="s"/>
      <c r="W15" s="508" t="s"/>
      <c r="X15" s="508" t="s"/>
      <c r="Y15" s="508" t="s"/>
    </row>
    <row r="16" spans="1:25">
      <c r="A16" s="727" t="s"/>
      <c r="B16" s="727" t="s"/>
      <c r="C16" s="727" t="s"/>
      <c r="D16" s="1346" t="s">
        <v>47</v>
      </c>
      <c r="E16" s="1347" t="s">
        <v>135</v>
      </c>
      <c r="F16" s="1346">
        <v>1</v>
      </c>
      <c r="G16" s="1346" t="s">
        <v>35</v>
      </c>
      <c r="H16" s="1173" t="s"/>
      <c r="I16" s="717">
        <v>0</v>
      </c>
      <c r="J16" s="717">
        <v>0</v>
      </c>
      <c r="K16" s="717">
        <v>1</v>
      </c>
      <c r="L16" s="730" t="s"/>
      <c r="M16" s="508" t="s"/>
      <c r="N16" s="508" t="s"/>
      <c r="O16" s="508" t="s"/>
      <c r="P16" s="508" t="s"/>
      <c r="Q16" s="508" t="s"/>
      <c r="R16" s="508" t="s"/>
      <c r="S16" s="508" t="s"/>
      <c r="T16" s="508" t="s"/>
      <c r="U16" s="508" t="s"/>
      <c r="V16" s="508" t="s"/>
      <c r="W16" s="508" t="s"/>
      <c r="X16" s="508" t="s"/>
      <c r="Y16" s="508" t="s"/>
    </row>
    <row r="17" spans="1:25">
      <c r="A17" s="750" t="s">
        <v>50</v>
      </c>
      <c r="B17" s="751" t="s">
        <v>223</v>
      </c>
      <c r="C17" s="751">
        <v>20</v>
      </c>
      <c r="D17" s="736" t="s">
        <v>20</v>
      </c>
      <c r="E17" s="752" t="s">
        <v>355</v>
      </c>
      <c r="F17" s="736">
        <v>1</v>
      </c>
      <c r="G17" s="736" t="s">
        <v>30</v>
      </c>
      <c r="H17" s="1166" t="s">
        <v>356</v>
      </c>
      <c r="I17" s="754">
        <v>0</v>
      </c>
      <c r="J17" s="754">
        <v>0</v>
      </c>
      <c r="K17" s="754">
        <v>0</v>
      </c>
      <c r="L17" s="756">
        <v>23</v>
      </c>
      <c r="M17" s="508" t="s"/>
      <c r="N17" s="508" t="s"/>
      <c r="O17" s="508" t="s"/>
      <c r="P17" s="508" t="s"/>
      <c r="Q17" s="508" t="s"/>
      <c r="R17" s="508" t="s"/>
      <c r="S17" s="508" t="s"/>
      <c r="T17" s="508" t="s"/>
      <c r="U17" s="508" t="s"/>
      <c r="V17" s="508" t="s"/>
      <c r="W17" s="508" t="s"/>
      <c r="X17" s="508" t="s"/>
      <c r="Y17" s="508" t="s"/>
    </row>
    <row r="18" spans="1:25">
      <c r="A18" s="727" t="s"/>
      <c r="B18" s="727" t="s"/>
      <c r="C18" s="727" t="s"/>
      <c r="D18" s="1349" t="s">
        <v>20</v>
      </c>
      <c r="E18" s="1350" t="s">
        <v>85</v>
      </c>
      <c r="F18" s="1349">
        <v>1</v>
      </c>
      <c r="G18" s="1349" t="s">
        <v>35</v>
      </c>
      <c r="H18" s="1351" t="s"/>
      <c r="I18" s="754">
        <v>1</v>
      </c>
      <c r="J18" s="754">
        <v>1</v>
      </c>
      <c r="K18" s="754">
        <v>0</v>
      </c>
      <c r="L18" s="729" t="s"/>
      <c r="M18" s="508" t="s"/>
      <c r="N18" s="508" t="s"/>
      <c r="O18" s="508" t="s"/>
      <c r="P18" s="508" t="s"/>
      <c r="Q18" s="508" t="s"/>
      <c r="R18" s="508" t="s"/>
      <c r="S18" s="508" t="s"/>
      <c r="T18" s="508" t="s"/>
      <c r="U18" s="508" t="s"/>
      <c r="V18" s="508" t="s"/>
      <c r="W18" s="508" t="s"/>
      <c r="X18" s="508" t="s"/>
      <c r="Y18" s="508" t="s"/>
    </row>
    <row r="19" spans="1:25">
      <c r="A19" s="727" t="s"/>
      <c r="B19" s="727" t="s"/>
      <c r="C19" s="727" t="s"/>
      <c r="D19" s="736" t="s">
        <v>47</v>
      </c>
      <c r="E19" s="752" t="s">
        <v>138</v>
      </c>
      <c r="F19" s="736">
        <v>2</v>
      </c>
      <c r="G19" s="736" t="s">
        <v>35</v>
      </c>
      <c r="H19" s="1166" t="s"/>
      <c r="I19" s="754">
        <v>3</v>
      </c>
      <c r="J19" s="754">
        <v>2</v>
      </c>
      <c r="K19" s="754">
        <v>1</v>
      </c>
      <c r="L19" s="729" t="s"/>
      <c r="M19" s="508" t="s"/>
      <c r="N19" s="508" t="s"/>
      <c r="O19" s="508" t="s"/>
      <c r="P19" s="508" t="s"/>
      <c r="Q19" s="508" t="s"/>
      <c r="R19" s="508" t="s"/>
      <c r="S19" s="508" t="s"/>
      <c r="T19" s="508" t="s"/>
      <c r="U19" s="508" t="s"/>
      <c r="V19" s="508" t="s"/>
      <c r="W19" s="508" t="s"/>
      <c r="X19" s="508" t="s"/>
      <c r="Y19" s="508" t="s"/>
    </row>
    <row r="20" spans="1:25">
      <c r="A20" s="764" t="s">
        <v>63</v>
      </c>
      <c r="B20" s="765">
        <v>7</v>
      </c>
      <c r="C20" s="765">
        <v>10</v>
      </c>
      <c r="D20" s="766" t="s">
        <v>44</v>
      </c>
      <c r="E20" s="773" t="s">
        <v>226</v>
      </c>
      <c r="F20" s="766">
        <v>1</v>
      </c>
      <c r="G20" s="766" t="s">
        <v>30</v>
      </c>
      <c r="H20" s="1164" t="s"/>
      <c r="I20" s="768">
        <v>1</v>
      </c>
      <c r="J20" s="768">
        <v>0</v>
      </c>
      <c r="K20" s="768">
        <v>0</v>
      </c>
      <c r="L20" s="769">
        <v>18</v>
      </c>
      <c r="M20" s="508" t="s"/>
      <c r="N20" s="508" t="s"/>
      <c r="O20" s="508" t="s"/>
      <c r="P20" s="508" t="s"/>
      <c r="Q20" s="508" t="s"/>
      <c r="R20" s="508" t="s"/>
      <c r="S20" s="508" t="s"/>
      <c r="T20" s="508" t="s"/>
      <c r="U20" s="508" t="s"/>
      <c r="V20" s="508" t="s"/>
      <c r="W20" s="508" t="s"/>
      <c r="X20" s="508" t="s"/>
      <c r="Y20" s="508" t="s"/>
    </row>
    <row r="21" spans="1:25">
      <c r="A21" s="727" t="s"/>
      <c r="B21" s="727" t="s"/>
      <c r="C21" s="727" t="s"/>
      <c r="D21" s="771" t="s">
        <v>20</v>
      </c>
      <c r="E21" s="773" t="s">
        <v>20</v>
      </c>
      <c r="F21" s="766">
        <v>1</v>
      </c>
      <c r="G21" s="766" t="s">
        <v>30</v>
      </c>
      <c r="H21" s="1164" t="s"/>
      <c r="I21" s="768">
        <v>0</v>
      </c>
      <c r="J21" s="768">
        <v>0</v>
      </c>
      <c r="K21" s="768">
        <v>0</v>
      </c>
      <c r="L21" s="729" t="s"/>
      <c r="M21" s="508" t="s"/>
      <c r="N21" s="508" t="s"/>
      <c r="O21" s="508" t="s"/>
      <c r="P21" s="508" t="s"/>
      <c r="Q21" s="508" t="s"/>
      <c r="R21" s="508" t="s"/>
      <c r="S21" s="508" t="s"/>
      <c r="T21" s="508" t="s"/>
      <c r="U21" s="508" t="s"/>
      <c r="V21" s="508" t="s"/>
      <c r="W21" s="508" t="s"/>
      <c r="X21" s="508" t="s"/>
      <c r="Y21" s="508" t="s"/>
    </row>
    <row r="22" spans="1:25">
      <c r="A22" s="778" t="s">
        <v>32</v>
      </c>
      <c r="B22" s="779" t="s">
        <v>227</v>
      </c>
      <c r="C22" s="779">
        <v>33</v>
      </c>
      <c r="D22" s="780" t="s">
        <v>47</v>
      </c>
      <c r="E22" s="781" t="s">
        <v>56</v>
      </c>
      <c r="F22" s="780">
        <v>1</v>
      </c>
      <c r="G22" s="780" t="s">
        <v>30</v>
      </c>
      <c r="H22" s="1161" t="s"/>
      <c r="I22" s="777">
        <v>1</v>
      </c>
      <c r="J22" s="777">
        <v>1</v>
      </c>
      <c r="K22" s="777">
        <v>0</v>
      </c>
      <c r="L22" s="783">
        <v>36</v>
      </c>
      <c r="M22" s="508" t="s"/>
      <c r="N22" s="508" t="s"/>
      <c r="O22" s="508" t="s"/>
      <c r="P22" s="508" t="s"/>
      <c r="Q22" s="508" t="s"/>
      <c r="R22" s="508" t="s"/>
      <c r="S22" s="508" t="s"/>
      <c r="T22" s="508" t="s"/>
      <c r="U22" s="508" t="s"/>
      <c r="V22" s="508" t="s"/>
      <c r="W22" s="508" t="s"/>
      <c r="X22" s="508" t="s"/>
      <c r="Y22" s="508" t="s"/>
    </row>
    <row r="23" spans="1:25">
      <c r="A23" s="727" t="s"/>
      <c r="B23" s="727" t="s"/>
      <c r="C23" s="727" t="s"/>
      <c r="D23" s="780" t="s">
        <v>44</v>
      </c>
      <c r="E23" s="781" t="s">
        <v>56</v>
      </c>
      <c r="F23" s="780">
        <v>2</v>
      </c>
      <c r="G23" s="780" t="s">
        <v>30</v>
      </c>
      <c r="H23" s="1161" t="s"/>
      <c r="I23" s="777">
        <v>2</v>
      </c>
      <c r="J23" s="777">
        <v>1</v>
      </c>
      <c r="K23" s="777">
        <v>1</v>
      </c>
      <c r="L23" s="729" t="s"/>
      <c r="M23" s="508" t="s"/>
      <c r="N23" s="508" t="s"/>
      <c r="O23" s="508" t="s"/>
      <c r="P23" s="508" t="s"/>
      <c r="Q23" s="508" t="s"/>
      <c r="R23" s="508" t="s"/>
      <c r="S23" s="508" t="s"/>
      <c r="T23" s="508" t="s"/>
      <c r="U23" s="508" t="s"/>
      <c r="V23" s="508" t="s"/>
      <c r="W23" s="508" t="s"/>
      <c r="X23" s="508" t="s"/>
      <c r="Y23" s="508" t="s"/>
    </row>
    <row r="24" spans="1:25">
      <c r="A24" s="727" t="s"/>
      <c r="B24" s="727" t="s"/>
      <c r="C24" s="727" t="s"/>
      <c r="D24" s="780" t="s">
        <v>20</v>
      </c>
      <c r="E24" s="781" t="s">
        <v>151</v>
      </c>
      <c r="F24" s="780">
        <v>1</v>
      </c>
      <c r="G24" s="780" t="s">
        <v>30</v>
      </c>
      <c r="H24" s="1161" t="s"/>
      <c r="I24" s="777">
        <v>2</v>
      </c>
      <c r="J24" s="777">
        <v>1</v>
      </c>
      <c r="K24" s="777">
        <v>1</v>
      </c>
      <c r="L24" s="729" t="s"/>
      <c r="M24" s="508" t="s"/>
      <c r="N24" s="508" t="s"/>
      <c r="O24" s="508" t="s"/>
      <c r="P24" s="508" t="s"/>
      <c r="Q24" s="508" t="s"/>
      <c r="R24" s="508" t="s"/>
      <c r="S24" s="508" t="s"/>
      <c r="T24" s="508" t="s"/>
      <c r="U24" s="508" t="s"/>
      <c r="V24" s="508" t="s"/>
      <c r="W24" s="508" t="s"/>
      <c r="X24" s="508" t="s"/>
      <c r="Y24" s="508" t="s"/>
    </row>
    <row r="25" spans="1:25">
      <c r="A25" s="727" t="s"/>
      <c r="B25" s="727" t="s"/>
      <c r="C25" s="727" t="s"/>
      <c r="D25" s="780" t="s">
        <v>47</v>
      </c>
      <c r="E25" s="781" t="s">
        <v>48</v>
      </c>
      <c r="F25" s="780">
        <v>1</v>
      </c>
      <c r="G25" s="780" t="s">
        <v>30</v>
      </c>
      <c r="H25" s="1161" t="s">
        <v>357</v>
      </c>
      <c r="I25" s="777">
        <v>0</v>
      </c>
      <c r="J25" s="777">
        <v>0</v>
      </c>
      <c r="K25" s="777">
        <v>0</v>
      </c>
      <c r="L25" s="729" t="s"/>
      <c r="M25" s="508" t="s"/>
      <c r="N25" s="508" t="s"/>
      <c r="O25" s="508" t="s"/>
      <c r="P25" s="508" t="s"/>
      <c r="Q25" s="508" t="s"/>
      <c r="R25" s="508" t="s"/>
      <c r="S25" s="508" t="s"/>
      <c r="T25" s="508" t="s"/>
      <c r="U25" s="508" t="s"/>
      <c r="V25" s="508" t="s"/>
      <c r="W25" s="508" t="s"/>
      <c r="X25" s="508" t="s"/>
      <c r="Y25" s="508" t="s"/>
    </row>
    <row r="26" spans="1:25">
      <c r="A26" s="1342" t="s"/>
      <c r="B26" s="1343" t="s"/>
      <c r="C26" s="1343" t="s"/>
      <c r="D26" s="780" t="s">
        <v>91</v>
      </c>
      <c r="E26" s="781" t="s">
        <v>156</v>
      </c>
      <c r="F26" s="780">
        <v>1</v>
      </c>
      <c r="G26" s="780" t="s">
        <v>30</v>
      </c>
      <c r="H26" s="1161" t="s"/>
      <c r="I26" s="777">
        <v>0</v>
      </c>
      <c r="J26" s="777">
        <v>1</v>
      </c>
      <c r="K26" s="777">
        <v>2</v>
      </c>
      <c r="L26" s="1196" t="s"/>
      <c r="M26" s="508" t="s"/>
      <c r="N26" s="508" t="s"/>
      <c r="O26" s="508" t="s"/>
      <c r="P26" s="508" t="s"/>
      <c r="Q26" s="508" t="s"/>
      <c r="R26" s="508" t="s"/>
      <c r="S26" s="508" t="s"/>
      <c r="T26" s="508" t="s"/>
      <c r="U26" s="508" t="s"/>
      <c r="V26" s="508" t="s"/>
      <c r="W26" s="508" t="s"/>
      <c r="X26" s="508" t="s"/>
      <c r="Y26" s="508" t="s"/>
    </row>
    <row r="27" spans="1:25">
      <c r="A27" s="1342" t="s"/>
      <c r="B27" s="1343" t="s"/>
      <c r="C27" s="1343" t="s"/>
      <c r="D27" s="780" t="s">
        <v>20</v>
      </c>
      <c r="E27" s="781" t="s">
        <v>158</v>
      </c>
      <c r="F27" s="780">
        <v>1</v>
      </c>
      <c r="G27" s="780" t="s">
        <v>22</v>
      </c>
      <c r="H27" s="1161" t="s"/>
      <c r="I27" s="777">
        <v>2</v>
      </c>
      <c r="J27" s="777">
        <v>1</v>
      </c>
      <c r="K27" s="777">
        <v>0</v>
      </c>
      <c r="L27" s="1196" t="s"/>
      <c r="M27" s="508" t="s"/>
      <c r="N27" s="508" t="s"/>
      <c r="O27" s="508" t="s"/>
      <c r="P27" s="508" t="s"/>
      <c r="Q27" s="508" t="s"/>
      <c r="R27" s="508" t="s"/>
      <c r="S27" s="508" t="s"/>
      <c r="T27" s="508" t="s"/>
      <c r="U27" s="508" t="s"/>
      <c r="V27" s="508" t="s"/>
      <c r="W27" s="508" t="s"/>
      <c r="X27" s="508" t="s"/>
      <c r="Y27" s="508" t="s"/>
    </row>
    <row r="28" spans="1:25">
      <c r="A28" s="749" t="s"/>
      <c r="B28" s="749" t="s"/>
      <c r="C28" s="749" t="s"/>
      <c r="D28" s="780" t="s">
        <v>20</v>
      </c>
      <c r="E28" s="781" t="s">
        <v>230</v>
      </c>
      <c r="F28" s="780">
        <v>2</v>
      </c>
      <c r="G28" s="780" t="s">
        <v>22</v>
      </c>
      <c r="H28" s="1161" t="s">
        <v>140</v>
      </c>
      <c r="I28" s="777">
        <v>2</v>
      </c>
      <c r="J28" s="777">
        <v>2</v>
      </c>
      <c r="K28" s="777">
        <v>1</v>
      </c>
      <c r="L28" s="730" t="s"/>
      <c r="M28" s="508" t="s"/>
      <c r="N28" s="508" t="s"/>
      <c r="O28" s="508" t="s"/>
      <c r="P28" s="508" t="s"/>
      <c r="Q28" s="508" t="s"/>
      <c r="R28" s="508" t="s"/>
      <c r="S28" s="508" t="s"/>
      <c r="T28" s="508" t="s"/>
      <c r="U28" s="508" t="s"/>
      <c r="V28" s="508" t="s"/>
      <c r="W28" s="508" t="s"/>
      <c r="X28" s="508" t="s"/>
      <c r="Y28" s="508" t="s"/>
    </row>
    <row r="29" spans="1:25">
      <c r="A29" s="792" t="s">
        <v>71</v>
      </c>
      <c r="B29" s="797">
        <v>23</v>
      </c>
      <c r="C29" s="797">
        <v>23</v>
      </c>
      <c r="D29" s="1191" t="s"/>
      <c r="E29" s="1192" t="s"/>
      <c r="F29" s="1193" t="s"/>
      <c r="G29" s="1193" t="s"/>
      <c r="H29" s="1194" t="s"/>
      <c r="I29" s="795">
        <v>0</v>
      </c>
      <c r="J29" s="795">
        <v>0</v>
      </c>
      <c r="K29" s="795">
        <v>2</v>
      </c>
      <c r="L29" s="796">
        <v>21</v>
      </c>
      <c r="M29" s="508" t="s"/>
      <c r="N29" s="508" t="s"/>
      <c r="O29" s="508" t="s"/>
      <c r="P29" s="508" t="s"/>
      <c r="Q29" s="508" t="s"/>
      <c r="R29" s="508" t="s"/>
      <c r="S29" s="508" t="s"/>
      <c r="T29" s="508" t="s"/>
      <c r="U29" s="508" t="s"/>
      <c r="V29" s="508" t="s"/>
      <c r="W29" s="508" t="s"/>
      <c r="X29" s="508" t="s"/>
      <c r="Y29" s="508" t="s"/>
    </row>
    <row r="30" spans="1:25">
      <c r="A30" s="792" t="s">
        <v>172</v>
      </c>
      <c r="B30" s="797">
        <v>7</v>
      </c>
      <c r="C30" s="797">
        <v>7</v>
      </c>
      <c r="D30" s="1191" t="s"/>
      <c r="E30" s="1192" t="s"/>
      <c r="F30" s="1193" t="s"/>
      <c r="G30" s="1193" t="s"/>
      <c r="H30" s="1194" t="s"/>
      <c r="I30" s="795">
        <v>0</v>
      </c>
      <c r="J30" s="795">
        <v>0</v>
      </c>
      <c r="K30" s="795">
        <v>0</v>
      </c>
      <c r="L30" s="796">
        <v>7</v>
      </c>
      <c r="M30" s="508" t="s"/>
      <c r="N30" s="508" t="s"/>
      <c r="O30" s="508" t="s"/>
      <c r="P30" s="508" t="s"/>
      <c r="Q30" s="508" t="s"/>
      <c r="R30" s="508" t="s"/>
      <c r="S30" s="508" t="s"/>
      <c r="T30" s="508" t="s"/>
      <c r="U30" s="508" t="s"/>
      <c r="V30" s="508" t="s"/>
      <c r="W30" s="508" t="s"/>
      <c r="X30" s="508" t="s"/>
      <c r="Y30" s="508" t="s"/>
    </row>
    <row r="31" spans="1:25">
      <c r="A31" s="831" t="s"/>
      <c r="B31" s="832" t="s"/>
      <c r="C31" s="832">
        <f>=SUM(C4:C30)</f>
        <v>309</v>
      </c>
      <c r="D31" s="831" t="s"/>
      <c r="E31" s="832" t="s"/>
      <c r="F31" s="833" t="s"/>
      <c r="G31" s="833" t="s"/>
      <c r="H31" s="1197" t="s"/>
      <c r="I31" s="835" t="s"/>
      <c r="J31" s="835" t="s"/>
      <c r="K31" s="835" t="s"/>
      <c r="L31" s="836">
        <f>=SUM(L4:L30)</f>
        <v>317</v>
      </c>
      <c r="M31" s="508" t="s"/>
      <c r="N31" s="508" t="s"/>
      <c r="O31" s="508" t="s"/>
      <c r="P31" s="508" t="s"/>
      <c r="Q31" s="508" t="s"/>
      <c r="R31" s="508" t="s"/>
      <c r="S31" s="508" t="s"/>
      <c r="T31" s="508" t="s"/>
      <c r="U31" s="508" t="s"/>
      <c r="V31" s="508" t="s"/>
      <c r="W31" s="508" t="s"/>
      <c r="X31" s="508" t="s"/>
      <c r="Y31" s="508" t="s"/>
    </row>
    <row r="32" spans="1:25">
      <c r="A32" s="680" t="s"/>
      <c r="B32" s="837" t="s"/>
      <c r="C32" s="837" t="s"/>
      <c r="D32" s="838" t="s"/>
      <c r="E32" s="837" t="s"/>
      <c r="F32" s="839" t="s"/>
      <c r="G32" s="839" t="s"/>
      <c r="H32" s="837" t="s"/>
      <c r="I32" s="508" t="s"/>
      <c r="J32" s="508" t="s"/>
      <c r="K32" s="508" t="s"/>
      <c r="L32" s="508" t="s"/>
      <c r="M32" s="508" t="s"/>
      <c r="N32" s="508" t="s"/>
      <c r="O32" s="508" t="s"/>
      <c r="P32" s="508" t="s"/>
      <c r="Q32" s="508" t="s"/>
      <c r="R32" s="508" t="s"/>
      <c r="S32" s="508" t="s"/>
      <c r="T32" s="508" t="s"/>
      <c r="U32" s="508" t="s"/>
      <c r="V32" s="508" t="s"/>
      <c r="W32" s="508" t="s"/>
      <c r="X32" s="508" t="s"/>
      <c r="Y32" s="508" t="s"/>
    </row>
    <row r="33" spans="1:25">
      <c r="A33" s="680" t="s"/>
      <c r="B33" s="837" t="s"/>
      <c r="C33" s="837" t="s"/>
      <c r="D33" s="838" t="s"/>
      <c r="E33" s="837" t="s"/>
      <c r="F33" s="839" t="s"/>
      <c r="G33" s="839" t="s"/>
      <c r="H33" s="837" t="s"/>
      <c r="I33" s="508" t="s"/>
      <c r="J33" s="508" t="s"/>
      <c r="K33" s="508" t="s"/>
      <c r="L33" s="508" t="s"/>
      <c r="M33" s="508" t="s"/>
      <c r="N33" s="508" t="s"/>
      <c r="O33" s="508" t="s"/>
      <c r="P33" s="508" t="s"/>
      <c r="Q33" s="508" t="s"/>
      <c r="R33" s="508" t="s"/>
      <c r="S33" s="508" t="s"/>
      <c r="T33" s="508" t="s"/>
      <c r="U33" s="508" t="s"/>
      <c r="V33" s="508" t="s"/>
      <c r="W33" s="508" t="s"/>
      <c r="X33" s="508" t="s"/>
      <c r="Y33" s="508" t="s"/>
    </row>
    <row r="34" spans="1:25">
      <c r="A34" s="680" t="s"/>
      <c r="B34" s="841" t="s"/>
      <c r="C34" s="841" t="s"/>
      <c r="D34" s="838" t="s"/>
      <c r="E34" s="837" t="s"/>
      <c r="F34" s="839" t="s"/>
      <c r="G34" s="839" t="s"/>
      <c r="H34" s="837" t="s"/>
      <c r="I34" s="508" t="s"/>
      <c r="J34" s="508" t="s"/>
      <c r="K34" s="508" t="s"/>
      <c r="L34" s="508" t="s"/>
      <c r="M34" s="508" t="s"/>
      <c r="N34" s="508" t="s"/>
      <c r="O34" s="508" t="s"/>
      <c r="P34" s="508" t="s"/>
      <c r="Q34" s="508" t="s"/>
      <c r="R34" s="508" t="s"/>
      <c r="S34" s="508" t="s"/>
      <c r="T34" s="508" t="s"/>
      <c r="U34" s="508" t="s"/>
      <c r="V34" s="508" t="s"/>
      <c r="W34" s="508" t="s"/>
      <c r="X34" s="508" t="s"/>
      <c r="Y34" s="508" t="s"/>
    </row>
    <row r="35" spans="1:25">
      <c r="A35" s="680" t="s"/>
      <c r="B35" s="841" t="s"/>
      <c r="C35" s="841" t="s"/>
      <c r="D35" s="842" t="s"/>
      <c r="E35" s="841" t="s"/>
      <c r="F35" s="843" t="s"/>
      <c r="G35" s="843" t="s"/>
      <c r="H35" s="841" t="s"/>
      <c r="I35" s="508" t="s"/>
      <c r="J35" s="508" t="s"/>
      <c r="K35" s="508" t="s"/>
      <c r="L35" s="508" t="s"/>
      <c r="M35" s="508" t="s"/>
      <c r="N35" s="508" t="s"/>
      <c r="O35" s="508" t="s"/>
      <c r="P35" s="508" t="s"/>
      <c r="Q35" s="508" t="s"/>
      <c r="R35" s="508" t="s"/>
      <c r="S35" s="508" t="s"/>
      <c r="T35" s="508" t="s"/>
      <c r="U35" s="508" t="s"/>
      <c r="V35" s="508" t="s"/>
      <c r="W35" s="508" t="s"/>
      <c r="X35" s="508" t="s"/>
      <c r="Y35" s="508" t="s"/>
    </row>
    <row r="36" spans="1:25">
      <c r="A36" s="680" t="s"/>
      <c r="B36" s="837" t="s"/>
      <c r="C36" s="837" t="s"/>
      <c r="D36" s="838" t="s"/>
      <c r="E36" s="837" t="s"/>
      <c r="F36" s="839" t="s"/>
      <c r="G36" s="839" t="s"/>
      <c r="H36" s="837" t="s"/>
      <c r="I36" s="508" t="s"/>
      <c r="J36" s="508" t="s"/>
      <c r="K36" s="508" t="s"/>
      <c r="L36" s="508" t="s"/>
      <c r="M36" s="508" t="s"/>
      <c r="N36" s="508" t="s"/>
      <c r="O36" s="508" t="s"/>
      <c r="P36" s="508" t="s"/>
      <c r="Q36" s="508" t="s"/>
      <c r="R36" s="508" t="s"/>
      <c r="S36" s="508" t="s"/>
      <c r="T36" s="508" t="s"/>
      <c r="U36" s="508" t="s"/>
      <c r="V36" s="508" t="s"/>
      <c r="W36" s="508" t="s"/>
      <c r="X36" s="508" t="s"/>
      <c r="Y36" s="508" t="s"/>
    </row>
    <row r="37" spans="1:25">
      <c r="A37" s="680" t="s"/>
      <c r="B37" s="837" t="s"/>
      <c r="C37" s="837" t="s"/>
      <c r="D37" s="838" t="s"/>
      <c r="E37" s="837" t="s"/>
      <c r="F37" s="839" t="s"/>
      <c r="G37" s="839" t="s"/>
      <c r="H37" s="837" t="s"/>
      <c r="I37" s="508" t="s"/>
      <c r="J37" s="508" t="s"/>
      <c r="K37" s="508" t="s"/>
      <c r="L37" s="508" t="s"/>
      <c r="M37" s="508" t="s"/>
      <c r="N37" s="508" t="s"/>
      <c r="O37" s="508" t="s"/>
      <c r="P37" s="508" t="s"/>
      <c r="Q37" s="508" t="s"/>
      <c r="R37" s="508" t="s"/>
      <c r="S37" s="508" t="s"/>
      <c r="T37" s="508" t="s"/>
      <c r="U37" s="508" t="s"/>
      <c r="V37" s="508" t="s"/>
      <c r="W37" s="508" t="s"/>
      <c r="X37" s="508" t="s"/>
      <c r="Y37" s="508" t="s"/>
    </row>
    <row r="38" spans="1:25">
      <c r="A38" s="680" t="s"/>
      <c r="B38" s="837" t="s"/>
      <c r="C38" s="837" t="s"/>
      <c r="D38" s="838" t="s"/>
      <c r="E38" s="837" t="s"/>
      <c r="F38" s="839" t="s"/>
      <c r="G38" s="839" t="s"/>
      <c r="H38" s="837" t="s"/>
      <c r="I38" s="508" t="s"/>
      <c r="J38" s="508" t="s"/>
      <c r="K38" s="508" t="s"/>
      <c r="L38" s="508" t="s"/>
      <c r="M38" s="508" t="s"/>
      <c r="N38" s="508" t="s"/>
      <c r="O38" s="508" t="s"/>
      <c r="P38" s="508" t="s"/>
      <c r="Q38" s="508" t="s"/>
      <c r="R38" s="508" t="s"/>
      <c r="S38" s="508" t="s"/>
      <c r="T38" s="508" t="s"/>
      <c r="U38" s="508" t="s"/>
      <c r="V38" s="508" t="s"/>
      <c r="W38" s="508" t="s"/>
      <c r="X38" s="508" t="s"/>
      <c r="Y38" s="508" t="s"/>
    </row>
    <row r="39" spans="1:25">
      <c r="A39" s="680" t="s"/>
      <c r="B39" s="837" t="s"/>
      <c r="C39" s="837" t="s"/>
      <c r="D39" s="838" t="s"/>
      <c r="E39" s="837" t="s"/>
      <c r="F39" s="839" t="s"/>
      <c r="G39" s="839" t="s"/>
      <c r="H39" s="837" t="s"/>
      <c r="I39" s="508" t="s"/>
      <c r="J39" s="508" t="s"/>
      <c r="K39" s="508" t="s"/>
      <c r="L39" s="508" t="s"/>
      <c r="M39" s="508" t="s"/>
      <c r="N39" s="508" t="s"/>
      <c r="O39" s="508" t="s"/>
      <c r="P39" s="508" t="s"/>
      <c r="Q39" s="508" t="s"/>
      <c r="R39" s="508" t="s"/>
      <c r="S39" s="508" t="s"/>
      <c r="T39" s="508" t="s"/>
      <c r="U39" s="508" t="s"/>
      <c r="V39" s="508" t="s"/>
      <c r="W39" s="508" t="s"/>
      <c r="X39" s="508" t="s"/>
      <c r="Y39" s="508" t="s"/>
    </row>
    <row r="40" spans="1:25">
      <c r="A40" s="680" t="s"/>
      <c r="B40" s="837" t="s"/>
      <c r="C40" s="837" t="s"/>
      <c r="D40" s="838" t="s"/>
      <c r="E40" s="837" t="s"/>
      <c r="F40" s="839" t="s"/>
      <c r="G40" s="839" t="s"/>
      <c r="H40" s="837" t="s"/>
      <c r="I40" s="508" t="s"/>
      <c r="J40" s="508" t="s"/>
      <c r="K40" s="508" t="s"/>
      <c r="L40" s="508" t="s"/>
      <c r="M40" s="508" t="s"/>
      <c r="N40" s="508" t="s"/>
      <c r="O40" s="508" t="s"/>
      <c r="P40" s="508" t="s"/>
      <c r="Q40" s="508" t="s"/>
      <c r="R40" s="508" t="s"/>
      <c r="S40" s="508" t="s"/>
      <c r="T40" s="508" t="s"/>
      <c r="U40" s="508" t="s"/>
      <c r="V40" s="508" t="s"/>
      <c r="W40" s="508" t="s"/>
      <c r="X40" s="508" t="s"/>
      <c r="Y40" s="508" t="s"/>
    </row>
    <row r="41" spans="1:25">
      <c r="A41" s="680" t="s"/>
      <c r="B41" s="837" t="s"/>
      <c r="C41" s="837" t="s"/>
      <c r="D41" s="838" t="s"/>
      <c r="E41" s="837" t="s"/>
      <c r="F41" s="839" t="s"/>
      <c r="G41" s="839" t="s"/>
      <c r="H41" s="837" t="s"/>
      <c r="I41" s="508" t="s"/>
      <c r="J41" s="508" t="s"/>
      <c r="K41" s="508" t="s"/>
      <c r="L41" s="508" t="s"/>
      <c r="M41" s="508" t="s"/>
      <c r="N41" s="508" t="s"/>
      <c r="O41" s="508" t="s"/>
      <c r="P41" s="508" t="s"/>
      <c r="Q41" s="508" t="s"/>
      <c r="R41" s="508" t="s"/>
      <c r="S41" s="508" t="s"/>
      <c r="T41" s="508" t="s"/>
      <c r="U41" s="508" t="s"/>
      <c r="V41" s="508" t="s"/>
      <c r="W41" s="508" t="s"/>
      <c r="X41" s="508" t="s"/>
      <c r="Y41" s="508" t="s"/>
    </row>
    <row r="42" spans="1:25">
      <c r="A42" s="680" t="s"/>
      <c r="B42" s="837" t="s"/>
      <c r="C42" s="837" t="s"/>
      <c r="D42" s="838" t="s"/>
      <c r="E42" s="837" t="s"/>
      <c r="F42" s="839" t="s"/>
      <c r="G42" s="839" t="s"/>
      <c r="H42" s="837" t="s"/>
      <c r="I42" s="508" t="s"/>
      <c r="J42" s="508" t="s"/>
      <c r="K42" s="508" t="s"/>
      <c r="L42" s="508" t="s"/>
      <c r="M42" s="508" t="s"/>
      <c r="N42" s="508" t="s"/>
      <c r="O42" s="508" t="s"/>
      <c r="P42" s="508" t="s"/>
      <c r="Q42" s="508" t="s"/>
      <c r="R42" s="508" t="s"/>
      <c r="S42" s="508" t="s"/>
      <c r="T42" s="508" t="s"/>
      <c r="U42" s="508" t="s"/>
      <c r="V42" s="508" t="s"/>
      <c r="W42" s="508" t="s"/>
      <c r="X42" s="508" t="s"/>
      <c r="Y42" s="508" t="s"/>
    </row>
    <row r="43" spans="1:25">
      <c r="A43" s="680" t="s"/>
      <c r="B43" s="837" t="s"/>
      <c r="C43" s="837" t="s"/>
      <c r="D43" s="838" t="s"/>
      <c r="E43" s="837" t="s"/>
      <c r="F43" s="839" t="s"/>
      <c r="G43" s="839" t="s"/>
      <c r="H43" s="837" t="s"/>
      <c r="I43" s="508" t="s"/>
      <c r="J43" s="508" t="s"/>
      <c r="K43" s="508" t="s"/>
      <c r="L43" s="508" t="s"/>
      <c r="M43" s="508" t="s"/>
      <c r="N43" s="508" t="s"/>
      <c r="O43" s="508" t="s"/>
      <c r="P43" s="508" t="s"/>
      <c r="Q43" s="508" t="s"/>
      <c r="R43" s="508" t="s"/>
      <c r="S43" s="508" t="s"/>
      <c r="T43" s="508" t="s"/>
      <c r="U43" s="508" t="s"/>
      <c r="V43" s="508" t="s"/>
      <c r="W43" s="508" t="s"/>
      <c r="X43" s="508" t="s"/>
      <c r="Y43" s="508" t="s"/>
    </row>
    <row r="44" spans="1:25">
      <c r="A44" s="680" t="s"/>
      <c r="B44" s="837" t="s"/>
      <c r="C44" s="837" t="s"/>
      <c r="D44" s="838" t="s"/>
      <c r="E44" s="837" t="s"/>
      <c r="F44" s="839" t="s"/>
      <c r="G44" s="839" t="s"/>
      <c r="H44" s="837" t="s"/>
      <c r="I44" s="508" t="s"/>
      <c r="J44" s="508" t="s"/>
      <c r="K44" s="508" t="s"/>
      <c r="L44" s="508" t="s"/>
      <c r="M44" s="508" t="s"/>
      <c r="N44" s="508" t="s"/>
      <c r="O44" s="508" t="s"/>
      <c r="P44" s="508" t="s"/>
      <c r="Q44" s="508" t="s"/>
      <c r="R44" s="508" t="s"/>
      <c r="S44" s="508" t="s"/>
      <c r="T44" s="508" t="s"/>
      <c r="U44" s="508" t="s"/>
      <c r="V44" s="508" t="s"/>
      <c r="W44" s="508" t="s"/>
      <c r="X44" s="508" t="s"/>
      <c r="Y44" s="508" t="s"/>
    </row>
    <row r="45" spans="1:25">
      <c r="A45" s="680" t="s"/>
      <c r="B45" s="837" t="s"/>
      <c r="C45" s="837" t="s"/>
      <c r="D45" s="838" t="s"/>
      <c r="E45" s="837" t="s"/>
      <c r="F45" s="839" t="s"/>
      <c r="G45" s="839" t="s"/>
      <c r="H45" s="837" t="s"/>
      <c r="I45" s="508" t="s"/>
      <c r="J45" s="508" t="s"/>
      <c r="K45" s="508" t="s"/>
      <c r="L45" s="508" t="s"/>
      <c r="M45" s="508" t="s"/>
      <c r="N45" s="508" t="s"/>
      <c r="O45" s="508" t="s"/>
      <c r="P45" s="508" t="s"/>
      <c r="Q45" s="508" t="s"/>
      <c r="R45" s="508" t="s"/>
      <c r="S45" s="508" t="s"/>
      <c r="T45" s="508" t="s"/>
      <c r="U45" s="508" t="s"/>
      <c r="V45" s="508" t="s"/>
      <c r="W45" s="508" t="s"/>
      <c r="X45" s="508" t="s"/>
      <c r="Y45" s="508" t="s"/>
    </row>
    <row r="46" spans="1:25">
      <c r="A46" s="680" t="s"/>
      <c r="B46" s="837" t="s"/>
      <c r="C46" s="837" t="s"/>
      <c r="D46" s="838" t="s"/>
      <c r="E46" s="837" t="s"/>
      <c r="F46" s="839" t="s"/>
      <c r="G46" s="839" t="s"/>
      <c r="H46" s="837" t="s"/>
      <c r="I46" s="508" t="s"/>
      <c r="J46" s="508" t="s"/>
      <c r="K46" s="508" t="s"/>
      <c r="L46" s="508" t="s"/>
      <c r="M46" s="508" t="s"/>
      <c r="N46" s="508" t="s"/>
      <c r="O46" s="508" t="s"/>
      <c r="P46" s="508" t="s"/>
      <c r="Q46" s="508" t="s"/>
      <c r="R46" s="508" t="s"/>
      <c r="S46" s="508" t="s"/>
      <c r="T46" s="508" t="s"/>
      <c r="U46" s="508" t="s"/>
      <c r="V46" s="508" t="s"/>
      <c r="W46" s="508" t="s"/>
      <c r="X46" s="508" t="s"/>
      <c r="Y46" s="508" t="s"/>
    </row>
    <row r="47" spans="1:25">
      <c r="A47" s="680" t="s"/>
      <c r="B47" s="837" t="s"/>
      <c r="C47" s="837" t="s"/>
      <c r="D47" s="838" t="s"/>
      <c r="E47" s="837" t="s"/>
      <c r="F47" s="839" t="s"/>
      <c r="G47" s="839" t="s"/>
      <c r="H47" s="837" t="s"/>
      <c r="I47" s="508" t="s"/>
      <c r="J47" s="508" t="s"/>
      <c r="K47" s="508" t="s"/>
      <c r="L47" s="508" t="s"/>
      <c r="M47" s="508" t="s"/>
      <c r="N47" s="508" t="s"/>
      <c r="O47" s="508" t="s"/>
      <c r="P47" s="508" t="s"/>
      <c r="Q47" s="508" t="s"/>
      <c r="R47" s="508" t="s"/>
      <c r="S47" s="508" t="s"/>
      <c r="T47" s="508" t="s"/>
      <c r="U47" s="508" t="s"/>
      <c r="V47" s="508" t="s"/>
      <c r="W47" s="508" t="s"/>
      <c r="X47" s="508" t="s"/>
      <c r="Y47" s="508" t="s"/>
    </row>
    <row r="48" spans="1:25">
      <c r="A48" s="680" t="s"/>
      <c r="B48" s="837" t="s"/>
      <c r="C48" s="837" t="s"/>
      <c r="D48" s="838" t="s"/>
      <c r="E48" s="837" t="s"/>
      <c r="F48" s="839" t="s"/>
      <c r="G48" s="839" t="s"/>
      <c r="H48" s="837" t="s"/>
      <c r="I48" s="508" t="s"/>
      <c r="J48" s="508" t="s"/>
      <c r="K48" s="508" t="s"/>
      <c r="L48" s="508" t="s"/>
      <c r="M48" s="508" t="s"/>
      <c r="N48" s="508" t="s"/>
      <c r="O48" s="508" t="s"/>
      <c r="P48" s="508" t="s"/>
      <c r="Q48" s="508" t="s"/>
      <c r="R48" s="508" t="s"/>
      <c r="S48" s="508" t="s"/>
      <c r="T48" s="508" t="s"/>
      <c r="U48" s="508" t="s"/>
      <c r="V48" s="508" t="s"/>
      <c r="W48" s="508" t="s"/>
      <c r="X48" s="508" t="s"/>
      <c r="Y48" s="508" t="s"/>
    </row>
    <row r="49" spans="1:25">
      <c r="A49" s="680" t="s"/>
      <c r="B49" s="837" t="s"/>
      <c r="C49" s="837" t="s"/>
      <c r="D49" s="838" t="s"/>
      <c r="E49" s="837" t="s"/>
      <c r="F49" s="839" t="s"/>
      <c r="G49" s="839" t="s"/>
      <c r="H49" s="837" t="s"/>
      <c r="I49" s="508" t="s"/>
      <c r="J49" s="508" t="s"/>
      <c r="K49" s="508" t="s"/>
      <c r="L49" s="508" t="s"/>
      <c r="M49" s="508" t="s"/>
      <c r="N49" s="508" t="s"/>
      <c r="O49" s="508" t="s"/>
      <c r="P49" s="508" t="s"/>
      <c r="Q49" s="508" t="s"/>
      <c r="R49" s="508" t="s"/>
      <c r="S49" s="508" t="s"/>
      <c r="T49" s="508" t="s"/>
      <c r="U49" s="508" t="s"/>
      <c r="V49" s="508" t="s"/>
      <c r="W49" s="508" t="s"/>
      <c r="X49" s="508" t="s"/>
      <c r="Y49" s="508" t="s"/>
    </row>
    <row r="50" spans="1:25">
      <c r="A50" s="680" t="s"/>
      <c r="B50" s="837" t="s"/>
      <c r="C50" s="837" t="s"/>
      <c r="D50" s="838" t="s"/>
      <c r="E50" s="837" t="s"/>
      <c r="F50" s="839" t="s"/>
      <c r="G50" s="839" t="s"/>
      <c r="H50" s="837" t="s"/>
      <c r="I50" s="508" t="s"/>
      <c r="J50" s="508" t="s"/>
      <c r="K50" s="508" t="s"/>
      <c r="L50" s="508" t="s"/>
      <c r="M50" s="508" t="s"/>
      <c r="N50" s="508" t="s"/>
      <c r="O50" s="508" t="s"/>
      <c r="P50" s="508" t="s"/>
      <c r="Q50" s="508" t="s"/>
      <c r="R50" s="508" t="s"/>
      <c r="S50" s="508" t="s"/>
      <c r="T50" s="508" t="s"/>
      <c r="U50" s="508" t="s"/>
      <c r="V50" s="508" t="s"/>
      <c r="W50" s="508" t="s"/>
      <c r="X50" s="508" t="s"/>
      <c r="Y50" s="508" t="s"/>
    </row>
    <row r="51" spans="1:25">
      <c r="A51" s="680" t="s"/>
      <c r="B51" s="837" t="s"/>
      <c r="C51" s="837" t="s"/>
      <c r="D51" s="838" t="s"/>
      <c r="E51" s="837" t="s"/>
      <c r="F51" s="839" t="s"/>
      <c r="G51" s="839" t="s"/>
      <c r="H51" s="837" t="s"/>
      <c r="I51" s="508" t="s"/>
      <c r="J51" s="508" t="s"/>
      <c r="K51" s="508" t="s"/>
      <c r="L51" s="508" t="s"/>
      <c r="M51" s="508" t="s"/>
      <c r="N51" s="508" t="s"/>
      <c r="O51" s="508" t="s"/>
      <c r="P51" s="508" t="s"/>
      <c r="Q51" s="508" t="s"/>
      <c r="R51" s="508" t="s"/>
      <c r="S51" s="508" t="s"/>
      <c r="T51" s="508" t="s"/>
      <c r="U51" s="508" t="s"/>
      <c r="V51" s="508" t="s"/>
      <c r="W51" s="508" t="s"/>
      <c r="X51" s="508" t="s"/>
      <c r="Y51" s="508" t="s"/>
    </row>
    <row r="52" spans="1:25">
      <c r="A52" s="680" t="s"/>
      <c r="B52" s="837" t="s"/>
      <c r="C52" s="837" t="s"/>
      <c r="D52" s="838" t="s"/>
      <c r="E52" s="837" t="s"/>
      <c r="F52" s="839" t="s"/>
      <c r="G52" s="839" t="s"/>
      <c r="H52" s="837" t="s"/>
      <c r="I52" s="508" t="s"/>
      <c r="J52" s="508" t="s"/>
      <c r="K52" s="508" t="s"/>
      <c r="L52" s="508" t="s"/>
      <c r="M52" s="508" t="s"/>
      <c r="N52" s="508" t="s"/>
      <c r="O52" s="508" t="s"/>
      <c r="P52" s="508" t="s"/>
      <c r="Q52" s="508" t="s"/>
      <c r="R52" s="508" t="s"/>
      <c r="S52" s="508" t="s"/>
      <c r="T52" s="508" t="s"/>
      <c r="U52" s="508" t="s"/>
      <c r="V52" s="508" t="s"/>
      <c r="W52" s="508" t="s"/>
      <c r="X52" s="508" t="s"/>
      <c r="Y52" s="508" t="s"/>
    </row>
    <row r="53" spans="1:25">
      <c r="A53" s="680" t="s"/>
      <c r="B53" s="837" t="s"/>
      <c r="C53" s="837" t="s"/>
      <c r="D53" s="838" t="s"/>
      <c r="E53" s="837" t="s"/>
      <c r="F53" s="839" t="s"/>
      <c r="G53" s="839" t="s"/>
      <c r="H53" s="837" t="s"/>
      <c r="I53" s="508" t="s"/>
      <c r="J53" s="508" t="s"/>
      <c r="K53" s="508" t="s"/>
      <c r="L53" s="508" t="s"/>
      <c r="M53" s="508" t="s"/>
      <c r="N53" s="508" t="s"/>
      <c r="O53" s="508" t="s"/>
      <c r="P53" s="508" t="s"/>
      <c r="Q53" s="508" t="s"/>
      <c r="R53" s="508" t="s"/>
      <c r="S53" s="508" t="s"/>
      <c r="T53" s="508" t="s"/>
      <c r="U53" s="508" t="s"/>
      <c r="V53" s="508" t="s"/>
      <c r="W53" s="508" t="s"/>
      <c r="X53" s="508" t="s"/>
      <c r="Y53" s="508" t="s"/>
    </row>
    <row r="54" spans="1:25">
      <c r="A54" s="680" t="s"/>
      <c r="B54" s="837" t="s"/>
      <c r="C54" s="837" t="s"/>
      <c r="D54" s="838" t="s"/>
      <c r="E54" s="837" t="s"/>
      <c r="F54" s="839" t="s"/>
      <c r="G54" s="839" t="s"/>
      <c r="H54" s="837" t="s"/>
      <c r="I54" s="508" t="s"/>
      <c r="J54" s="508" t="s"/>
      <c r="K54" s="508" t="s"/>
      <c r="L54" s="508" t="s"/>
      <c r="M54" s="508" t="s"/>
      <c r="N54" s="508" t="s"/>
      <c r="O54" s="508" t="s"/>
      <c r="P54" s="508" t="s"/>
      <c r="Q54" s="508" t="s"/>
      <c r="R54" s="508" t="s"/>
      <c r="S54" s="508" t="s"/>
      <c r="T54" s="508" t="s"/>
      <c r="U54" s="508" t="s"/>
      <c r="V54" s="508" t="s"/>
      <c r="W54" s="508" t="s"/>
      <c r="X54" s="508" t="s"/>
      <c r="Y54" s="508" t="s"/>
    </row>
    <row r="55" spans="1:25">
      <c r="A55" s="680" t="s"/>
      <c r="B55" s="837" t="s"/>
      <c r="C55" s="837" t="s"/>
      <c r="D55" s="838" t="s"/>
      <c r="E55" s="837" t="s"/>
      <c r="F55" s="839" t="s"/>
      <c r="G55" s="839" t="s"/>
      <c r="H55" s="837" t="s"/>
      <c r="I55" s="508" t="s"/>
      <c r="J55" s="508" t="s"/>
      <c r="K55" s="508" t="s"/>
      <c r="L55" s="508" t="s"/>
      <c r="M55" s="508" t="s"/>
      <c r="N55" s="508" t="s"/>
      <c r="O55" s="508" t="s"/>
      <c r="P55" s="508" t="s"/>
      <c r="Q55" s="508" t="s"/>
      <c r="R55" s="508" t="s"/>
      <c r="S55" s="508" t="s"/>
      <c r="T55" s="508" t="s"/>
      <c r="U55" s="508" t="s"/>
      <c r="V55" s="508" t="s"/>
      <c r="W55" s="508" t="s"/>
      <c r="X55" s="508" t="s"/>
      <c r="Y55" s="508" t="s"/>
    </row>
    <row r="56" spans="1:25">
      <c r="A56" s="680" t="s"/>
      <c r="B56" s="837" t="s"/>
      <c r="C56" s="837" t="s"/>
      <c r="D56" s="838" t="s"/>
      <c r="E56" s="837" t="s"/>
      <c r="F56" s="839" t="s"/>
      <c r="G56" s="839" t="s"/>
      <c r="H56" s="837" t="s"/>
      <c r="I56" s="508" t="s"/>
      <c r="J56" s="508" t="s"/>
      <c r="K56" s="508" t="s"/>
      <c r="L56" s="508" t="s"/>
      <c r="M56" s="508" t="s"/>
      <c r="N56" s="508" t="s"/>
      <c r="O56" s="508" t="s"/>
      <c r="P56" s="508" t="s"/>
      <c r="Q56" s="508" t="s"/>
      <c r="R56" s="508" t="s"/>
      <c r="S56" s="508" t="s"/>
      <c r="T56" s="508" t="s"/>
      <c r="U56" s="508" t="s"/>
      <c r="V56" s="508" t="s"/>
      <c r="W56" s="508" t="s"/>
      <c r="X56" s="508" t="s"/>
      <c r="Y56" s="508" t="s"/>
    </row>
    <row r="57" spans="1:25">
      <c r="A57" s="680" t="s"/>
      <c r="B57" s="837" t="s"/>
      <c r="C57" s="837" t="s"/>
      <c r="D57" s="838" t="s"/>
      <c r="E57" s="837" t="s"/>
      <c r="F57" s="839" t="s"/>
      <c r="G57" s="839" t="s"/>
      <c r="H57" s="837" t="s"/>
      <c r="I57" s="508" t="s"/>
      <c r="J57" s="508" t="s"/>
      <c r="K57" s="508" t="s"/>
      <c r="L57" s="508" t="s"/>
      <c r="M57" s="508" t="s"/>
      <c r="N57" s="508" t="s"/>
      <c r="O57" s="508" t="s"/>
      <c r="P57" s="508" t="s"/>
      <c r="Q57" s="508" t="s"/>
      <c r="R57" s="508" t="s"/>
      <c r="S57" s="508" t="s"/>
      <c r="T57" s="508" t="s"/>
      <c r="U57" s="508" t="s"/>
      <c r="V57" s="508" t="s"/>
      <c r="W57" s="508" t="s"/>
      <c r="X57" s="508" t="s"/>
      <c r="Y57" s="508" t="s"/>
    </row>
    <row r="58" spans="1:25">
      <c r="A58" s="680" t="s"/>
      <c r="B58" s="837" t="s"/>
      <c r="C58" s="837" t="s"/>
      <c r="D58" s="838" t="s"/>
      <c r="E58" s="837" t="s"/>
      <c r="F58" s="839" t="s"/>
      <c r="G58" s="839" t="s"/>
      <c r="H58" s="837" t="s"/>
      <c r="I58" s="508" t="s"/>
      <c r="J58" s="508" t="s"/>
      <c r="K58" s="508" t="s"/>
      <c r="L58" s="508" t="s"/>
      <c r="M58" s="508" t="s"/>
      <c r="N58" s="508" t="s"/>
      <c r="O58" s="508" t="s"/>
      <c r="P58" s="508" t="s"/>
      <c r="Q58" s="508" t="s"/>
      <c r="R58" s="508" t="s"/>
      <c r="S58" s="508" t="s"/>
      <c r="T58" s="508" t="s"/>
      <c r="U58" s="508" t="s"/>
      <c r="V58" s="508" t="s"/>
      <c r="W58" s="508" t="s"/>
      <c r="X58" s="508" t="s"/>
      <c r="Y58" s="508" t="s"/>
    </row>
    <row r="59" spans="1:25">
      <c r="A59" s="680" t="s"/>
      <c r="B59" s="837" t="s"/>
      <c r="C59" s="837" t="s"/>
      <c r="D59" s="838" t="s"/>
      <c r="E59" s="837" t="s"/>
      <c r="F59" s="839" t="s"/>
      <c r="G59" s="839" t="s"/>
      <c r="H59" s="837" t="s"/>
      <c r="I59" s="508" t="s"/>
      <c r="J59" s="508" t="s"/>
      <c r="K59" s="508" t="s"/>
      <c r="L59" s="508" t="s"/>
      <c r="M59" s="508" t="s"/>
      <c r="N59" s="508" t="s"/>
      <c r="O59" s="508" t="s"/>
      <c r="P59" s="508" t="s"/>
      <c r="Q59" s="508" t="s"/>
      <c r="R59" s="508" t="s"/>
      <c r="S59" s="508" t="s"/>
      <c r="T59" s="508" t="s"/>
      <c r="U59" s="508" t="s"/>
      <c r="V59" s="508" t="s"/>
      <c r="W59" s="508" t="s"/>
      <c r="X59" s="508" t="s"/>
      <c r="Y59" s="508" t="s"/>
    </row>
    <row r="60" spans="1:25">
      <c r="A60" s="680" t="s"/>
      <c r="B60" s="837" t="s"/>
      <c r="C60" s="837" t="s"/>
      <c r="D60" s="838" t="s"/>
      <c r="E60" s="837" t="s"/>
      <c r="F60" s="839" t="s"/>
      <c r="G60" s="839" t="s"/>
      <c r="H60" s="837" t="s"/>
      <c r="I60" s="508" t="s"/>
      <c r="J60" s="508" t="s"/>
      <c r="K60" s="508" t="s"/>
      <c r="L60" s="508" t="s"/>
      <c r="M60" s="508" t="s"/>
      <c r="N60" s="508" t="s"/>
      <c r="O60" s="508" t="s"/>
      <c r="P60" s="508" t="s"/>
      <c r="Q60" s="508" t="s"/>
      <c r="R60" s="508" t="s"/>
      <c r="S60" s="508" t="s"/>
      <c r="T60" s="508" t="s"/>
      <c r="U60" s="508" t="s"/>
      <c r="V60" s="508" t="s"/>
      <c r="W60" s="508" t="s"/>
      <c r="X60" s="508" t="s"/>
      <c r="Y60" s="508" t="s"/>
    </row>
    <row r="61" spans="1:25">
      <c r="A61" s="680" t="s"/>
      <c r="B61" s="837" t="s"/>
      <c r="C61" s="837" t="s"/>
      <c r="D61" s="838" t="s"/>
      <c r="E61" s="837" t="s"/>
      <c r="F61" s="839" t="s"/>
      <c r="G61" s="839" t="s"/>
      <c r="H61" s="837" t="s"/>
      <c r="I61" s="508" t="s"/>
      <c r="J61" s="508" t="s"/>
      <c r="K61" s="508" t="s"/>
      <c r="L61" s="508" t="s"/>
      <c r="M61" s="508" t="s"/>
      <c r="N61" s="508" t="s"/>
      <c r="O61" s="508" t="s"/>
      <c r="P61" s="508" t="s"/>
      <c r="Q61" s="508" t="s"/>
      <c r="R61" s="508" t="s"/>
      <c r="S61" s="508" t="s"/>
      <c r="T61" s="508" t="s"/>
      <c r="U61" s="508" t="s"/>
      <c r="V61" s="508" t="s"/>
      <c r="W61" s="508" t="s"/>
      <c r="X61" s="508" t="s"/>
      <c r="Y61" s="508" t="s"/>
    </row>
    <row r="62" spans="1:25">
      <c r="A62" s="680" t="s"/>
      <c r="B62" s="837" t="s"/>
      <c r="C62" s="837" t="s"/>
      <c r="D62" s="838" t="s"/>
      <c r="E62" s="837" t="s"/>
      <c r="F62" s="839" t="s"/>
      <c r="G62" s="839" t="s"/>
      <c r="H62" s="837" t="s"/>
      <c r="I62" s="508" t="s"/>
      <c r="J62" s="508" t="s"/>
      <c r="K62" s="508" t="s"/>
      <c r="L62" s="508" t="s"/>
      <c r="M62" s="508" t="s"/>
      <c r="N62" s="508" t="s"/>
      <c r="O62" s="508" t="s"/>
      <c r="P62" s="508" t="s"/>
      <c r="Q62" s="508" t="s"/>
      <c r="R62" s="508" t="s"/>
      <c r="S62" s="508" t="s"/>
      <c r="T62" s="508" t="s"/>
      <c r="U62" s="508" t="s"/>
      <c r="V62" s="508" t="s"/>
      <c r="W62" s="508" t="s"/>
      <c r="X62" s="508" t="s"/>
      <c r="Y62" s="508" t="s"/>
    </row>
    <row r="63" spans="1:25">
      <c r="A63" s="680" t="s"/>
      <c r="B63" s="837" t="s"/>
      <c r="C63" s="837" t="s"/>
      <c r="D63" s="838" t="s"/>
      <c r="E63" s="837" t="s"/>
      <c r="F63" s="839" t="s"/>
      <c r="G63" s="839" t="s"/>
      <c r="H63" s="837" t="s"/>
      <c r="I63" s="508" t="s"/>
      <c r="J63" s="508" t="s"/>
      <c r="K63" s="508" t="s"/>
      <c r="L63" s="508" t="s"/>
      <c r="M63" s="508" t="s"/>
      <c r="N63" s="508" t="s"/>
      <c r="O63" s="508" t="s"/>
      <c r="P63" s="508" t="s"/>
      <c r="Q63" s="508" t="s"/>
      <c r="R63" s="508" t="s"/>
      <c r="S63" s="508" t="s"/>
      <c r="T63" s="508" t="s"/>
      <c r="U63" s="508" t="s"/>
      <c r="V63" s="508" t="s"/>
      <c r="W63" s="508" t="s"/>
      <c r="X63" s="508" t="s"/>
      <c r="Y63" s="508" t="s"/>
    </row>
    <row r="64" spans="1:25">
      <c r="A64" s="680" t="s"/>
      <c r="B64" s="837" t="s"/>
      <c r="C64" s="837" t="s"/>
      <c r="D64" s="838" t="s"/>
      <c r="E64" s="837" t="s"/>
      <c r="F64" s="839" t="s"/>
      <c r="G64" s="839" t="s"/>
      <c r="H64" s="837" t="s"/>
      <c r="I64" s="508" t="s"/>
      <c r="J64" s="508" t="s"/>
      <c r="K64" s="508" t="s"/>
      <c r="L64" s="508" t="s"/>
      <c r="M64" s="508" t="s"/>
      <c r="N64" s="508" t="s"/>
      <c r="O64" s="508" t="s"/>
      <c r="P64" s="508" t="s"/>
      <c r="Q64" s="508" t="s"/>
      <c r="R64" s="508" t="s"/>
      <c r="S64" s="508" t="s"/>
      <c r="T64" s="508" t="s"/>
      <c r="U64" s="508" t="s"/>
      <c r="V64" s="508" t="s"/>
      <c r="W64" s="508" t="s"/>
      <c r="X64" s="508" t="s"/>
      <c r="Y64" s="508" t="s"/>
    </row>
    <row r="65" spans="1:25">
      <c r="A65" s="680" t="s"/>
      <c r="B65" s="837" t="s"/>
      <c r="C65" s="837" t="s"/>
      <c r="D65" s="838" t="s"/>
      <c r="E65" s="837" t="s"/>
      <c r="F65" s="839" t="s"/>
      <c r="G65" s="839" t="s"/>
      <c r="H65" s="837" t="s"/>
      <c r="I65" s="508" t="s"/>
      <c r="J65" s="508" t="s"/>
      <c r="K65" s="508" t="s"/>
      <c r="L65" s="508" t="s"/>
      <c r="M65" s="508" t="s"/>
      <c r="N65" s="508" t="s"/>
      <c r="O65" s="508" t="s"/>
      <c r="P65" s="508" t="s"/>
      <c r="Q65" s="508" t="s"/>
      <c r="R65" s="508" t="s"/>
      <c r="S65" s="508" t="s"/>
      <c r="T65" s="508" t="s"/>
      <c r="U65" s="508" t="s"/>
      <c r="V65" s="508" t="s"/>
      <c r="W65" s="508" t="s"/>
      <c r="X65" s="508" t="s"/>
      <c r="Y65" s="508" t="s"/>
    </row>
    <row r="66" spans="1:25">
      <c r="A66" s="680" t="s"/>
      <c r="B66" s="837" t="s"/>
      <c r="C66" s="837" t="s"/>
      <c r="D66" s="838" t="s"/>
      <c r="E66" s="837" t="s"/>
      <c r="F66" s="839" t="s"/>
      <c r="G66" s="839" t="s"/>
      <c r="H66" s="837" t="s"/>
      <c r="I66" s="508" t="s"/>
      <c r="J66" s="508" t="s"/>
      <c r="K66" s="508" t="s"/>
      <c r="L66" s="508" t="s"/>
      <c r="M66" s="508" t="s"/>
      <c r="N66" s="508" t="s"/>
      <c r="O66" s="508" t="s"/>
      <c r="P66" s="508" t="s"/>
      <c r="Q66" s="508" t="s"/>
      <c r="R66" s="508" t="s"/>
      <c r="S66" s="508" t="s"/>
      <c r="T66" s="508" t="s"/>
      <c r="U66" s="508" t="s"/>
      <c r="V66" s="508" t="s"/>
      <c r="W66" s="508" t="s"/>
      <c r="X66" s="508" t="s"/>
      <c r="Y66" s="508" t="s"/>
    </row>
    <row r="67" spans="1:25">
      <c r="A67" s="680" t="s"/>
      <c r="B67" s="837" t="s"/>
      <c r="C67" s="837" t="s"/>
      <c r="D67" s="838" t="s"/>
      <c r="E67" s="837" t="s"/>
      <c r="F67" s="839" t="s"/>
      <c r="G67" s="839" t="s"/>
      <c r="H67" s="837" t="s"/>
      <c r="I67" s="508" t="s"/>
      <c r="J67" s="508" t="s"/>
      <c r="K67" s="508" t="s"/>
      <c r="L67" s="508" t="s"/>
      <c r="M67" s="508" t="s"/>
      <c r="N67" s="508" t="s"/>
      <c r="O67" s="508" t="s"/>
      <c r="P67" s="508" t="s"/>
      <c r="Q67" s="508" t="s"/>
      <c r="R67" s="508" t="s"/>
      <c r="S67" s="508" t="s"/>
      <c r="T67" s="508" t="s"/>
      <c r="U67" s="508" t="s"/>
      <c r="V67" s="508" t="s"/>
      <c r="W67" s="508" t="s"/>
      <c r="X67" s="508" t="s"/>
      <c r="Y67" s="508" t="s"/>
    </row>
    <row r="68" spans="1:25">
      <c r="A68" s="680" t="s"/>
      <c r="B68" s="837" t="s"/>
      <c r="C68" s="837" t="s"/>
      <c r="D68" s="838" t="s"/>
      <c r="E68" s="837" t="s"/>
      <c r="F68" s="839" t="s"/>
      <c r="G68" s="839" t="s"/>
      <c r="H68" s="837" t="s"/>
      <c r="I68" s="508" t="s"/>
      <c r="J68" s="508" t="s"/>
      <c r="K68" s="508" t="s"/>
      <c r="L68" s="508" t="s"/>
      <c r="M68" s="508" t="s"/>
      <c r="N68" s="508" t="s"/>
      <c r="O68" s="508" t="s"/>
      <c r="P68" s="508" t="s"/>
      <c r="Q68" s="508" t="s"/>
      <c r="R68" s="508" t="s"/>
      <c r="S68" s="508" t="s"/>
      <c r="T68" s="508" t="s"/>
      <c r="U68" s="508" t="s"/>
      <c r="V68" s="508" t="s"/>
      <c r="W68" s="508" t="s"/>
      <c r="X68" s="508" t="s"/>
      <c r="Y68" s="508" t="s"/>
    </row>
    <row r="69" spans="1:25">
      <c r="A69" s="680" t="s"/>
      <c r="B69" s="837" t="s"/>
      <c r="C69" s="837" t="s"/>
      <c r="D69" s="838" t="s"/>
      <c r="E69" s="837" t="s"/>
      <c r="F69" s="839" t="s"/>
      <c r="G69" s="839" t="s"/>
      <c r="H69" s="837" t="s"/>
      <c r="I69" s="508" t="s"/>
      <c r="J69" s="508" t="s"/>
      <c r="K69" s="508" t="s"/>
      <c r="L69" s="508" t="s"/>
      <c r="M69" s="508" t="s"/>
      <c r="N69" s="508" t="s"/>
      <c r="O69" s="508" t="s"/>
      <c r="P69" s="508" t="s"/>
      <c r="Q69" s="508" t="s"/>
      <c r="R69" s="508" t="s"/>
      <c r="S69" s="508" t="s"/>
      <c r="T69" s="508" t="s"/>
      <c r="U69" s="508" t="s"/>
      <c r="V69" s="508" t="s"/>
      <c r="W69" s="508" t="s"/>
      <c r="X69" s="508" t="s"/>
      <c r="Y69" s="508" t="s"/>
    </row>
    <row r="70" spans="1:25">
      <c r="A70" s="680" t="s"/>
      <c r="B70" s="837" t="s"/>
      <c r="C70" s="837" t="s"/>
      <c r="D70" s="838" t="s"/>
      <c r="E70" s="837" t="s"/>
      <c r="F70" s="839" t="s"/>
      <c r="G70" s="839" t="s"/>
      <c r="H70" s="837" t="s"/>
      <c r="I70" s="508" t="s"/>
      <c r="J70" s="508" t="s"/>
      <c r="K70" s="508" t="s"/>
      <c r="L70" s="508" t="s"/>
      <c r="M70" s="508" t="s"/>
      <c r="N70" s="508" t="s"/>
      <c r="O70" s="508" t="s"/>
      <c r="P70" s="508" t="s"/>
      <c r="Q70" s="508" t="s"/>
      <c r="R70" s="508" t="s"/>
      <c r="S70" s="508" t="s"/>
      <c r="T70" s="508" t="s"/>
      <c r="U70" s="508" t="s"/>
      <c r="V70" s="508" t="s"/>
      <c r="W70" s="508" t="s"/>
      <c r="X70" s="508" t="s"/>
      <c r="Y70" s="508" t="s"/>
    </row>
    <row r="71" spans="1:25">
      <c r="A71" s="680" t="s"/>
      <c r="B71" s="837" t="s"/>
      <c r="C71" s="837" t="s"/>
      <c r="D71" s="838" t="s"/>
      <c r="E71" s="837" t="s"/>
      <c r="F71" s="839" t="s"/>
      <c r="G71" s="839" t="s"/>
      <c r="H71" s="837" t="s"/>
      <c r="I71" s="508" t="s"/>
      <c r="J71" s="508" t="s"/>
      <c r="K71" s="508" t="s"/>
      <c r="L71" s="508" t="s"/>
      <c r="M71" s="508" t="s"/>
      <c r="N71" s="508" t="s"/>
      <c r="O71" s="508" t="s"/>
      <c r="P71" s="508" t="s"/>
      <c r="Q71" s="508" t="s"/>
      <c r="R71" s="508" t="s"/>
      <c r="S71" s="508" t="s"/>
      <c r="T71" s="508" t="s"/>
      <c r="U71" s="508" t="s"/>
      <c r="V71" s="508" t="s"/>
      <c r="W71" s="508" t="s"/>
      <c r="X71" s="508" t="s"/>
      <c r="Y71" s="508" t="s"/>
    </row>
    <row r="72" spans="1:25">
      <c r="A72" s="680" t="s"/>
      <c r="B72" s="837" t="s"/>
      <c r="C72" s="837" t="s"/>
      <c r="D72" s="838" t="s"/>
      <c r="E72" s="837" t="s"/>
      <c r="F72" s="839" t="s"/>
      <c r="G72" s="839" t="s"/>
      <c r="H72" s="837" t="s"/>
      <c r="I72" s="508" t="s"/>
      <c r="J72" s="508" t="s"/>
      <c r="K72" s="508" t="s"/>
      <c r="L72" s="508" t="s"/>
      <c r="M72" s="508" t="s"/>
      <c r="N72" s="508" t="s"/>
      <c r="O72" s="508" t="s"/>
      <c r="P72" s="508" t="s"/>
      <c r="Q72" s="508" t="s"/>
      <c r="R72" s="508" t="s"/>
      <c r="S72" s="508" t="s"/>
      <c r="T72" s="508" t="s"/>
      <c r="U72" s="508" t="s"/>
      <c r="V72" s="508" t="s"/>
      <c r="W72" s="508" t="s"/>
      <c r="X72" s="508" t="s"/>
      <c r="Y72" s="508" t="s"/>
    </row>
    <row r="73" spans="1:25">
      <c r="A73" s="680" t="s"/>
      <c r="B73" s="837" t="s"/>
      <c r="C73" s="837" t="s"/>
      <c r="D73" s="838" t="s"/>
      <c r="E73" s="837" t="s"/>
      <c r="F73" s="839" t="s"/>
      <c r="G73" s="839" t="s"/>
      <c r="H73" s="837" t="s"/>
      <c r="I73" s="508" t="s"/>
      <c r="J73" s="508" t="s"/>
      <c r="K73" s="508" t="s"/>
      <c r="L73" s="508" t="s"/>
      <c r="M73" s="508" t="s"/>
      <c r="N73" s="508" t="s"/>
      <c r="O73" s="508" t="s"/>
      <c r="P73" s="508" t="s"/>
      <c r="Q73" s="508" t="s"/>
      <c r="R73" s="508" t="s"/>
      <c r="S73" s="508" t="s"/>
      <c r="T73" s="508" t="s"/>
      <c r="U73" s="508" t="s"/>
      <c r="V73" s="508" t="s"/>
      <c r="W73" s="508" t="s"/>
      <c r="X73" s="508" t="s"/>
      <c r="Y73" s="508" t="s"/>
    </row>
    <row r="74" spans="1:25">
      <c r="A74" s="680" t="s"/>
      <c r="B74" s="837" t="s"/>
      <c r="C74" s="837" t="s"/>
      <c r="D74" s="838" t="s"/>
      <c r="E74" s="837" t="s"/>
      <c r="F74" s="839" t="s"/>
      <c r="G74" s="839" t="s"/>
      <c r="H74" s="837" t="s"/>
      <c r="I74" s="508" t="s"/>
      <c r="J74" s="508" t="s"/>
      <c r="K74" s="508" t="s"/>
      <c r="L74" s="508" t="s"/>
      <c r="M74" s="508" t="s"/>
      <c r="N74" s="508" t="s"/>
      <c r="O74" s="508" t="s"/>
      <c r="P74" s="508" t="s"/>
      <c r="Q74" s="508" t="s"/>
      <c r="R74" s="508" t="s"/>
      <c r="S74" s="508" t="s"/>
      <c r="T74" s="508" t="s"/>
      <c r="U74" s="508" t="s"/>
      <c r="V74" s="508" t="s"/>
      <c r="W74" s="508" t="s"/>
      <c r="X74" s="508" t="s"/>
      <c r="Y74" s="508" t="s"/>
    </row>
    <row r="75" spans="1:25">
      <c r="A75" s="680" t="s"/>
      <c r="B75" s="837" t="s"/>
      <c r="C75" s="837" t="s"/>
      <c r="D75" s="838" t="s"/>
      <c r="E75" s="837" t="s"/>
      <c r="F75" s="839" t="s"/>
      <c r="G75" s="839" t="s"/>
      <c r="H75" s="837" t="s"/>
      <c r="I75" s="508" t="s"/>
      <c r="J75" s="508" t="s"/>
      <c r="K75" s="508" t="s"/>
      <c r="L75" s="508" t="s"/>
      <c r="M75" s="508" t="s"/>
      <c r="N75" s="508" t="s"/>
      <c r="O75" s="508" t="s"/>
      <c r="P75" s="508" t="s"/>
      <c r="Q75" s="508" t="s"/>
      <c r="R75" s="508" t="s"/>
      <c r="S75" s="508" t="s"/>
      <c r="T75" s="508" t="s"/>
      <c r="U75" s="508" t="s"/>
      <c r="V75" s="508" t="s"/>
      <c r="W75" s="508" t="s"/>
      <c r="X75" s="508" t="s"/>
      <c r="Y75" s="508" t="s"/>
    </row>
    <row r="76" spans="1:25">
      <c r="A76" s="680" t="s"/>
      <c r="B76" s="837" t="s"/>
      <c r="C76" s="837" t="s"/>
      <c r="D76" s="838" t="s"/>
      <c r="E76" s="837" t="s"/>
      <c r="F76" s="839" t="s"/>
      <c r="G76" s="839" t="s"/>
      <c r="H76" s="837" t="s"/>
      <c r="I76" s="508" t="s"/>
      <c r="J76" s="508" t="s"/>
      <c r="K76" s="508" t="s"/>
      <c r="L76" s="508" t="s"/>
      <c r="M76" s="508" t="s"/>
      <c r="N76" s="508" t="s"/>
      <c r="O76" s="508" t="s"/>
      <c r="P76" s="508" t="s"/>
      <c r="Q76" s="508" t="s"/>
      <c r="R76" s="508" t="s"/>
      <c r="S76" s="508" t="s"/>
      <c r="T76" s="508" t="s"/>
      <c r="U76" s="508" t="s"/>
      <c r="V76" s="508" t="s"/>
      <c r="W76" s="508" t="s"/>
      <c r="X76" s="508" t="s"/>
      <c r="Y76" s="508" t="s"/>
    </row>
    <row r="77" spans="1:25">
      <c r="A77" s="680" t="s"/>
      <c r="B77" s="837" t="s"/>
      <c r="C77" s="837" t="s"/>
      <c r="D77" s="838" t="s"/>
      <c r="E77" s="837" t="s"/>
      <c r="F77" s="839" t="s"/>
      <c r="G77" s="839" t="s"/>
      <c r="H77" s="837" t="s"/>
      <c r="I77" s="508" t="s"/>
      <c r="J77" s="508" t="s"/>
      <c r="K77" s="508" t="s"/>
      <c r="L77" s="508" t="s"/>
      <c r="M77" s="508" t="s"/>
      <c r="N77" s="508" t="s"/>
      <c r="O77" s="508" t="s"/>
      <c r="P77" s="508" t="s"/>
      <c r="Q77" s="508" t="s"/>
      <c r="R77" s="508" t="s"/>
      <c r="S77" s="508" t="s"/>
      <c r="T77" s="508" t="s"/>
      <c r="U77" s="508" t="s"/>
      <c r="V77" s="508" t="s"/>
      <c r="W77" s="508" t="s"/>
      <c r="X77" s="508" t="s"/>
      <c r="Y77" s="508" t="s"/>
    </row>
    <row r="78" spans="1:25">
      <c r="A78" s="680" t="s"/>
      <c r="B78" s="837" t="s"/>
      <c r="C78" s="837" t="s"/>
      <c r="D78" s="838" t="s"/>
      <c r="E78" s="837" t="s"/>
      <c r="F78" s="839" t="s"/>
      <c r="G78" s="839" t="s"/>
      <c r="H78" s="837" t="s"/>
      <c r="I78" s="508" t="s"/>
      <c r="J78" s="508" t="s"/>
      <c r="K78" s="508" t="s"/>
      <c r="L78" s="508" t="s"/>
      <c r="M78" s="508" t="s"/>
      <c r="N78" s="508" t="s"/>
      <c r="O78" s="508" t="s"/>
      <c r="P78" s="508" t="s"/>
      <c r="Q78" s="508" t="s"/>
      <c r="R78" s="508" t="s"/>
      <c r="S78" s="508" t="s"/>
      <c r="T78" s="508" t="s"/>
      <c r="U78" s="508" t="s"/>
      <c r="V78" s="508" t="s"/>
      <c r="W78" s="508" t="s"/>
      <c r="X78" s="508" t="s"/>
      <c r="Y78" s="508" t="s"/>
    </row>
    <row r="79" spans="1:25">
      <c r="A79" s="680" t="s"/>
      <c r="B79" s="837" t="s"/>
      <c r="C79" s="837" t="s"/>
      <c r="D79" s="838" t="s"/>
      <c r="E79" s="837" t="s"/>
      <c r="F79" s="839" t="s"/>
      <c r="G79" s="839" t="s"/>
      <c r="H79" s="837" t="s"/>
      <c r="I79" s="508" t="s"/>
      <c r="J79" s="508" t="s"/>
      <c r="K79" s="508" t="s"/>
      <c r="L79" s="508" t="s"/>
      <c r="M79" s="508" t="s"/>
      <c r="N79" s="508" t="s"/>
      <c r="O79" s="508" t="s"/>
      <c r="P79" s="508" t="s"/>
      <c r="Q79" s="508" t="s"/>
      <c r="R79" s="508" t="s"/>
      <c r="S79" s="508" t="s"/>
      <c r="T79" s="508" t="s"/>
      <c r="U79" s="508" t="s"/>
      <c r="V79" s="508" t="s"/>
      <c r="W79" s="508" t="s"/>
      <c r="X79" s="508" t="s"/>
      <c r="Y79" s="508" t="s"/>
    </row>
    <row r="80" spans="1:25">
      <c r="A80" s="680" t="s"/>
      <c r="B80" s="837" t="s"/>
      <c r="C80" s="837" t="s"/>
      <c r="D80" s="838" t="s"/>
      <c r="E80" s="837" t="s"/>
      <c r="F80" s="839" t="s"/>
      <c r="G80" s="839" t="s"/>
      <c r="H80" s="837" t="s"/>
      <c r="I80" s="508" t="s"/>
      <c r="J80" s="508" t="s"/>
      <c r="K80" s="508" t="s"/>
      <c r="L80" s="508" t="s"/>
      <c r="M80" s="508" t="s"/>
      <c r="N80" s="508" t="s"/>
      <c r="O80" s="508" t="s"/>
      <c r="P80" s="508" t="s"/>
      <c r="Q80" s="508" t="s"/>
      <c r="R80" s="508" t="s"/>
      <c r="S80" s="508" t="s"/>
      <c r="T80" s="508" t="s"/>
      <c r="U80" s="508" t="s"/>
      <c r="V80" s="508" t="s"/>
      <c r="W80" s="508" t="s"/>
      <c r="X80" s="508" t="s"/>
      <c r="Y80" s="508" t="s"/>
    </row>
    <row r="81" spans="1:25">
      <c r="A81" s="680" t="s"/>
      <c r="B81" s="837" t="s"/>
      <c r="C81" s="837" t="s"/>
      <c r="D81" s="838" t="s"/>
      <c r="E81" s="837" t="s"/>
      <c r="F81" s="839" t="s"/>
      <c r="G81" s="839" t="s"/>
      <c r="H81" s="837" t="s"/>
      <c r="I81" s="508" t="s"/>
      <c r="J81" s="508" t="s"/>
      <c r="K81" s="508" t="s"/>
      <c r="L81" s="508" t="s"/>
      <c r="M81" s="508" t="s"/>
      <c r="N81" s="508" t="s"/>
      <c r="O81" s="508" t="s"/>
      <c r="P81" s="508" t="s"/>
      <c r="Q81" s="508" t="s"/>
      <c r="R81" s="508" t="s"/>
      <c r="S81" s="508" t="s"/>
      <c r="T81" s="508" t="s"/>
      <c r="U81" s="508" t="s"/>
      <c r="V81" s="508" t="s"/>
      <c r="W81" s="508" t="s"/>
      <c r="X81" s="508" t="s"/>
      <c r="Y81" s="508" t="s"/>
    </row>
    <row r="82" spans="1:25">
      <c r="A82" s="680" t="s"/>
      <c r="B82" s="837" t="s"/>
      <c r="C82" s="837" t="s"/>
      <c r="D82" s="838" t="s"/>
      <c r="E82" s="837" t="s"/>
      <c r="F82" s="839" t="s"/>
      <c r="G82" s="839" t="s"/>
      <c r="H82" s="837" t="s"/>
      <c r="I82" s="508" t="s"/>
      <c r="J82" s="508" t="s"/>
      <c r="K82" s="508" t="s"/>
      <c r="L82" s="508" t="s"/>
      <c r="M82" s="508" t="s"/>
      <c r="N82" s="508" t="s"/>
      <c r="O82" s="508" t="s"/>
      <c r="P82" s="508" t="s"/>
      <c r="Q82" s="508" t="s"/>
      <c r="R82" s="508" t="s"/>
      <c r="S82" s="508" t="s"/>
      <c r="T82" s="508" t="s"/>
      <c r="U82" s="508" t="s"/>
      <c r="V82" s="508" t="s"/>
      <c r="W82" s="508" t="s"/>
      <c r="X82" s="508" t="s"/>
      <c r="Y82" s="508" t="s"/>
    </row>
    <row r="83" spans="1:25">
      <c r="A83" s="680" t="s"/>
      <c r="B83" s="837" t="s"/>
      <c r="C83" s="837" t="s"/>
      <c r="D83" s="838" t="s"/>
      <c r="E83" s="837" t="s"/>
      <c r="F83" s="839" t="s"/>
      <c r="G83" s="839" t="s"/>
      <c r="H83" s="837" t="s"/>
      <c r="I83" s="508" t="s"/>
      <c r="J83" s="508" t="s"/>
      <c r="K83" s="508" t="s"/>
      <c r="L83" s="508" t="s"/>
      <c r="M83" s="508" t="s"/>
      <c r="N83" s="508" t="s"/>
      <c r="O83" s="508" t="s"/>
      <c r="P83" s="508" t="s"/>
      <c r="Q83" s="508" t="s"/>
      <c r="R83" s="508" t="s"/>
      <c r="S83" s="508" t="s"/>
      <c r="T83" s="508" t="s"/>
      <c r="U83" s="508" t="s"/>
      <c r="V83" s="508" t="s"/>
      <c r="W83" s="508" t="s"/>
      <c r="X83" s="508" t="s"/>
      <c r="Y83" s="508" t="s"/>
    </row>
    <row r="84" spans="1:25">
      <c r="A84" s="680" t="s"/>
      <c r="B84" s="837" t="s"/>
      <c r="C84" s="837" t="s"/>
      <c r="D84" s="838" t="s"/>
      <c r="E84" s="837" t="s"/>
      <c r="F84" s="839" t="s"/>
      <c r="G84" s="839" t="s"/>
      <c r="H84" s="837" t="s"/>
      <c r="I84" s="508" t="s"/>
      <c r="J84" s="508" t="s"/>
      <c r="K84" s="508" t="s"/>
      <c r="L84" s="508" t="s"/>
      <c r="M84" s="508" t="s"/>
      <c r="N84" s="508" t="s"/>
      <c r="O84" s="508" t="s"/>
      <c r="P84" s="508" t="s"/>
      <c r="Q84" s="508" t="s"/>
      <c r="R84" s="508" t="s"/>
      <c r="S84" s="508" t="s"/>
      <c r="T84" s="508" t="s"/>
      <c r="U84" s="508" t="s"/>
      <c r="V84" s="508" t="s"/>
      <c r="W84" s="508" t="s"/>
      <c r="X84" s="508" t="s"/>
      <c r="Y84" s="508" t="s"/>
    </row>
    <row r="85" spans="1:25">
      <c r="A85" s="680" t="s"/>
      <c r="B85" s="837" t="s"/>
      <c r="C85" s="837" t="s"/>
      <c r="D85" s="838" t="s"/>
      <c r="E85" s="837" t="s"/>
      <c r="F85" s="839" t="s"/>
      <c r="G85" s="839" t="s"/>
      <c r="H85" s="837" t="s"/>
      <c r="I85" s="508" t="s"/>
      <c r="J85" s="508" t="s"/>
      <c r="K85" s="508" t="s"/>
      <c r="L85" s="508" t="s"/>
      <c r="M85" s="508" t="s"/>
      <c r="N85" s="508" t="s"/>
      <c r="O85" s="508" t="s"/>
      <c r="P85" s="508" t="s"/>
      <c r="Q85" s="508" t="s"/>
      <c r="R85" s="508" t="s"/>
      <c r="S85" s="508" t="s"/>
      <c r="T85" s="508" t="s"/>
      <c r="U85" s="508" t="s"/>
      <c r="V85" s="508" t="s"/>
      <c r="W85" s="508" t="s"/>
      <c r="X85" s="508" t="s"/>
      <c r="Y85" s="508" t="s"/>
    </row>
    <row r="86" spans="1:25">
      <c r="A86" s="680" t="s"/>
      <c r="B86" s="837" t="s"/>
      <c r="C86" s="837" t="s"/>
      <c r="D86" s="838" t="s"/>
      <c r="E86" s="837" t="s"/>
      <c r="F86" s="839" t="s"/>
      <c r="G86" s="839" t="s"/>
      <c r="H86" s="837" t="s"/>
      <c r="I86" s="508" t="s"/>
      <c r="J86" s="508" t="s"/>
      <c r="K86" s="508" t="s"/>
      <c r="L86" s="508" t="s"/>
      <c r="M86" s="508" t="s"/>
      <c r="N86" s="508" t="s"/>
      <c r="O86" s="508" t="s"/>
      <c r="P86" s="508" t="s"/>
      <c r="Q86" s="508" t="s"/>
      <c r="R86" s="508" t="s"/>
      <c r="S86" s="508" t="s"/>
      <c r="T86" s="508" t="s"/>
      <c r="U86" s="508" t="s"/>
      <c r="V86" s="508" t="s"/>
      <c r="W86" s="508" t="s"/>
      <c r="X86" s="508" t="s"/>
      <c r="Y86" s="508" t="s"/>
    </row>
    <row r="87" spans="1:25">
      <c r="A87" s="680" t="s"/>
      <c r="B87" s="837" t="s"/>
      <c r="C87" s="837" t="s"/>
      <c r="D87" s="838" t="s"/>
      <c r="E87" s="837" t="s"/>
      <c r="F87" s="839" t="s"/>
      <c r="G87" s="839" t="s"/>
      <c r="H87" s="837" t="s"/>
      <c r="I87" s="508" t="s"/>
      <c r="J87" s="508" t="s"/>
      <c r="K87" s="508" t="s"/>
      <c r="L87" s="508" t="s"/>
      <c r="M87" s="508" t="s"/>
      <c r="N87" s="508" t="s"/>
      <c r="O87" s="508" t="s"/>
      <c r="P87" s="508" t="s"/>
      <c r="Q87" s="508" t="s"/>
      <c r="R87" s="508" t="s"/>
      <c r="S87" s="508" t="s"/>
      <c r="T87" s="508" t="s"/>
      <c r="U87" s="508" t="s"/>
      <c r="V87" s="508" t="s"/>
      <c r="W87" s="508" t="s"/>
      <c r="X87" s="508" t="s"/>
      <c r="Y87" s="508" t="s"/>
    </row>
    <row r="88" spans="1:25">
      <c r="A88" s="680" t="s"/>
      <c r="B88" s="837" t="s"/>
      <c r="C88" s="837" t="s"/>
      <c r="D88" s="838" t="s"/>
      <c r="E88" s="837" t="s"/>
      <c r="F88" s="839" t="s"/>
      <c r="G88" s="839" t="s"/>
      <c r="H88" s="837" t="s"/>
      <c r="I88" s="508" t="s"/>
      <c r="J88" s="508" t="s"/>
      <c r="K88" s="508" t="s"/>
      <c r="L88" s="508" t="s"/>
      <c r="M88" s="508" t="s"/>
      <c r="N88" s="508" t="s"/>
      <c r="O88" s="508" t="s"/>
      <c r="P88" s="508" t="s"/>
      <c r="Q88" s="508" t="s"/>
      <c r="R88" s="508" t="s"/>
      <c r="S88" s="508" t="s"/>
      <c r="T88" s="508" t="s"/>
      <c r="U88" s="508" t="s"/>
      <c r="V88" s="508" t="s"/>
      <c r="W88" s="508" t="s"/>
      <c r="X88" s="508" t="s"/>
      <c r="Y88" s="508" t="s"/>
    </row>
    <row r="89" spans="1:25">
      <c r="A89" s="680" t="s"/>
      <c r="B89" s="837" t="s"/>
      <c r="C89" s="837" t="s"/>
      <c r="D89" s="838" t="s"/>
      <c r="E89" s="837" t="s"/>
      <c r="F89" s="839" t="s"/>
      <c r="G89" s="839" t="s"/>
      <c r="H89" s="837" t="s"/>
      <c r="I89" s="508" t="s"/>
      <c r="J89" s="508" t="s"/>
      <c r="K89" s="508" t="s"/>
      <c r="L89" s="508" t="s"/>
      <c r="M89" s="508" t="s"/>
      <c r="N89" s="508" t="s"/>
      <c r="O89" s="508" t="s"/>
      <c r="P89" s="508" t="s"/>
      <c r="Q89" s="508" t="s"/>
      <c r="R89" s="508" t="s"/>
      <c r="S89" s="508" t="s"/>
      <c r="T89" s="508" t="s"/>
      <c r="U89" s="508" t="s"/>
      <c r="V89" s="508" t="s"/>
      <c r="W89" s="508" t="s"/>
      <c r="X89" s="508" t="s"/>
      <c r="Y89" s="508" t="s"/>
    </row>
    <row r="90" spans="1:25">
      <c r="A90" s="680" t="s"/>
      <c r="B90" s="837" t="s"/>
      <c r="C90" s="837" t="s"/>
      <c r="D90" s="838" t="s"/>
      <c r="E90" s="837" t="s"/>
      <c r="F90" s="839" t="s"/>
      <c r="G90" s="839" t="s"/>
      <c r="H90" s="837" t="s"/>
      <c r="I90" s="508" t="s"/>
      <c r="J90" s="508" t="s"/>
      <c r="K90" s="508" t="s"/>
      <c r="L90" s="508" t="s"/>
      <c r="M90" s="508" t="s"/>
      <c r="N90" s="508" t="s"/>
      <c r="O90" s="508" t="s"/>
      <c r="P90" s="508" t="s"/>
      <c r="Q90" s="508" t="s"/>
      <c r="R90" s="508" t="s"/>
      <c r="S90" s="508" t="s"/>
      <c r="T90" s="508" t="s"/>
      <c r="U90" s="508" t="s"/>
      <c r="V90" s="508" t="s"/>
      <c r="W90" s="508" t="s"/>
      <c r="X90" s="508" t="s"/>
      <c r="Y90" s="508" t="s"/>
    </row>
    <row r="91" spans="1:25">
      <c r="A91" s="680" t="s"/>
      <c r="B91" s="837" t="s"/>
      <c r="C91" s="837" t="s"/>
      <c r="D91" s="838" t="s"/>
      <c r="E91" s="837" t="s"/>
      <c r="F91" s="839" t="s"/>
      <c r="G91" s="839" t="s"/>
      <c r="H91" s="837" t="s"/>
      <c r="I91" s="508" t="s"/>
      <c r="J91" s="508" t="s"/>
      <c r="K91" s="508" t="s"/>
      <c r="L91" s="508" t="s"/>
      <c r="M91" s="508" t="s"/>
      <c r="N91" s="508" t="s"/>
      <c r="O91" s="508" t="s"/>
      <c r="P91" s="508" t="s"/>
      <c r="Q91" s="508" t="s"/>
      <c r="R91" s="508" t="s"/>
      <c r="S91" s="508" t="s"/>
      <c r="T91" s="508" t="s"/>
      <c r="U91" s="508" t="s"/>
      <c r="V91" s="508" t="s"/>
      <c r="W91" s="508" t="s"/>
      <c r="X91" s="508" t="s"/>
      <c r="Y91" s="508" t="s"/>
    </row>
    <row r="92" spans="1:25">
      <c r="A92" s="680" t="s"/>
      <c r="B92" s="837" t="s"/>
      <c r="C92" s="837" t="s"/>
      <c r="D92" s="838" t="s"/>
      <c r="E92" s="837" t="s"/>
      <c r="F92" s="839" t="s"/>
      <c r="G92" s="839" t="s"/>
      <c r="H92" s="837" t="s"/>
      <c r="I92" s="508" t="s"/>
      <c r="J92" s="508" t="s"/>
      <c r="K92" s="508" t="s"/>
      <c r="L92" s="508" t="s"/>
      <c r="M92" s="508" t="s"/>
      <c r="N92" s="508" t="s"/>
      <c r="O92" s="508" t="s"/>
      <c r="P92" s="508" t="s"/>
      <c r="Q92" s="508" t="s"/>
      <c r="R92" s="508" t="s"/>
      <c r="S92" s="508" t="s"/>
      <c r="T92" s="508" t="s"/>
      <c r="U92" s="508" t="s"/>
      <c r="V92" s="508" t="s"/>
      <c r="W92" s="508" t="s"/>
      <c r="X92" s="508" t="s"/>
      <c r="Y92" s="508" t="s"/>
    </row>
    <row r="93" spans="1:25">
      <c r="A93" s="680" t="s"/>
      <c r="B93" s="837" t="s"/>
      <c r="C93" s="837" t="s"/>
      <c r="D93" s="838" t="s"/>
      <c r="E93" s="837" t="s"/>
      <c r="F93" s="839" t="s"/>
      <c r="G93" s="839" t="s"/>
      <c r="H93" s="837" t="s"/>
      <c r="I93" s="508" t="s"/>
      <c r="J93" s="508" t="s"/>
      <c r="K93" s="508" t="s"/>
      <c r="L93" s="508" t="s"/>
      <c r="M93" s="508" t="s"/>
      <c r="N93" s="508" t="s"/>
      <c r="O93" s="508" t="s"/>
      <c r="P93" s="508" t="s"/>
      <c r="Q93" s="508" t="s"/>
      <c r="R93" s="508" t="s"/>
      <c r="S93" s="508" t="s"/>
      <c r="T93" s="508" t="s"/>
      <c r="U93" s="508" t="s"/>
      <c r="V93" s="508" t="s"/>
      <c r="W93" s="508" t="s"/>
      <c r="X93" s="508" t="s"/>
      <c r="Y93" s="508" t="s"/>
    </row>
    <row r="94" spans="1:25">
      <c r="A94" s="680" t="s"/>
      <c r="B94" s="837" t="s"/>
      <c r="C94" s="837" t="s"/>
      <c r="D94" s="838" t="s"/>
      <c r="E94" s="837" t="s"/>
      <c r="F94" s="839" t="s"/>
      <c r="G94" s="839" t="s"/>
      <c r="H94" s="837" t="s"/>
      <c r="I94" s="508" t="s"/>
      <c r="J94" s="508" t="s"/>
      <c r="K94" s="508" t="s"/>
      <c r="L94" s="508" t="s"/>
      <c r="M94" s="508" t="s"/>
      <c r="N94" s="508" t="s"/>
      <c r="O94" s="508" t="s"/>
      <c r="P94" s="508" t="s"/>
      <c r="Q94" s="508" t="s"/>
      <c r="R94" s="508" t="s"/>
      <c r="S94" s="508" t="s"/>
      <c r="T94" s="508" t="s"/>
      <c r="U94" s="508" t="s"/>
      <c r="V94" s="508" t="s"/>
      <c r="W94" s="508" t="s"/>
      <c r="X94" s="508" t="s"/>
      <c r="Y94" s="508" t="s"/>
    </row>
    <row r="95" spans="1:25">
      <c r="A95" s="680" t="s"/>
      <c r="B95" s="837" t="s"/>
      <c r="C95" s="837" t="s"/>
      <c r="D95" s="838" t="s"/>
      <c r="E95" s="837" t="s"/>
      <c r="F95" s="839" t="s"/>
      <c r="G95" s="839" t="s"/>
      <c r="H95" s="837" t="s"/>
      <c r="I95" s="508" t="s"/>
      <c r="J95" s="508" t="s"/>
      <c r="K95" s="508" t="s"/>
      <c r="L95" s="508" t="s"/>
      <c r="M95" s="508" t="s"/>
      <c r="N95" s="508" t="s"/>
      <c r="O95" s="508" t="s"/>
      <c r="P95" s="508" t="s"/>
      <c r="Q95" s="508" t="s"/>
      <c r="R95" s="508" t="s"/>
      <c r="S95" s="508" t="s"/>
      <c r="T95" s="508" t="s"/>
      <c r="U95" s="508" t="s"/>
      <c r="V95" s="508" t="s"/>
      <c r="W95" s="508" t="s"/>
      <c r="X95" s="508" t="s"/>
      <c r="Y95" s="508" t="s"/>
    </row>
    <row r="96" spans="1:25">
      <c r="A96" s="680" t="s"/>
      <c r="B96" s="837" t="s"/>
      <c r="C96" s="837" t="s"/>
      <c r="D96" s="838" t="s"/>
      <c r="E96" s="837" t="s"/>
      <c r="F96" s="839" t="s"/>
      <c r="G96" s="839" t="s"/>
      <c r="H96" s="837" t="s"/>
      <c r="I96" s="508" t="s"/>
      <c r="J96" s="508" t="s"/>
      <c r="K96" s="508" t="s"/>
      <c r="L96" s="508" t="s"/>
      <c r="M96" s="508" t="s"/>
      <c r="N96" s="508" t="s"/>
      <c r="O96" s="508" t="s"/>
      <c r="P96" s="508" t="s"/>
      <c r="Q96" s="508" t="s"/>
      <c r="R96" s="508" t="s"/>
      <c r="S96" s="508" t="s"/>
      <c r="T96" s="508" t="s"/>
      <c r="U96" s="508" t="s"/>
      <c r="V96" s="508" t="s"/>
      <c r="W96" s="508" t="s"/>
      <c r="X96" s="508" t="s"/>
      <c r="Y96" s="508" t="s"/>
    </row>
    <row r="97" spans="1:25">
      <c r="A97" s="680" t="s"/>
      <c r="B97" s="837" t="s"/>
      <c r="C97" s="837" t="s"/>
      <c r="D97" s="838" t="s"/>
      <c r="E97" s="837" t="s"/>
      <c r="F97" s="839" t="s"/>
      <c r="G97" s="839" t="s"/>
      <c r="H97" s="837" t="s"/>
      <c r="I97" s="508" t="s"/>
      <c r="J97" s="508" t="s"/>
      <c r="K97" s="508" t="s"/>
      <c r="L97" s="508" t="s"/>
      <c r="M97" s="508" t="s"/>
      <c r="N97" s="508" t="s"/>
      <c r="O97" s="508" t="s"/>
      <c r="P97" s="508" t="s"/>
      <c r="Q97" s="508" t="s"/>
      <c r="R97" s="508" t="s"/>
      <c r="S97" s="508" t="s"/>
      <c r="T97" s="508" t="s"/>
      <c r="U97" s="508" t="s"/>
      <c r="V97" s="508" t="s"/>
      <c r="W97" s="508" t="s"/>
      <c r="X97" s="508" t="s"/>
      <c r="Y97" s="508" t="s"/>
    </row>
    <row r="98" spans="1:25">
      <c r="A98" s="680" t="s"/>
      <c r="B98" s="837" t="s"/>
      <c r="C98" s="837" t="s"/>
      <c r="D98" s="838" t="s"/>
      <c r="E98" s="837" t="s"/>
      <c r="F98" s="839" t="s"/>
      <c r="G98" s="839" t="s"/>
      <c r="H98" s="837" t="s"/>
      <c r="I98" s="508" t="s"/>
      <c r="J98" s="508" t="s"/>
      <c r="K98" s="508" t="s"/>
      <c r="L98" s="508" t="s"/>
      <c r="M98" s="508" t="s"/>
      <c r="N98" s="508" t="s"/>
      <c r="O98" s="508" t="s"/>
      <c r="P98" s="508" t="s"/>
      <c r="Q98" s="508" t="s"/>
      <c r="R98" s="508" t="s"/>
      <c r="S98" s="508" t="s"/>
      <c r="T98" s="508" t="s"/>
      <c r="U98" s="508" t="s"/>
      <c r="V98" s="508" t="s"/>
      <c r="W98" s="508" t="s"/>
      <c r="X98" s="508" t="s"/>
      <c r="Y98" s="508" t="s"/>
    </row>
    <row r="99" spans="1:25">
      <c r="A99" s="680" t="s"/>
      <c r="B99" s="837" t="s"/>
      <c r="C99" s="837" t="s"/>
      <c r="D99" s="838" t="s"/>
      <c r="E99" s="837" t="s"/>
      <c r="F99" s="839" t="s"/>
      <c r="G99" s="839" t="s"/>
      <c r="H99" s="837" t="s"/>
      <c r="I99" s="508" t="s"/>
      <c r="J99" s="508" t="s"/>
      <c r="K99" s="508" t="s"/>
      <c r="L99" s="508" t="s"/>
      <c r="M99" s="508" t="s"/>
      <c r="N99" s="508" t="s"/>
      <c r="O99" s="508" t="s"/>
      <c r="P99" s="508" t="s"/>
      <c r="Q99" s="508" t="s"/>
      <c r="R99" s="508" t="s"/>
      <c r="S99" s="508" t="s"/>
      <c r="T99" s="508" t="s"/>
      <c r="U99" s="508" t="s"/>
      <c r="V99" s="508" t="s"/>
      <c r="W99" s="508" t="s"/>
      <c r="X99" s="508" t="s"/>
      <c r="Y99" s="508" t="s"/>
    </row>
    <row r="100" spans="1:25">
      <c r="A100" s="680" t="s"/>
      <c r="B100" s="837" t="s"/>
      <c r="C100" s="837" t="s"/>
      <c r="D100" s="838" t="s"/>
      <c r="E100" s="837" t="s"/>
      <c r="F100" s="839" t="s"/>
      <c r="G100" s="839" t="s"/>
      <c r="H100" s="837" t="s"/>
      <c r="I100" s="508" t="s"/>
      <c r="J100" s="508" t="s"/>
      <c r="K100" s="508" t="s"/>
      <c r="L100" s="508" t="s"/>
      <c r="M100" s="508" t="s"/>
      <c r="N100" s="508" t="s"/>
      <c r="O100" s="508" t="s"/>
      <c r="P100" s="508" t="s"/>
      <c r="Q100" s="508" t="s"/>
      <c r="R100" s="508" t="s"/>
      <c r="S100" s="508" t="s"/>
      <c r="T100" s="508" t="s"/>
      <c r="U100" s="508" t="s"/>
      <c r="V100" s="508" t="s"/>
      <c r="W100" s="508" t="s"/>
      <c r="X100" s="508" t="s"/>
      <c r="Y100" s="508" t="s"/>
    </row>
    <row r="101" spans="1:25">
      <c r="A101" s="680" t="s"/>
      <c r="B101" s="837" t="s"/>
      <c r="C101" s="837" t="s"/>
      <c r="D101" s="838" t="s"/>
      <c r="E101" s="837" t="s"/>
      <c r="F101" s="839" t="s"/>
      <c r="G101" s="839" t="s"/>
      <c r="H101" s="837" t="s"/>
      <c r="I101" s="508" t="s"/>
      <c r="J101" s="508" t="s"/>
      <c r="K101" s="508" t="s"/>
      <c r="L101" s="508" t="s"/>
      <c r="M101" s="508" t="s"/>
      <c r="N101" s="508" t="s"/>
      <c r="O101" s="508" t="s"/>
      <c r="P101" s="508" t="s"/>
      <c r="Q101" s="508" t="s"/>
      <c r="R101" s="508" t="s"/>
      <c r="S101" s="508" t="s"/>
      <c r="T101" s="508" t="s"/>
      <c r="U101" s="508" t="s"/>
      <c r="V101" s="508" t="s"/>
      <c r="W101" s="508" t="s"/>
      <c r="X101" s="508" t="s"/>
      <c r="Y101" s="508" t="s"/>
    </row>
    <row r="102" spans="1:25">
      <c r="A102" s="680" t="s"/>
      <c r="B102" s="837" t="s"/>
      <c r="C102" s="837" t="s"/>
      <c r="D102" s="838" t="s"/>
      <c r="E102" s="837" t="s"/>
      <c r="F102" s="839" t="s"/>
      <c r="G102" s="839" t="s"/>
      <c r="H102" s="837" t="s"/>
      <c r="I102" s="508" t="s"/>
      <c r="J102" s="508" t="s"/>
      <c r="K102" s="508" t="s"/>
      <c r="L102" s="508" t="s"/>
      <c r="M102" s="508" t="s"/>
      <c r="N102" s="508" t="s"/>
      <c r="O102" s="508" t="s"/>
      <c r="P102" s="508" t="s"/>
      <c r="Q102" s="508" t="s"/>
      <c r="R102" s="508" t="s"/>
      <c r="S102" s="508" t="s"/>
      <c r="T102" s="508" t="s"/>
      <c r="U102" s="508" t="s"/>
      <c r="V102" s="508" t="s"/>
      <c r="W102" s="508" t="s"/>
      <c r="X102" s="508" t="s"/>
      <c r="Y102" s="508" t="s"/>
    </row>
    <row r="103" spans="1:25">
      <c r="A103" s="680" t="s"/>
      <c r="B103" s="837" t="s"/>
      <c r="C103" s="837" t="s"/>
      <c r="D103" s="838" t="s"/>
      <c r="E103" s="837" t="s"/>
      <c r="F103" s="839" t="s"/>
      <c r="G103" s="839" t="s"/>
      <c r="H103" s="837" t="s"/>
      <c r="I103" s="508" t="s"/>
      <c r="J103" s="508" t="s"/>
      <c r="K103" s="508" t="s"/>
      <c r="L103" s="508" t="s"/>
      <c r="M103" s="508" t="s"/>
      <c r="N103" s="508" t="s"/>
      <c r="O103" s="508" t="s"/>
      <c r="P103" s="508" t="s"/>
      <c r="Q103" s="508" t="s"/>
      <c r="R103" s="508" t="s"/>
      <c r="S103" s="508" t="s"/>
      <c r="T103" s="508" t="s"/>
      <c r="U103" s="508" t="s"/>
      <c r="V103" s="508" t="s"/>
      <c r="W103" s="508" t="s"/>
      <c r="X103" s="508" t="s"/>
      <c r="Y103" s="508" t="s"/>
    </row>
    <row r="104" spans="1:25">
      <c r="A104" s="680" t="s"/>
      <c r="B104" s="837" t="s"/>
      <c r="C104" s="837" t="s"/>
      <c r="D104" s="838" t="s"/>
      <c r="E104" s="837" t="s"/>
      <c r="F104" s="839" t="s"/>
      <c r="G104" s="839" t="s"/>
      <c r="H104" s="837" t="s"/>
      <c r="I104" s="508" t="s"/>
      <c r="J104" s="508" t="s"/>
      <c r="K104" s="508" t="s"/>
      <c r="L104" s="508" t="s"/>
      <c r="M104" s="508" t="s"/>
      <c r="N104" s="508" t="s"/>
      <c r="O104" s="508" t="s"/>
      <c r="P104" s="508" t="s"/>
      <c r="Q104" s="508" t="s"/>
      <c r="R104" s="508" t="s"/>
      <c r="S104" s="508" t="s"/>
      <c r="T104" s="508" t="s"/>
      <c r="U104" s="508" t="s"/>
      <c r="V104" s="508" t="s"/>
      <c r="W104" s="508" t="s"/>
      <c r="X104" s="508" t="s"/>
      <c r="Y104" s="508" t="s"/>
    </row>
    <row r="105" spans="1:25">
      <c r="A105" s="680" t="s"/>
      <c r="B105" s="837" t="s"/>
      <c r="C105" s="837" t="s"/>
      <c r="D105" s="838" t="s"/>
      <c r="E105" s="837" t="s"/>
      <c r="F105" s="839" t="s"/>
      <c r="G105" s="839" t="s"/>
      <c r="H105" s="837" t="s"/>
      <c r="I105" s="508" t="s"/>
      <c r="J105" s="508" t="s"/>
      <c r="K105" s="508" t="s"/>
      <c r="L105" s="508" t="s"/>
      <c r="M105" s="508" t="s"/>
      <c r="N105" s="508" t="s"/>
      <c r="O105" s="508" t="s"/>
      <c r="P105" s="508" t="s"/>
      <c r="Q105" s="508" t="s"/>
      <c r="R105" s="508" t="s"/>
      <c r="S105" s="508" t="s"/>
      <c r="T105" s="508" t="s"/>
      <c r="U105" s="508" t="s"/>
      <c r="V105" s="508" t="s"/>
      <c r="W105" s="508" t="s"/>
      <c r="X105" s="508" t="s"/>
      <c r="Y105" s="508" t="s"/>
    </row>
    <row r="106" spans="1:25">
      <c r="A106" s="680" t="s"/>
      <c r="B106" s="837" t="s"/>
      <c r="C106" s="837" t="s"/>
      <c r="D106" s="838" t="s"/>
      <c r="E106" s="837" t="s"/>
      <c r="F106" s="839" t="s"/>
      <c r="G106" s="839" t="s"/>
      <c r="H106" s="837" t="s"/>
      <c r="I106" s="508" t="s"/>
      <c r="J106" s="508" t="s"/>
      <c r="K106" s="508" t="s"/>
      <c r="L106" s="508" t="s"/>
      <c r="M106" s="508" t="s"/>
      <c r="N106" s="508" t="s"/>
      <c r="O106" s="508" t="s"/>
      <c r="P106" s="508" t="s"/>
      <c r="Q106" s="508" t="s"/>
      <c r="R106" s="508" t="s"/>
      <c r="S106" s="508" t="s"/>
      <c r="T106" s="508" t="s"/>
      <c r="U106" s="508" t="s"/>
      <c r="V106" s="508" t="s"/>
      <c r="W106" s="508" t="s"/>
      <c r="X106" s="508" t="s"/>
      <c r="Y106" s="508" t="s"/>
    </row>
    <row r="107" spans="1:25">
      <c r="A107" s="680" t="s"/>
      <c r="B107" s="837" t="s"/>
      <c r="C107" s="837" t="s"/>
      <c r="D107" s="838" t="s"/>
      <c r="E107" s="837" t="s"/>
      <c r="F107" s="839" t="s"/>
      <c r="G107" s="839" t="s"/>
      <c r="H107" s="837" t="s"/>
      <c r="I107" s="508" t="s"/>
      <c r="J107" s="508" t="s"/>
      <c r="K107" s="508" t="s"/>
      <c r="L107" s="508" t="s"/>
      <c r="M107" s="508" t="s"/>
      <c r="N107" s="508" t="s"/>
      <c r="O107" s="508" t="s"/>
      <c r="P107" s="508" t="s"/>
      <c r="Q107" s="508" t="s"/>
      <c r="R107" s="508" t="s"/>
      <c r="S107" s="508" t="s"/>
      <c r="T107" s="508" t="s"/>
      <c r="U107" s="508" t="s"/>
      <c r="V107" s="508" t="s"/>
      <c r="W107" s="508" t="s"/>
      <c r="X107" s="508" t="s"/>
      <c r="Y107" s="508" t="s"/>
    </row>
    <row r="108" spans="1:25">
      <c r="A108" s="680" t="s"/>
      <c r="B108" s="837" t="s"/>
      <c r="C108" s="837" t="s"/>
      <c r="D108" s="838" t="s"/>
      <c r="E108" s="837" t="s"/>
      <c r="F108" s="839" t="s"/>
      <c r="G108" s="839" t="s"/>
      <c r="H108" s="837" t="s"/>
      <c r="I108" s="508" t="s"/>
      <c r="J108" s="508" t="s"/>
      <c r="K108" s="508" t="s"/>
      <c r="L108" s="508" t="s"/>
      <c r="M108" s="508" t="s"/>
      <c r="N108" s="508" t="s"/>
      <c r="O108" s="508" t="s"/>
      <c r="P108" s="508" t="s"/>
      <c r="Q108" s="508" t="s"/>
      <c r="R108" s="508" t="s"/>
      <c r="S108" s="508" t="s"/>
      <c r="T108" s="508" t="s"/>
      <c r="U108" s="508" t="s"/>
      <c r="V108" s="508" t="s"/>
      <c r="W108" s="508" t="s"/>
      <c r="X108" s="508" t="s"/>
      <c r="Y108" s="508" t="s"/>
    </row>
    <row r="109" spans="1:25">
      <c r="A109" s="680" t="s"/>
      <c r="B109" s="837" t="s"/>
      <c r="C109" s="837" t="s"/>
      <c r="D109" s="838" t="s"/>
      <c r="E109" s="837" t="s"/>
      <c r="F109" s="839" t="s"/>
      <c r="G109" s="839" t="s"/>
      <c r="H109" s="837" t="s"/>
      <c r="I109" s="508" t="s"/>
      <c r="J109" s="508" t="s"/>
      <c r="K109" s="508" t="s"/>
      <c r="L109" s="508" t="s"/>
      <c r="M109" s="508" t="s"/>
      <c r="N109" s="508" t="s"/>
      <c r="O109" s="508" t="s"/>
      <c r="P109" s="508" t="s"/>
      <c r="Q109" s="508" t="s"/>
      <c r="R109" s="508" t="s"/>
      <c r="S109" s="508" t="s"/>
      <c r="T109" s="508" t="s"/>
      <c r="U109" s="508" t="s"/>
      <c r="V109" s="508" t="s"/>
      <c r="W109" s="508" t="s"/>
      <c r="X109" s="508" t="s"/>
      <c r="Y109" s="508" t="s"/>
    </row>
    <row r="110" spans="1:25">
      <c r="A110" s="680" t="s"/>
      <c r="B110" s="837" t="s"/>
      <c r="C110" s="837" t="s"/>
      <c r="D110" s="838" t="s"/>
      <c r="E110" s="837" t="s"/>
      <c r="F110" s="839" t="s"/>
      <c r="G110" s="839" t="s"/>
      <c r="H110" s="837" t="s"/>
      <c r="I110" s="508" t="s"/>
      <c r="J110" s="508" t="s"/>
      <c r="K110" s="508" t="s"/>
      <c r="L110" s="508" t="s"/>
      <c r="M110" s="508" t="s"/>
      <c r="N110" s="508" t="s"/>
      <c r="O110" s="508" t="s"/>
      <c r="P110" s="508" t="s"/>
      <c r="Q110" s="508" t="s"/>
      <c r="R110" s="508" t="s"/>
      <c r="S110" s="508" t="s"/>
      <c r="T110" s="508" t="s"/>
      <c r="U110" s="508" t="s"/>
      <c r="V110" s="508" t="s"/>
      <c r="W110" s="508" t="s"/>
      <c r="X110" s="508" t="s"/>
      <c r="Y110" s="508" t="s"/>
    </row>
    <row r="111" spans="1:25">
      <c r="A111" s="680" t="s"/>
      <c r="B111" s="837" t="s"/>
      <c r="C111" s="837" t="s"/>
      <c r="D111" s="838" t="s"/>
      <c r="E111" s="837" t="s"/>
      <c r="F111" s="839" t="s"/>
      <c r="G111" s="839" t="s"/>
      <c r="H111" s="837" t="s"/>
      <c r="I111" s="508" t="s"/>
      <c r="J111" s="508" t="s"/>
      <c r="K111" s="508" t="s"/>
      <c r="L111" s="508" t="s"/>
      <c r="M111" s="508" t="s"/>
      <c r="N111" s="508" t="s"/>
      <c r="O111" s="508" t="s"/>
      <c r="P111" s="508" t="s"/>
      <c r="Q111" s="508" t="s"/>
      <c r="R111" s="508" t="s"/>
      <c r="S111" s="508" t="s"/>
      <c r="T111" s="508" t="s"/>
      <c r="U111" s="508" t="s"/>
      <c r="V111" s="508" t="s"/>
      <c r="W111" s="508" t="s"/>
      <c r="X111" s="508" t="s"/>
      <c r="Y111" s="508" t="s"/>
    </row>
    <row r="112" spans="1:25">
      <c r="A112" s="680" t="s"/>
      <c r="B112" s="837" t="s"/>
      <c r="C112" s="837" t="s"/>
      <c r="D112" s="838" t="s"/>
      <c r="E112" s="837" t="s"/>
      <c r="F112" s="839" t="s"/>
      <c r="G112" s="839" t="s"/>
      <c r="H112" s="837" t="s"/>
      <c r="I112" s="508" t="s"/>
      <c r="J112" s="508" t="s"/>
      <c r="K112" s="508" t="s"/>
      <c r="L112" s="508" t="s"/>
      <c r="M112" s="508" t="s"/>
      <c r="N112" s="508" t="s"/>
      <c r="O112" s="508" t="s"/>
      <c r="P112" s="508" t="s"/>
      <c r="Q112" s="508" t="s"/>
      <c r="R112" s="508" t="s"/>
      <c r="S112" s="508" t="s"/>
      <c r="T112" s="508" t="s"/>
      <c r="U112" s="508" t="s"/>
      <c r="V112" s="508" t="s"/>
      <c r="W112" s="508" t="s"/>
      <c r="X112" s="508" t="s"/>
      <c r="Y112" s="508" t="s"/>
    </row>
    <row r="113" spans="1:25">
      <c r="A113" s="680" t="s"/>
      <c r="B113" s="837" t="s"/>
      <c r="C113" s="837" t="s"/>
      <c r="D113" s="838" t="s"/>
      <c r="E113" s="837" t="s"/>
      <c r="F113" s="839" t="s"/>
      <c r="G113" s="839" t="s"/>
      <c r="H113" s="837" t="s"/>
      <c r="I113" s="508" t="s"/>
      <c r="J113" s="508" t="s"/>
      <c r="K113" s="508" t="s"/>
      <c r="L113" s="508" t="s"/>
      <c r="M113" s="508" t="s"/>
      <c r="N113" s="508" t="s"/>
      <c r="O113" s="508" t="s"/>
      <c r="P113" s="508" t="s"/>
      <c r="Q113" s="508" t="s"/>
      <c r="R113" s="508" t="s"/>
      <c r="S113" s="508" t="s"/>
      <c r="T113" s="508" t="s"/>
      <c r="U113" s="508" t="s"/>
      <c r="V113" s="508" t="s"/>
      <c r="W113" s="508" t="s"/>
      <c r="X113" s="508" t="s"/>
      <c r="Y113" s="508" t="s"/>
    </row>
    <row r="114" spans="1:25">
      <c r="A114" s="680" t="s"/>
      <c r="B114" s="837" t="s"/>
      <c r="C114" s="837" t="s"/>
      <c r="D114" s="838" t="s"/>
      <c r="E114" s="837" t="s"/>
      <c r="F114" s="839" t="s"/>
      <c r="G114" s="839" t="s"/>
      <c r="H114" s="837" t="s"/>
      <c r="I114" s="508" t="s"/>
      <c r="J114" s="508" t="s"/>
      <c r="K114" s="508" t="s"/>
      <c r="L114" s="508" t="s"/>
      <c r="M114" s="508" t="s"/>
      <c r="N114" s="508" t="s"/>
      <c r="O114" s="508" t="s"/>
      <c r="P114" s="508" t="s"/>
      <c r="Q114" s="508" t="s"/>
      <c r="R114" s="508" t="s"/>
      <c r="S114" s="508" t="s"/>
      <c r="T114" s="508" t="s"/>
      <c r="U114" s="508" t="s"/>
      <c r="V114" s="508" t="s"/>
      <c r="W114" s="508" t="s"/>
      <c r="X114" s="508" t="s"/>
      <c r="Y114" s="508" t="s"/>
    </row>
    <row r="115" spans="1:25">
      <c r="A115" s="680" t="s"/>
      <c r="B115" s="837" t="s"/>
      <c r="C115" s="837" t="s"/>
      <c r="D115" s="838" t="s"/>
      <c r="E115" s="837" t="s"/>
      <c r="F115" s="839" t="s"/>
      <c r="G115" s="839" t="s"/>
      <c r="H115" s="837" t="s"/>
      <c r="I115" s="508" t="s"/>
      <c r="J115" s="508" t="s"/>
      <c r="K115" s="508" t="s"/>
      <c r="L115" s="508" t="s"/>
      <c r="M115" s="508" t="s"/>
      <c r="N115" s="508" t="s"/>
      <c r="O115" s="508" t="s"/>
      <c r="P115" s="508" t="s"/>
      <c r="Q115" s="508" t="s"/>
      <c r="R115" s="508" t="s"/>
      <c r="S115" s="508" t="s"/>
      <c r="T115" s="508" t="s"/>
      <c r="U115" s="508" t="s"/>
      <c r="V115" s="508" t="s"/>
      <c r="W115" s="508" t="s"/>
      <c r="X115" s="508" t="s"/>
      <c r="Y115" s="508" t="s"/>
    </row>
    <row r="116" spans="1:25">
      <c r="A116" s="680" t="s"/>
      <c r="B116" s="837" t="s"/>
      <c r="C116" s="837" t="s"/>
      <c r="D116" s="838" t="s"/>
      <c r="E116" s="837" t="s"/>
      <c r="F116" s="839" t="s"/>
      <c r="G116" s="839" t="s"/>
      <c r="H116" s="837" t="s"/>
      <c r="I116" s="508" t="s"/>
      <c r="J116" s="508" t="s"/>
      <c r="K116" s="508" t="s"/>
      <c r="L116" s="508" t="s"/>
      <c r="M116" s="508" t="s"/>
      <c r="N116" s="508" t="s"/>
      <c r="O116" s="508" t="s"/>
      <c r="P116" s="508" t="s"/>
      <c r="Q116" s="508" t="s"/>
      <c r="R116" s="508" t="s"/>
      <c r="S116" s="508" t="s"/>
      <c r="T116" s="508" t="s"/>
      <c r="U116" s="508" t="s"/>
      <c r="V116" s="508" t="s"/>
      <c r="W116" s="508" t="s"/>
      <c r="X116" s="508" t="s"/>
      <c r="Y116" s="508" t="s"/>
    </row>
    <row r="117" spans="1:25">
      <c r="A117" s="680" t="s"/>
      <c r="B117" s="837" t="s"/>
      <c r="C117" s="837" t="s"/>
      <c r="D117" s="838" t="s"/>
      <c r="E117" s="837" t="s"/>
      <c r="F117" s="839" t="s"/>
      <c r="G117" s="839" t="s"/>
      <c r="H117" s="837" t="s"/>
      <c r="I117" s="508" t="s"/>
      <c r="J117" s="508" t="s"/>
      <c r="K117" s="508" t="s"/>
      <c r="L117" s="508" t="s"/>
      <c r="M117" s="508" t="s"/>
      <c r="N117" s="508" t="s"/>
      <c r="O117" s="508" t="s"/>
      <c r="P117" s="508" t="s"/>
      <c r="Q117" s="508" t="s"/>
      <c r="R117" s="508" t="s"/>
      <c r="S117" s="508" t="s"/>
      <c r="T117" s="508" t="s"/>
      <c r="U117" s="508" t="s"/>
      <c r="V117" s="508" t="s"/>
      <c r="W117" s="508" t="s"/>
      <c r="X117" s="508" t="s"/>
      <c r="Y117" s="508" t="s"/>
    </row>
    <row r="118" spans="1:25">
      <c r="A118" s="680" t="s"/>
      <c r="B118" s="837" t="s"/>
      <c r="C118" s="837" t="s"/>
      <c r="D118" s="838" t="s"/>
      <c r="E118" s="837" t="s"/>
      <c r="F118" s="839" t="s"/>
      <c r="G118" s="839" t="s"/>
      <c r="H118" s="837" t="s"/>
      <c r="I118" s="508" t="s"/>
      <c r="J118" s="508" t="s"/>
      <c r="K118" s="508" t="s"/>
      <c r="L118" s="508" t="s"/>
      <c r="M118" s="508" t="s"/>
      <c r="N118" s="508" t="s"/>
      <c r="O118" s="508" t="s"/>
      <c r="P118" s="508" t="s"/>
      <c r="Q118" s="508" t="s"/>
      <c r="R118" s="508" t="s"/>
      <c r="S118" s="508" t="s"/>
      <c r="T118" s="508" t="s"/>
      <c r="U118" s="508" t="s"/>
      <c r="V118" s="508" t="s"/>
      <c r="W118" s="508" t="s"/>
      <c r="X118" s="508" t="s"/>
      <c r="Y118" s="508" t="s"/>
    </row>
    <row r="119" spans="1:25">
      <c r="A119" s="680" t="s"/>
      <c r="B119" s="837" t="s"/>
      <c r="C119" s="837" t="s"/>
      <c r="D119" s="838" t="s"/>
      <c r="E119" s="837" t="s"/>
      <c r="F119" s="839" t="s"/>
      <c r="G119" s="839" t="s"/>
      <c r="H119" s="837" t="s"/>
      <c r="I119" s="508" t="s"/>
      <c r="J119" s="508" t="s"/>
      <c r="K119" s="508" t="s"/>
      <c r="L119" s="508" t="s"/>
      <c r="M119" s="508" t="s"/>
      <c r="N119" s="508" t="s"/>
      <c r="O119" s="508" t="s"/>
      <c r="P119" s="508" t="s"/>
      <c r="Q119" s="508" t="s"/>
      <c r="R119" s="508" t="s"/>
      <c r="S119" s="508" t="s"/>
      <c r="T119" s="508" t="s"/>
      <c r="U119" s="508" t="s"/>
      <c r="V119" s="508" t="s"/>
      <c r="W119" s="508" t="s"/>
      <c r="X119" s="508" t="s"/>
      <c r="Y119" s="508" t="s"/>
    </row>
    <row r="120" spans="1:25">
      <c r="A120" s="680" t="s"/>
      <c r="B120" s="837" t="s"/>
      <c r="C120" s="837" t="s"/>
      <c r="D120" s="838" t="s"/>
      <c r="E120" s="837" t="s"/>
      <c r="F120" s="839" t="s"/>
      <c r="G120" s="839" t="s"/>
      <c r="H120" s="837" t="s"/>
      <c r="I120" s="508" t="s"/>
      <c r="J120" s="508" t="s"/>
      <c r="K120" s="508" t="s"/>
      <c r="L120" s="508" t="s"/>
      <c r="M120" s="508" t="s"/>
      <c r="N120" s="508" t="s"/>
      <c r="O120" s="508" t="s"/>
      <c r="P120" s="508" t="s"/>
      <c r="Q120" s="508" t="s"/>
      <c r="R120" s="508" t="s"/>
      <c r="S120" s="508" t="s"/>
      <c r="T120" s="508" t="s"/>
      <c r="U120" s="508" t="s"/>
      <c r="V120" s="508" t="s"/>
      <c r="W120" s="508" t="s"/>
      <c r="X120" s="508" t="s"/>
      <c r="Y120" s="508" t="s"/>
    </row>
    <row r="121" spans="1:25">
      <c r="A121" s="680" t="s"/>
      <c r="B121" s="837" t="s"/>
      <c r="C121" s="837" t="s"/>
      <c r="D121" s="838" t="s"/>
      <c r="E121" s="837" t="s"/>
      <c r="F121" s="839" t="s"/>
      <c r="G121" s="839" t="s"/>
      <c r="H121" s="837" t="s"/>
      <c r="I121" s="508" t="s"/>
      <c r="J121" s="508" t="s"/>
      <c r="K121" s="508" t="s"/>
      <c r="L121" s="508" t="s"/>
      <c r="M121" s="508" t="s"/>
      <c r="N121" s="508" t="s"/>
      <c r="O121" s="508" t="s"/>
      <c r="P121" s="508" t="s"/>
      <c r="Q121" s="508" t="s"/>
      <c r="R121" s="508" t="s"/>
      <c r="S121" s="508" t="s"/>
      <c r="T121" s="508" t="s"/>
      <c r="U121" s="508" t="s"/>
      <c r="V121" s="508" t="s"/>
      <c r="W121" s="508" t="s"/>
      <c r="X121" s="508" t="s"/>
      <c r="Y121" s="508" t="s"/>
    </row>
    <row r="122" spans="1:25">
      <c r="A122" s="680" t="s"/>
      <c r="B122" s="837" t="s"/>
      <c r="C122" s="837" t="s"/>
      <c r="D122" s="838" t="s"/>
      <c r="E122" s="837" t="s"/>
      <c r="F122" s="839" t="s"/>
      <c r="G122" s="839" t="s"/>
      <c r="H122" s="837" t="s"/>
      <c r="I122" s="508" t="s"/>
      <c r="J122" s="508" t="s"/>
      <c r="K122" s="508" t="s"/>
      <c r="L122" s="508" t="s"/>
      <c r="M122" s="508" t="s"/>
      <c r="N122" s="508" t="s"/>
      <c r="O122" s="508" t="s"/>
      <c r="P122" s="508" t="s"/>
      <c r="Q122" s="508" t="s"/>
      <c r="R122" s="508" t="s"/>
      <c r="S122" s="508" t="s"/>
      <c r="T122" s="508" t="s"/>
      <c r="U122" s="508" t="s"/>
      <c r="V122" s="508" t="s"/>
      <c r="W122" s="508" t="s"/>
      <c r="X122" s="508" t="s"/>
      <c r="Y122" s="508" t="s"/>
    </row>
    <row r="123" spans="1:25">
      <c r="A123" s="680" t="s"/>
      <c r="B123" s="837" t="s"/>
      <c r="C123" s="837" t="s"/>
      <c r="D123" s="838" t="s"/>
      <c r="E123" s="837" t="s"/>
      <c r="F123" s="839" t="s"/>
      <c r="G123" s="839" t="s"/>
      <c r="H123" s="837" t="s"/>
      <c r="I123" s="508" t="s"/>
      <c r="J123" s="508" t="s"/>
      <c r="K123" s="508" t="s"/>
      <c r="L123" s="508" t="s"/>
      <c r="M123" s="508" t="s"/>
      <c r="N123" s="508" t="s"/>
      <c r="O123" s="508" t="s"/>
      <c r="P123" s="508" t="s"/>
      <c r="Q123" s="508" t="s"/>
      <c r="R123" s="508" t="s"/>
      <c r="S123" s="508" t="s"/>
      <c r="T123" s="508" t="s"/>
      <c r="U123" s="508" t="s"/>
      <c r="V123" s="508" t="s"/>
      <c r="W123" s="508" t="s"/>
      <c r="X123" s="508" t="s"/>
      <c r="Y123" s="508" t="s"/>
    </row>
    <row r="124" spans="1:25">
      <c r="A124" s="680" t="s"/>
      <c r="B124" s="837" t="s"/>
      <c r="C124" s="837" t="s"/>
      <c r="D124" s="838" t="s"/>
      <c r="E124" s="837" t="s"/>
      <c r="F124" s="839" t="s"/>
      <c r="G124" s="839" t="s"/>
      <c r="H124" s="837" t="s"/>
      <c r="I124" s="508" t="s"/>
      <c r="J124" s="508" t="s"/>
      <c r="K124" s="508" t="s"/>
      <c r="L124" s="508" t="s"/>
      <c r="M124" s="508" t="s"/>
      <c r="N124" s="508" t="s"/>
      <c r="O124" s="508" t="s"/>
      <c r="P124" s="508" t="s"/>
      <c r="Q124" s="508" t="s"/>
      <c r="R124" s="508" t="s"/>
      <c r="S124" s="508" t="s"/>
      <c r="T124" s="508" t="s"/>
      <c r="U124" s="508" t="s"/>
      <c r="V124" s="508" t="s"/>
      <c r="W124" s="508" t="s"/>
      <c r="X124" s="508" t="s"/>
      <c r="Y124" s="508" t="s"/>
    </row>
    <row r="125" spans="1:25">
      <c r="A125" s="680" t="s"/>
      <c r="B125" s="837" t="s"/>
      <c r="C125" s="837" t="s"/>
      <c r="D125" s="838" t="s"/>
      <c r="E125" s="837" t="s"/>
      <c r="F125" s="839" t="s"/>
      <c r="G125" s="839" t="s"/>
      <c r="H125" s="837" t="s"/>
      <c r="I125" s="508" t="s"/>
      <c r="J125" s="508" t="s"/>
      <c r="K125" s="508" t="s"/>
      <c r="L125" s="508" t="s"/>
      <c r="M125" s="508" t="s"/>
      <c r="N125" s="508" t="s"/>
      <c r="O125" s="508" t="s"/>
      <c r="P125" s="508" t="s"/>
      <c r="Q125" s="508" t="s"/>
      <c r="R125" s="508" t="s"/>
      <c r="S125" s="508" t="s"/>
      <c r="T125" s="508" t="s"/>
      <c r="U125" s="508" t="s"/>
      <c r="V125" s="508" t="s"/>
      <c r="W125" s="508" t="s"/>
      <c r="X125" s="508" t="s"/>
      <c r="Y125" s="508" t="s"/>
    </row>
    <row r="126" spans="1:25">
      <c r="A126" s="680" t="s"/>
      <c r="B126" s="837" t="s"/>
      <c r="C126" s="837" t="s"/>
      <c r="D126" s="838" t="s"/>
      <c r="E126" s="837" t="s"/>
      <c r="F126" s="839" t="s"/>
      <c r="G126" s="839" t="s"/>
      <c r="H126" s="837" t="s"/>
      <c r="I126" s="508" t="s"/>
      <c r="J126" s="508" t="s"/>
      <c r="K126" s="508" t="s"/>
      <c r="L126" s="508" t="s"/>
      <c r="M126" s="508" t="s"/>
      <c r="N126" s="508" t="s"/>
      <c r="O126" s="508" t="s"/>
      <c r="P126" s="508" t="s"/>
      <c r="Q126" s="508" t="s"/>
      <c r="R126" s="508" t="s"/>
      <c r="S126" s="508" t="s"/>
      <c r="T126" s="508" t="s"/>
      <c r="U126" s="508" t="s"/>
      <c r="V126" s="508" t="s"/>
      <c r="W126" s="508" t="s"/>
      <c r="X126" s="508" t="s"/>
      <c r="Y126" s="508" t="s"/>
    </row>
    <row r="127" spans="1:25">
      <c r="A127" s="680" t="s"/>
      <c r="B127" s="837" t="s"/>
      <c r="C127" s="837" t="s"/>
      <c r="D127" s="838" t="s"/>
      <c r="E127" s="837" t="s"/>
      <c r="F127" s="839" t="s"/>
      <c r="G127" s="839" t="s"/>
      <c r="H127" s="837" t="s"/>
      <c r="I127" s="508" t="s"/>
      <c r="J127" s="508" t="s"/>
      <c r="K127" s="508" t="s"/>
      <c r="L127" s="508" t="s"/>
      <c r="M127" s="508" t="s"/>
      <c r="N127" s="508" t="s"/>
      <c r="O127" s="508" t="s"/>
      <c r="P127" s="508" t="s"/>
      <c r="Q127" s="508" t="s"/>
      <c r="R127" s="508" t="s"/>
      <c r="S127" s="508" t="s"/>
      <c r="T127" s="508" t="s"/>
      <c r="U127" s="508" t="s"/>
      <c r="V127" s="508" t="s"/>
      <c r="W127" s="508" t="s"/>
      <c r="X127" s="508" t="s"/>
      <c r="Y127" s="508" t="s"/>
    </row>
    <row r="128" spans="1:25">
      <c r="A128" s="680" t="s"/>
      <c r="B128" s="837" t="s"/>
      <c r="C128" s="837" t="s"/>
      <c r="D128" s="838" t="s"/>
      <c r="E128" s="837" t="s"/>
      <c r="F128" s="839" t="s"/>
      <c r="G128" s="839" t="s"/>
      <c r="H128" s="837" t="s"/>
      <c r="I128" s="508" t="s"/>
      <c r="J128" s="508" t="s"/>
      <c r="K128" s="508" t="s"/>
      <c r="L128" s="508" t="s"/>
      <c r="M128" s="508" t="s"/>
      <c r="N128" s="508" t="s"/>
      <c r="O128" s="508" t="s"/>
      <c r="P128" s="508" t="s"/>
      <c r="Q128" s="508" t="s"/>
      <c r="R128" s="508" t="s"/>
      <c r="S128" s="508" t="s"/>
      <c r="T128" s="508" t="s"/>
      <c r="U128" s="508" t="s"/>
      <c r="V128" s="508" t="s"/>
      <c r="W128" s="508" t="s"/>
      <c r="X128" s="508" t="s"/>
      <c r="Y128" s="508" t="s"/>
    </row>
    <row r="129" spans="1:25">
      <c r="A129" s="680" t="s"/>
      <c r="B129" s="837" t="s"/>
      <c r="C129" s="837" t="s"/>
      <c r="D129" s="838" t="s"/>
      <c r="E129" s="837" t="s"/>
      <c r="F129" s="839" t="s"/>
      <c r="G129" s="839" t="s"/>
      <c r="H129" s="837" t="s"/>
      <c r="I129" s="508" t="s"/>
      <c r="J129" s="508" t="s"/>
      <c r="K129" s="508" t="s"/>
      <c r="L129" s="508" t="s"/>
      <c r="M129" s="508" t="s"/>
      <c r="N129" s="508" t="s"/>
      <c r="O129" s="508" t="s"/>
      <c r="P129" s="508" t="s"/>
      <c r="Q129" s="508" t="s"/>
      <c r="R129" s="508" t="s"/>
      <c r="S129" s="508" t="s"/>
      <c r="T129" s="508" t="s"/>
      <c r="U129" s="508" t="s"/>
      <c r="V129" s="508" t="s"/>
      <c r="W129" s="508" t="s"/>
      <c r="X129" s="508" t="s"/>
      <c r="Y129" s="508" t="s"/>
    </row>
    <row r="130" spans="1:25">
      <c r="A130" s="680" t="s"/>
      <c r="B130" s="837" t="s"/>
      <c r="C130" s="837" t="s"/>
      <c r="D130" s="838" t="s"/>
      <c r="E130" s="837" t="s"/>
      <c r="F130" s="839" t="s"/>
      <c r="G130" s="839" t="s"/>
      <c r="H130" s="837" t="s"/>
      <c r="I130" s="508" t="s"/>
      <c r="J130" s="508" t="s"/>
      <c r="K130" s="508" t="s"/>
      <c r="L130" s="508" t="s"/>
      <c r="M130" s="508" t="s"/>
      <c r="N130" s="508" t="s"/>
      <c r="O130" s="508" t="s"/>
      <c r="P130" s="508" t="s"/>
      <c r="Q130" s="508" t="s"/>
      <c r="R130" s="508" t="s"/>
      <c r="S130" s="508" t="s"/>
      <c r="T130" s="508" t="s"/>
      <c r="U130" s="508" t="s"/>
      <c r="V130" s="508" t="s"/>
      <c r="W130" s="508" t="s"/>
      <c r="X130" s="508" t="s"/>
      <c r="Y130" s="508" t="s"/>
    </row>
    <row r="131" spans="1:25">
      <c r="A131" s="680" t="s"/>
      <c r="B131" s="837" t="s"/>
      <c r="C131" s="837" t="s"/>
      <c r="D131" s="838" t="s"/>
      <c r="E131" s="837" t="s"/>
      <c r="F131" s="839" t="s"/>
      <c r="G131" s="839" t="s"/>
      <c r="H131" s="837" t="s"/>
      <c r="I131" s="508" t="s"/>
      <c r="J131" s="508" t="s"/>
      <c r="K131" s="508" t="s"/>
      <c r="L131" s="508" t="s"/>
      <c r="M131" s="508" t="s"/>
      <c r="N131" s="508" t="s"/>
      <c r="O131" s="508" t="s"/>
      <c r="P131" s="508" t="s"/>
      <c r="Q131" s="508" t="s"/>
      <c r="R131" s="508" t="s"/>
      <c r="S131" s="508" t="s"/>
      <c r="T131" s="508" t="s"/>
      <c r="U131" s="508" t="s"/>
      <c r="V131" s="508" t="s"/>
      <c r="W131" s="508" t="s"/>
      <c r="X131" s="508" t="s"/>
      <c r="Y131" s="508" t="s"/>
    </row>
    <row r="132" spans="1:25">
      <c r="A132" s="680" t="s"/>
      <c r="B132" s="837" t="s"/>
      <c r="C132" s="837" t="s"/>
      <c r="D132" s="838" t="s"/>
      <c r="E132" s="837" t="s"/>
      <c r="F132" s="839" t="s"/>
      <c r="G132" s="839" t="s"/>
      <c r="H132" s="837" t="s"/>
      <c r="I132" s="508" t="s"/>
      <c r="J132" s="508" t="s"/>
      <c r="K132" s="508" t="s"/>
      <c r="L132" s="508" t="s"/>
      <c r="M132" s="508" t="s"/>
      <c r="N132" s="508" t="s"/>
      <c r="O132" s="508" t="s"/>
      <c r="P132" s="508" t="s"/>
      <c r="Q132" s="508" t="s"/>
      <c r="R132" s="508" t="s"/>
      <c r="S132" s="508" t="s"/>
      <c r="T132" s="508" t="s"/>
      <c r="U132" s="508" t="s"/>
      <c r="V132" s="508" t="s"/>
      <c r="W132" s="508" t="s"/>
      <c r="X132" s="508" t="s"/>
      <c r="Y132" s="508" t="s"/>
    </row>
    <row r="133" spans="1:25">
      <c r="A133" s="680" t="s"/>
      <c r="B133" s="837" t="s"/>
      <c r="C133" s="837" t="s"/>
      <c r="D133" s="838" t="s"/>
      <c r="E133" s="837" t="s"/>
      <c r="F133" s="839" t="s"/>
      <c r="G133" s="839" t="s"/>
      <c r="H133" s="837" t="s"/>
      <c r="I133" s="508" t="s"/>
      <c r="J133" s="508" t="s"/>
      <c r="K133" s="508" t="s"/>
      <c r="L133" s="508" t="s"/>
      <c r="M133" s="508" t="s"/>
      <c r="N133" s="508" t="s"/>
      <c r="O133" s="508" t="s"/>
      <c r="P133" s="508" t="s"/>
      <c r="Q133" s="508" t="s"/>
      <c r="R133" s="508" t="s"/>
      <c r="S133" s="508" t="s"/>
      <c r="T133" s="508" t="s"/>
      <c r="U133" s="508" t="s"/>
      <c r="V133" s="508" t="s"/>
      <c r="W133" s="508" t="s"/>
      <c r="X133" s="508" t="s"/>
      <c r="Y133" s="508" t="s"/>
    </row>
    <row r="134" spans="1:25">
      <c r="A134" s="680" t="s"/>
      <c r="B134" s="837" t="s"/>
      <c r="C134" s="837" t="s"/>
      <c r="D134" s="838" t="s"/>
      <c r="E134" s="837" t="s"/>
      <c r="F134" s="839" t="s"/>
      <c r="G134" s="839" t="s"/>
      <c r="H134" s="837" t="s"/>
      <c r="I134" s="508" t="s"/>
      <c r="J134" s="508" t="s"/>
      <c r="K134" s="508" t="s"/>
      <c r="L134" s="508" t="s"/>
      <c r="M134" s="508" t="s"/>
      <c r="N134" s="508" t="s"/>
      <c r="O134" s="508" t="s"/>
      <c r="P134" s="508" t="s"/>
      <c r="Q134" s="508" t="s"/>
      <c r="R134" s="508" t="s"/>
      <c r="S134" s="508" t="s"/>
      <c r="T134" s="508" t="s"/>
      <c r="U134" s="508" t="s"/>
      <c r="V134" s="508" t="s"/>
      <c r="W134" s="508" t="s"/>
      <c r="X134" s="508" t="s"/>
      <c r="Y134" s="508" t="s"/>
    </row>
    <row r="135" spans="1:25">
      <c r="A135" s="680" t="s"/>
      <c r="B135" s="837" t="s"/>
      <c r="C135" s="837" t="s"/>
      <c r="D135" s="838" t="s"/>
      <c r="E135" s="837" t="s"/>
      <c r="F135" s="839" t="s"/>
      <c r="G135" s="839" t="s"/>
      <c r="H135" s="837" t="s"/>
      <c r="I135" s="508" t="s"/>
      <c r="J135" s="508" t="s"/>
      <c r="K135" s="508" t="s"/>
      <c r="L135" s="508" t="s"/>
      <c r="M135" s="508" t="s"/>
      <c r="N135" s="508" t="s"/>
      <c r="O135" s="508" t="s"/>
      <c r="P135" s="508" t="s"/>
      <c r="Q135" s="508" t="s"/>
      <c r="R135" s="508" t="s"/>
      <c r="S135" s="508" t="s"/>
      <c r="T135" s="508" t="s"/>
      <c r="U135" s="508" t="s"/>
      <c r="V135" s="508" t="s"/>
      <c r="W135" s="508" t="s"/>
      <c r="X135" s="508" t="s"/>
      <c r="Y135" s="508" t="s"/>
    </row>
    <row r="136" spans="1:25">
      <c r="A136" s="680" t="s"/>
      <c r="B136" s="837" t="s"/>
      <c r="C136" s="837" t="s"/>
      <c r="D136" s="838" t="s"/>
      <c r="E136" s="837" t="s"/>
      <c r="F136" s="839" t="s"/>
      <c r="G136" s="839" t="s"/>
      <c r="H136" s="837" t="s"/>
      <c r="I136" s="508" t="s"/>
      <c r="J136" s="508" t="s"/>
      <c r="K136" s="508" t="s"/>
      <c r="L136" s="508" t="s"/>
      <c r="M136" s="508" t="s"/>
      <c r="N136" s="508" t="s"/>
      <c r="O136" s="508" t="s"/>
      <c r="P136" s="508" t="s"/>
      <c r="Q136" s="508" t="s"/>
      <c r="R136" s="508" t="s"/>
      <c r="S136" s="508" t="s"/>
      <c r="T136" s="508" t="s"/>
      <c r="U136" s="508" t="s"/>
      <c r="V136" s="508" t="s"/>
      <c r="W136" s="508" t="s"/>
      <c r="X136" s="508" t="s"/>
      <c r="Y136" s="508" t="s"/>
    </row>
    <row r="137" spans="1:25">
      <c r="A137" s="680" t="s"/>
      <c r="B137" s="837" t="s"/>
      <c r="C137" s="837" t="s"/>
      <c r="D137" s="838" t="s"/>
      <c r="E137" s="837" t="s"/>
      <c r="F137" s="839" t="s"/>
      <c r="G137" s="839" t="s"/>
      <c r="H137" s="837" t="s"/>
      <c r="I137" s="508" t="s"/>
      <c r="J137" s="508" t="s"/>
      <c r="K137" s="508" t="s"/>
      <c r="L137" s="508" t="s"/>
      <c r="M137" s="508" t="s"/>
      <c r="N137" s="508" t="s"/>
      <c r="O137" s="508" t="s"/>
      <c r="P137" s="508" t="s"/>
      <c r="Q137" s="508" t="s"/>
      <c r="R137" s="508" t="s"/>
      <c r="S137" s="508" t="s"/>
      <c r="T137" s="508" t="s"/>
      <c r="U137" s="508" t="s"/>
      <c r="V137" s="508" t="s"/>
      <c r="W137" s="508" t="s"/>
      <c r="X137" s="508" t="s"/>
      <c r="Y137" s="508" t="s"/>
    </row>
    <row r="138" spans="1:25">
      <c r="A138" s="680" t="s"/>
      <c r="B138" s="837" t="s"/>
      <c r="C138" s="837" t="s"/>
      <c r="D138" s="838" t="s"/>
      <c r="E138" s="837" t="s"/>
      <c r="F138" s="839" t="s"/>
      <c r="G138" s="839" t="s"/>
      <c r="H138" s="837" t="s"/>
      <c r="I138" s="508" t="s"/>
      <c r="J138" s="508" t="s"/>
      <c r="K138" s="508" t="s"/>
      <c r="L138" s="508" t="s"/>
      <c r="M138" s="508" t="s"/>
      <c r="N138" s="508" t="s"/>
      <c r="O138" s="508" t="s"/>
      <c r="P138" s="508" t="s"/>
      <c r="Q138" s="508" t="s"/>
      <c r="R138" s="508" t="s"/>
      <c r="S138" s="508" t="s"/>
      <c r="T138" s="508" t="s"/>
      <c r="U138" s="508" t="s"/>
      <c r="V138" s="508" t="s"/>
      <c r="W138" s="508" t="s"/>
      <c r="X138" s="508" t="s"/>
      <c r="Y138" s="508" t="s"/>
    </row>
    <row r="139" spans="1:25">
      <c r="A139" s="680" t="s"/>
      <c r="B139" s="837" t="s"/>
      <c r="C139" s="837" t="s"/>
      <c r="D139" s="838" t="s"/>
      <c r="E139" s="837" t="s"/>
      <c r="F139" s="839" t="s"/>
      <c r="G139" s="839" t="s"/>
      <c r="H139" s="837" t="s"/>
      <c r="I139" s="508" t="s"/>
      <c r="J139" s="508" t="s"/>
      <c r="K139" s="508" t="s"/>
      <c r="L139" s="508" t="s"/>
      <c r="M139" s="508" t="s"/>
      <c r="N139" s="508" t="s"/>
      <c r="O139" s="508" t="s"/>
      <c r="P139" s="508" t="s"/>
      <c r="Q139" s="508" t="s"/>
      <c r="R139" s="508" t="s"/>
      <c r="S139" s="508" t="s"/>
      <c r="T139" s="508" t="s"/>
      <c r="U139" s="508" t="s"/>
      <c r="V139" s="508" t="s"/>
      <c r="W139" s="508" t="s"/>
      <c r="X139" s="508" t="s"/>
      <c r="Y139" s="508" t="s"/>
    </row>
    <row r="140" spans="1:25">
      <c r="A140" s="680" t="s"/>
      <c r="B140" s="837" t="s"/>
      <c r="C140" s="837" t="s"/>
      <c r="D140" s="838" t="s"/>
      <c r="E140" s="837" t="s"/>
      <c r="F140" s="839" t="s"/>
      <c r="G140" s="839" t="s"/>
      <c r="H140" s="837" t="s"/>
      <c r="I140" s="508" t="s"/>
      <c r="J140" s="508" t="s"/>
      <c r="K140" s="508" t="s"/>
      <c r="L140" s="508" t="s"/>
      <c r="M140" s="508" t="s"/>
      <c r="N140" s="508" t="s"/>
      <c r="O140" s="508" t="s"/>
      <c r="P140" s="508" t="s"/>
      <c r="Q140" s="508" t="s"/>
      <c r="R140" s="508" t="s"/>
      <c r="S140" s="508" t="s"/>
      <c r="T140" s="508" t="s"/>
      <c r="U140" s="508" t="s"/>
      <c r="V140" s="508" t="s"/>
      <c r="W140" s="508" t="s"/>
      <c r="X140" s="508" t="s"/>
      <c r="Y140" s="508" t="s"/>
    </row>
    <row r="141" spans="1:25">
      <c r="A141" s="680" t="s"/>
      <c r="B141" s="837" t="s"/>
      <c r="C141" s="837" t="s"/>
      <c r="D141" s="838" t="s"/>
      <c r="E141" s="837" t="s"/>
      <c r="F141" s="839" t="s"/>
      <c r="G141" s="839" t="s"/>
      <c r="H141" s="837" t="s"/>
      <c r="I141" s="508" t="s"/>
      <c r="J141" s="508" t="s"/>
      <c r="K141" s="508" t="s"/>
      <c r="L141" s="508" t="s"/>
      <c r="M141" s="508" t="s"/>
      <c r="N141" s="508" t="s"/>
      <c r="O141" s="508" t="s"/>
      <c r="P141" s="508" t="s"/>
      <c r="Q141" s="508" t="s"/>
      <c r="R141" s="508" t="s"/>
      <c r="S141" s="508" t="s"/>
      <c r="T141" s="508" t="s"/>
      <c r="U141" s="508" t="s"/>
      <c r="V141" s="508" t="s"/>
      <c r="W141" s="508" t="s"/>
      <c r="X141" s="508" t="s"/>
      <c r="Y141" s="508" t="s"/>
    </row>
    <row r="142" spans="1:25">
      <c r="A142" s="680" t="s"/>
      <c r="B142" s="837" t="s"/>
      <c r="C142" s="837" t="s"/>
      <c r="D142" s="838" t="s"/>
      <c r="E142" s="837" t="s"/>
      <c r="F142" s="839" t="s"/>
      <c r="G142" s="839" t="s"/>
      <c r="H142" s="837" t="s"/>
      <c r="I142" s="508" t="s"/>
      <c r="J142" s="508" t="s"/>
      <c r="K142" s="508" t="s"/>
      <c r="L142" s="508" t="s"/>
      <c r="M142" s="508" t="s"/>
      <c r="N142" s="508" t="s"/>
      <c r="O142" s="508" t="s"/>
      <c r="P142" s="508" t="s"/>
      <c r="Q142" s="508" t="s"/>
      <c r="R142" s="508" t="s"/>
      <c r="S142" s="508" t="s"/>
      <c r="T142" s="508" t="s"/>
      <c r="U142" s="508" t="s"/>
      <c r="V142" s="508" t="s"/>
      <c r="W142" s="508" t="s"/>
      <c r="X142" s="508" t="s"/>
      <c r="Y142" s="508" t="s"/>
    </row>
    <row r="143" spans="1:25">
      <c r="A143" s="680" t="s"/>
      <c r="B143" s="837" t="s"/>
      <c r="C143" s="837" t="s"/>
      <c r="D143" s="838" t="s"/>
      <c r="E143" s="837" t="s"/>
      <c r="F143" s="839" t="s"/>
      <c r="G143" s="839" t="s"/>
      <c r="H143" s="837" t="s"/>
      <c r="I143" s="508" t="s"/>
      <c r="J143" s="508" t="s"/>
      <c r="K143" s="508" t="s"/>
      <c r="L143" s="508" t="s"/>
      <c r="M143" s="508" t="s"/>
      <c r="N143" s="508" t="s"/>
      <c r="O143" s="508" t="s"/>
      <c r="P143" s="508" t="s"/>
      <c r="Q143" s="508" t="s"/>
      <c r="R143" s="508" t="s"/>
      <c r="S143" s="508" t="s"/>
      <c r="T143" s="508" t="s"/>
      <c r="U143" s="508" t="s"/>
      <c r="V143" s="508" t="s"/>
      <c r="W143" s="508" t="s"/>
      <c r="X143" s="508" t="s"/>
      <c r="Y143" s="508" t="s"/>
    </row>
    <row r="144" spans="1:25">
      <c r="A144" s="680" t="s"/>
      <c r="B144" s="837" t="s"/>
      <c r="C144" s="837" t="s"/>
      <c r="D144" s="838" t="s"/>
      <c r="E144" s="837" t="s"/>
      <c r="F144" s="839" t="s"/>
      <c r="G144" s="839" t="s"/>
      <c r="H144" s="837" t="s"/>
      <c r="I144" s="508" t="s"/>
      <c r="J144" s="508" t="s"/>
      <c r="K144" s="508" t="s"/>
      <c r="L144" s="508" t="s"/>
      <c r="M144" s="508" t="s"/>
      <c r="N144" s="508" t="s"/>
      <c r="O144" s="508" t="s"/>
      <c r="P144" s="508" t="s"/>
      <c r="Q144" s="508" t="s"/>
      <c r="R144" s="508" t="s"/>
      <c r="S144" s="508" t="s"/>
      <c r="T144" s="508" t="s"/>
      <c r="U144" s="508" t="s"/>
      <c r="V144" s="508" t="s"/>
      <c r="W144" s="508" t="s"/>
      <c r="X144" s="508" t="s"/>
      <c r="Y144" s="508" t="s"/>
    </row>
    <row r="145" spans="1:25">
      <c r="A145" s="680" t="s"/>
      <c r="B145" s="837" t="s"/>
      <c r="C145" s="837" t="s"/>
      <c r="D145" s="838" t="s"/>
      <c r="E145" s="837" t="s"/>
      <c r="F145" s="839" t="s"/>
      <c r="G145" s="839" t="s"/>
      <c r="H145" s="837" t="s"/>
      <c r="I145" s="508" t="s"/>
      <c r="J145" s="508" t="s"/>
      <c r="K145" s="508" t="s"/>
      <c r="L145" s="508" t="s"/>
      <c r="M145" s="508" t="s"/>
      <c r="N145" s="508" t="s"/>
      <c r="O145" s="508" t="s"/>
      <c r="P145" s="508" t="s"/>
      <c r="Q145" s="508" t="s"/>
      <c r="R145" s="508" t="s"/>
      <c r="S145" s="508" t="s"/>
      <c r="T145" s="508" t="s"/>
      <c r="U145" s="508" t="s"/>
      <c r="V145" s="508" t="s"/>
      <c r="W145" s="508" t="s"/>
      <c r="X145" s="508" t="s"/>
      <c r="Y145" s="508" t="s"/>
    </row>
    <row r="146" spans="1:25">
      <c r="A146" s="680" t="s"/>
      <c r="B146" s="837" t="s"/>
      <c r="C146" s="837" t="s"/>
      <c r="D146" s="838" t="s"/>
      <c r="E146" s="837" t="s"/>
      <c r="F146" s="839" t="s"/>
      <c r="G146" s="839" t="s"/>
      <c r="H146" s="837" t="s"/>
      <c r="I146" s="508" t="s"/>
      <c r="J146" s="508" t="s"/>
      <c r="K146" s="508" t="s"/>
      <c r="L146" s="508" t="s"/>
      <c r="M146" s="508" t="s"/>
      <c r="N146" s="508" t="s"/>
      <c r="O146" s="508" t="s"/>
      <c r="P146" s="508" t="s"/>
      <c r="Q146" s="508" t="s"/>
      <c r="R146" s="508" t="s"/>
      <c r="S146" s="508" t="s"/>
      <c r="T146" s="508" t="s"/>
      <c r="U146" s="508" t="s"/>
      <c r="V146" s="508" t="s"/>
      <c r="W146" s="508" t="s"/>
      <c r="X146" s="508" t="s"/>
      <c r="Y146" s="508" t="s"/>
    </row>
    <row r="147" spans="1:25">
      <c r="A147" s="680" t="s"/>
      <c r="B147" s="837" t="s"/>
      <c r="C147" s="837" t="s"/>
      <c r="D147" s="838" t="s"/>
      <c r="E147" s="837" t="s"/>
      <c r="F147" s="839" t="s"/>
      <c r="G147" s="839" t="s"/>
      <c r="H147" s="837" t="s"/>
      <c r="I147" s="508" t="s"/>
      <c r="J147" s="508" t="s"/>
      <c r="K147" s="508" t="s"/>
      <c r="L147" s="508" t="s"/>
      <c r="M147" s="508" t="s"/>
      <c r="N147" s="508" t="s"/>
      <c r="O147" s="508" t="s"/>
      <c r="P147" s="508" t="s"/>
      <c r="Q147" s="508" t="s"/>
      <c r="R147" s="508" t="s"/>
      <c r="S147" s="508" t="s"/>
      <c r="T147" s="508" t="s"/>
      <c r="U147" s="508" t="s"/>
      <c r="V147" s="508" t="s"/>
      <c r="W147" s="508" t="s"/>
      <c r="X147" s="508" t="s"/>
      <c r="Y147" s="508" t="s"/>
    </row>
    <row r="148" spans="1:25">
      <c r="A148" s="680" t="s"/>
      <c r="B148" s="837" t="s"/>
      <c r="C148" s="837" t="s"/>
      <c r="D148" s="838" t="s"/>
      <c r="E148" s="837" t="s"/>
      <c r="F148" s="839" t="s"/>
      <c r="G148" s="839" t="s"/>
      <c r="H148" s="837" t="s"/>
      <c r="I148" s="508" t="s"/>
      <c r="J148" s="508" t="s"/>
      <c r="K148" s="508" t="s"/>
      <c r="L148" s="508" t="s"/>
      <c r="M148" s="508" t="s"/>
      <c r="N148" s="508" t="s"/>
      <c r="O148" s="508" t="s"/>
      <c r="P148" s="508" t="s"/>
      <c r="Q148" s="508" t="s"/>
      <c r="R148" s="508" t="s"/>
      <c r="S148" s="508" t="s"/>
      <c r="T148" s="508" t="s"/>
      <c r="U148" s="508" t="s"/>
      <c r="V148" s="508" t="s"/>
      <c r="W148" s="508" t="s"/>
      <c r="X148" s="508" t="s"/>
      <c r="Y148" s="508" t="s"/>
    </row>
    <row r="149" spans="1:25">
      <c r="A149" s="680" t="s"/>
      <c r="B149" s="837" t="s"/>
      <c r="C149" s="837" t="s"/>
      <c r="D149" s="838" t="s"/>
      <c r="E149" s="837" t="s"/>
      <c r="F149" s="839" t="s"/>
      <c r="G149" s="839" t="s"/>
      <c r="H149" s="837" t="s"/>
      <c r="I149" s="508" t="s"/>
      <c r="J149" s="508" t="s"/>
      <c r="K149" s="508" t="s"/>
      <c r="L149" s="508" t="s"/>
      <c r="M149" s="508" t="s"/>
      <c r="N149" s="508" t="s"/>
      <c r="O149" s="508" t="s"/>
      <c r="P149" s="508" t="s"/>
      <c r="Q149" s="508" t="s"/>
      <c r="R149" s="508" t="s"/>
      <c r="S149" s="508" t="s"/>
      <c r="T149" s="508" t="s"/>
      <c r="U149" s="508" t="s"/>
      <c r="V149" s="508" t="s"/>
      <c r="W149" s="508" t="s"/>
      <c r="X149" s="508" t="s"/>
      <c r="Y149" s="508" t="s"/>
    </row>
    <row r="150" spans="1:25">
      <c r="A150" s="680" t="s"/>
      <c r="B150" s="837" t="s"/>
      <c r="C150" s="837" t="s"/>
      <c r="D150" s="838" t="s"/>
      <c r="E150" s="837" t="s"/>
      <c r="F150" s="839" t="s"/>
      <c r="G150" s="839" t="s"/>
      <c r="H150" s="837" t="s"/>
      <c r="I150" s="508" t="s"/>
      <c r="J150" s="508" t="s"/>
      <c r="K150" s="508" t="s"/>
      <c r="L150" s="508" t="s"/>
      <c r="M150" s="508" t="s"/>
      <c r="N150" s="508" t="s"/>
      <c r="O150" s="508" t="s"/>
      <c r="P150" s="508" t="s"/>
      <c r="Q150" s="508" t="s"/>
      <c r="R150" s="508" t="s"/>
      <c r="S150" s="508" t="s"/>
      <c r="T150" s="508" t="s"/>
      <c r="U150" s="508" t="s"/>
      <c r="V150" s="508" t="s"/>
      <c r="W150" s="508" t="s"/>
      <c r="X150" s="508" t="s"/>
      <c r="Y150" s="508" t="s"/>
    </row>
    <row r="151" spans="1:25">
      <c r="A151" s="680" t="s"/>
      <c r="B151" s="837" t="s"/>
      <c r="C151" s="837" t="s"/>
      <c r="D151" s="838" t="s"/>
      <c r="E151" s="837" t="s"/>
      <c r="F151" s="839" t="s"/>
      <c r="G151" s="839" t="s"/>
      <c r="H151" s="837" t="s"/>
      <c r="I151" s="508" t="s"/>
      <c r="J151" s="508" t="s"/>
      <c r="K151" s="508" t="s"/>
      <c r="L151" s="508" t="s"/>
      <c r="M151" s="508" t="s"/>
      <c r="N151" s="508" t="s"/>
      <c r="O151" s="508" t="s"/>
      <c r="P151" s="508" t="s"/>
      <c r="Q151" s="508" t="s"/>
      <c r="R151" s="508" t="s"/>
      <c r="S151" s="508" t="s"/>
      <c r="T151" s="508" t="s"/>
      <c r="U151" s="508" t="s"/>
      <c r="V151" s="508" t="s"/>
      <c r="W151" s="508" t="s"/>
      <c r="X151" s="508" t="s"/>
      <c r="Y151" s="508" t="s"/>
    </row>
    <row r="152" spans="1:25">
      <c r="A152" s="680" t="s"/>
      <c r="B152" s="837" t="s"/>
      <c r="C152" s="837" t="s"/>
      <c r="D152" s="838" t="s"/>
      <c r="E152" s="837" t="s"/>
      <c r="F152" s="839" t="s"/>
      <c r="G152" s="839" t="s"/>
      <c r="H152" s="837" t="s"/>
      <c r="I152" s="508" t="s"/>
      <c r="J152" s="508" t="s"/>
      <c r="K152" s="508" t="s"/>
      <c r="L152" s="508" t="s"/>
      <c r="M152" s="508" t="s"/>
      <c r="N152" s="508" t="s"/>
      <c r="O152" s="508" t="s"/>
      <c r="P152" s="508" t="s"/>
      <c r="Q152" s="508" t="s"/>
      <c r="R152" s="508" t="s"/>
      <c r="S152" s="508" t="s"/>
      <c r="T152" s="508" t="s"/>
      <c r="U152" s="508" t="s"/>
      <c r="V152" s="508" t="s"/>
      <c r="W152" s="508" t="s"/>
      <c r="X152" s="508" t="s"/>
      <c r="Y152" s="508" t="s"/>
    </row>
    <row r="153" spans="1:25">
      <c r="A153" s="680" t="s"/>
      <c r="B153" s="837" t="s"/>
      <c r="C153" s="837" t="s"/>
      <c r="D153" s="838" t="s"/>
      <c r="E153" s="837" t="s"/>
      <c r="F153" s="839" t="s"/>
      <c r="G153" s="839" t="s"/>
      <c r="H153" s="837" t="s"/>
      <c r="I153" s="508" t="s"/>
      <c r="J153" s="508" t="s"/>
      <c r="K153" s="508" t="s"/>
      <c r="L153" s="508" t="s"/>
      <c r="M153" s="508" t="s"/>
      <c r="N153" s="508" t="s"/>
      <c r="O153" s="508" t="s"/>
      <c r="P153" s="508" t="s"/>
      <c r="Q153" s="508" t="s"/>
      <c r="R153" s="508" t="s"/>
      <c r="S153" s="508" t="s"/>
      <c r="T153" s="508" t="s"/>
      <c r="U153" s="508" t="s"/>
      <c r="V153" s="508" t="s"/>
      <c r="W153" s="508" t="s"/>
      <c r="X153" s="508" t="s"/>
      <c r="Y153" s="508" t="s"/>
    </row>
    <row r="154" spans="1:25">
      <c r="A154" s="680" t="s"/>
      <c r="B154" s="837" t="s"/>
      <c r="C154" s="837" t="s"/>
      <c r="D154" s="838" t="s"/>
      <c r="E154" s="837" t="s"/>
      <c r="F154" s="839" t="s"/>
      <c r="G154" s="839" t="s"/>
      <c r="H154" s="837" t="s"/>
      <c r="I154" s="508" t="s"/>
      <c r="J154" s="508" t="s"/>
      <c r="K154" s="508" t="s"/>
      <c r="L154" s="508" t="s"/>
      <c r="M154" s="508" t="s"/>
      <c r="N154" s="508" t="s"/>
      <c r="O154" s="508" t="s"/>
      <c r="P154" s="508" t="s"/>
      <c r="Q154" s="508" t="s"/>
      <c r="R154" s="508" t="s"/>
      <c r="S154" s="508" t="s"/>
      <c r="T154" s="508" t="s"/>
      <c r="U154" s="508" t="s"/>
      <c r="V154" s="508" t="s"/>
      <c r="W154" s="508" t="s"/>
      <c r="X154" s="508" t="s"/>
      <c r="Y154" s="508" t="s"/>
    </row>
    <row r="155" spans="1:25">
      <c r="A155" s="680" t="s"/>
      <c r="B155" s="837" t="s"/>
      <c r="C155" s="837" t="s"/>
      <c r="D155" s="838" t="s"/>
      <c r="E155" s="837" t="s"/>
      <c r="F155" s="839" t="s"/>
      <c r="G155" s="839" t="s"/>
      <c r="H155" s="837" t="s"/>
      <c r="I155" s="508" t="s"/>
      <c r="J155" s="508" t="s"/>
      <c r="K155" s="508" t="s"/>
      <c r="L155" s="508" t="s"/>
      <c r="M155" s="508" t="s"/>
      <c r="N155" s="508" t="s"/>
      <c r="O155" s="508" t="s"/>
      <c r="P155" s="508" t="s"/>
      <c r="Q155" s="508" t="s"/>
      <c r="R155" s="508" t="s"/>
      <c r="S155" s="508" t="s"/>
      <c r="T155" s="508" t="s"/>
      <c r="U155" s="508" t="s"/>
      <c r="V155" s="508" t="s"/>
      <c r="W155" s="508" t="s"/>
      <c r="X155" s="508" t="s"/>
      <c r="Y155" s="508" t="s"/>
    </row>
    <row r="156" spans="1:25">
      <c r="A156" s="680" t="s"/>
      <c r="B156" s="837" t="s"/>
      <c r="C156" s="837" t="s"/>
      <c r="D156" s="838" t="s"/>
      <c r="E156" s="837" t="s"/>
      <c r="F156" s="839" t="s"/>
      <c r="G156" s="839" t="s"/>
      <c r="H156" s="837" t="s"/>
      <c r="I156" s="508" t="s"/>
      <c r="J156" s="508" t="s"/>
      <c r="K156" s="508" t="s"/>
      <c r="L156" s="508" t="s"/>
      <c r="M156" s="508" t="s"/>
      <c r="N156" s="508" t="s"/>
      <c r="O156" s="508" t="s"/>
      <c r="P156" s="508" t="s"/>
      <c r="Q156" s="508" t="s"/>
      <c r="R156" s="508" t="s"/>
      <c r="S156" s="508" t="s"/>
      <c r="T156" s="508" t="s"/>
      <c r="U156" s="508" t="s"/>
      <c r="V156" s="508" t="s"/>
      <c r="W156" s="508" t="s"/>
      <c r="X156" s="508" t="s"/>
      <c r="Y156" s="508" t="s"/>
    </row>
    <row r="157" spans="1:25">
      <c r="A157" s="680" t="s"/>
      <c r="B157" s="837" t="s"/>
      <c r="C157" s="837" t="s"/>
      <c r="D157" s="838" t="s"/>
      <c r="E157" s="837" t="s"/>
      <c r="F157" s="839" t="s"/>
      <c r="G157" s="839" t="s"/>
      <c r="H157" s="837" t="s"/>
      <c r="I157" s="508" t="s"/>
      <c r="J157" s="508" t="s"/>
      <c r="K157" s="508" t="s"/>
      <c r="L157" s="508" t="s"/>
      <c r="M157" s="508" t="s"/>
      <c r="N157" s="508" t="s"/>
      <c r="O157" s="508" t="s"/>
      <c r="P157" s="508" t="s"/>
      <c r="Q157" s="508" t="s"/>
      <c r="R157" s="508" t="s"/>
      <c r="S157" s="508" t="s"/>
      <c r="T157" s="508" t="s"/>
      <c r="U157" s="508" t="s"/>
      <c r="V157" s="508" t="s"/>
      <c r="W157" s="508" t="s"/>
      <c r="X157" s="508" t="s"/>
      <c r="Y157" s="508" t="s"/>
    </row>
    <row r="158" spans="1:25">
      <c r="A158" s="680" t="s"/>
      <c r="B158" s="837" t="s"/>
      <c r="C158" s="837" t="s"/>
      <c r="D158" s="838" t="s"/>
      <c r="E158" s="837" t="s"/>
      <c r="F158" s="839" t="s"/>
      <c r="G158" s="839" t="s"/>
      <c r="H158" s="837" t="s"/>
      <c r="I158" s="508" t="s"/>
      <c r="J158" s="508" t="s"/>
      <c r="K158" s="508" t="s"/>
      <c r="L158" s="508" t="s"/>
      <c r="M158" s="508" t="s"/>
      <c r="N158" s="508" t="s"/>
      <c r="O158" s="508" t="s"/>
      <c r="P158" s="508" t="s"/>
      <c r="Q158" s="508" t="s"/>
      <c r="R158" s="508" t="s"/>
      <c r="S158" s="508" t="s"/>
      <c r="T158" s="508" t="s"/>
      <c r="U158" s="508" t="s"/>
      <c r="V158" s="508" t="s"/>
      <c r="W158" s="508" t="s"/>
      <c r="X158" s="508" t="s"/>
      <c r="Y158" s="508" t="s"/>
    </row>
    <row r="159" spans="1:25">
      <c r="A159" s="680" t="s"/>
      <c r="B159" s="837" t="s"/>
      <c r="C159" s="837" t="s"/>
      <c r="D159" s="838" t="s"/>
      <c r="E159" s="837" t="s"/>
      <c r="F159" s="839" t="s"/>
      <c r="G159" s="839" t="s"/>
      <c r="H159" s="837" t="s"/>
      <c r="I159" s="508" t="s"/>
      <c r="J159" s="508" t="s"/>
      <c r="K159" s="508" t="s"/>
      <c r="L159" s="508" t="s"/>
      <c r="M159" s="508" t="s"/>
      <c r="N159" s="508" t="s"/>
      <c r="O159" s="508" t="s"/>
      <c r="P159" s="508" t="s"/>
      <c r="Q159" s="508" t="s"/>
      <c r="R159" s="508" t="s"/>
      <c r="S159" s="508" t="s"/>
      <c r="T159" s="508" t="s"/>
      <c r="U159" s="508" t="s"/>
      <c r="V159" s="508" t="s"/>
      <c r="W159" s="508" t="s"/>
      <c r="X159" s="508" t="s"/>
      <c r="Y159" s="508" t="s"/>
    </row>
    <row r="160" spans="1:25">
      <c r="A160" s="680" t="s"/>
      <c r="B160" s="837" t="s"/>
      <c r="C160" s="837" t="s"/>
      <c r="D160" s="838" t="s"/>
      <c r="E160" s="837" t="s"/>
      <c r="F160" s="839" t="s"/>
      <c r="G160" s="839" t="s"/>
      <c r="H160" s="837" t="s"/>
      <c r="I160" s="508" t="s"/>
      <c r="J160" s="508" t="s"/>
      <c r="K160" s="508" t="s"/>
      <c r="L160" s="508" t="s"/>
      <c r="M160" s="508" t="s"/>
      <c r="N160" s="508" t="s"/>
      <c r="O160" s="508" t="s"/>
      <c r="P160" s="508" t="s"/>
      <c r="Q160" s="508" t="s"/>
      <c r="R160" s="508" t="s"/>
      <c r="S160" s="508" t="s"/>
      <c r="T160" s="508" t="s"/>
      <c r="U160" s="508" t="s"/>
      <c r="V160" s="508" t="s"/>
      <c r="W160" s="508" t="s"/>
      <c r="X160" s="508" t="s"/>
      <c r="Y160" s="508" t="s"/>
    </row>
    <row r="161" spans="1:25">
      <c r="A161" s="680" t="s"/>
      <c r="B161" s="837" t="s"/>
      <c r="C161" s="837" t="s"/>
      <c r="D161" s="838" t="s"/>
      <c r="E161" s="837" t="s"/>
      <c r="F161" s="839" t="s"/>
      <c r="G161" s="839" t="s"/>
      <c r="H161" s="837" t="s"/>
      <c r="I161" s="508" t="s"/>
      <c r="J161" s="508" t="s"/>
      <c r="K161" s="508" t="s"/>
      <c r="L161" s="508" t="s"/>
      <c r="M161" s="508" t="s"/>
      <c r="N161" s="508" t="s"/>
      <c r="O161" s="508" t="s"/>
      <c r="P161" s="508" t="s"/>
      <c r="Q161" s="508" t="s"/>
      <c r="R161" s="508" t="s"/>
      <c r="S161" s="508" t="s"/>
      <c r="T161" s="508" t="s"/>
      <c r="U161" s="508" t="s"/>
      <c r="V161" s="508" t="s"/>
      <c r="W161" s="508" t="s"/>
      <c r="X161" s="508" t="s"/>
      <c r="Y161" s="508" t="s"/>
    </row>
    <row r="162" spans="1:25">
      <c r="A162" s="680" t="s"/>
      <c r="B162" s="837" t="s"/>
      <c r="C162" s="837" t="s"/>
      <c r="D162" s="838" t="s"/>
      <c r="E162" s="837" t="s"/>
      <c r="F162" s="839" t="s"/>
      <c r="G162" s="839" t="s"/>
      <c r="H162" s="837" t="s"/>
      <c r="I162" s="508" t="s"/>
      <c r="J162" s="508" t="s"/>
      <c r="K162" s="508" t="s"/>
      <c r="L162" s="508" t="s"/>
      <c r="M162" s="508" t="s"/>
      <c r="N162" s="508" t="s"/>
      <c r="O162" s="508" t="s"/>
      <c r="P162" s="508" t="s"/>
      <c r="Q162" s="508" t="s"/>
      <c r="R162" s="508" t="s"/>
      <c r="S162" s="508" t="s"/>
      <c r="T162" s="508" t="s"/>
      <c r="U162" s="508" t="s"/>
      <c r="V162" s="508" t="s"/>
      <c r="W162" s="508" t="s"/>
      <c r="X162" s="508" t="s"/>
      <c r="Y162" s="508" t="s"/>
    </row>
    <row r="163" spans="1:25">
      <c r="A163" s="680" t="s"/>
      <c r="B163" s="837" t="s"/>
      <c r="C163" s="837" t="s"/>
      <c r="D163" s="838" t="s"/>
      <c r="E163" s="837" t="s"/>
      <c r="F163" s="839" t="s"/>
      <c r="G163" s="839" t="s"/>
      <c r="H163" s="837" t="s"/>
      <c r="I163" s="508" t="s"/>
      <c r="J163" s="508" t="s"/>
      <c r="K163" s="508" t="s"/>
      <c r="L163" s="508" t="s"/>
      <c r="M163" s="508" t="s"/>
      <c r="N163" s="508" t="s"/>
      <c r="O163" s="508" t="s"/>
      <c r="P163" s="508" t="s"/>
      <c r="Q163" s="508" t="s"/>
      <c r="R163" s="508" t="s"/>
      <c r="S163" s="508" t="s"/>
      <c r="T163" s="508" t="s"/>
      <c r="U163" s="508" t="s"/>
      <c r="V163" s="508" t="s"/>
      <c r="W163" s="508" t="s"/>
      <c r="X163" s="508" t="s"/>
      <c r="Y163" s="508" t="s"/>
    </row>
    <row r="164" spans="1:25">
      <c r="A164" s="680" t="s"/>
      <c r="B164" s="837" t="s"/>
      <c r="C164" s="837" t="s"/>
      <c r="D164" s="838" t="s"/>
      <c r="E164" s="837" t="s"/>
      <c r="F164" s="839" t="s"/>
      <c r="G164" s="839" t="s"/>
      <c r="H164" s="837" t="s"/>
      <c r="I164" s="508" t="s"/>
      <c r="J164" s="508" t="s"/>
      <c r="K164" s="508" t="s"/>
      <c r="L164" s="508" t="s"/>
      <c r="M164" s="508" t="s"/>
      <c r="N164" s="508" t="s"/>
      <c r="O164" s="508" t="s"/>
      <c r="P164" s="508" t="s"/>
      <c r="Q164" s="508" t="s"/>
      <c r="R164" s="508" t="s"/>
      <c r="S164" s="508" t="s"/>
      <c r="T164" s="508" t="s"/>
      <c r="U164" s="508" t="s"/>
      <c r="V164" s="508" t="s"/>
      <c r="W164" s="508" t="s"/>
      <c r="X164" s="508" t="s"/>
      <c r="Y164" s="508" t="s"/>
    </row>
    <row r="165" spans="1:25">
      <c r="A165" s="680" t="s"/>
      <c r="B165" s="837" t="s"/>
      <c r="C165" s="837" t="s"/>
      <c r="D165" s="838" t="s"/>
      <c r="E165" s="837" t="s"/>
      <c r="F165" s="839" t="s"/>
      <c r="G165" s="839" t="s"/>
      <c r="H165" s="837" t="s"/>
      <c r="I165" s="508" t="s"/>
      <c r="J165" s="508" t="s"/>
      <c r="K165" s="508" t="s"/>
      <c r="L165" s="508" t="s"/>
      <c r="M165" s="508" t="s"/>
      <c r="N165" s="508" t="s"/>
      <c r="O165" s="508" t="s"/>
      <c r="P165" s="508" t="s"/>
      <c r="Q165" s="508" t="s"/>
      <c r="R165" s="508" t="s"/>
      <c r="S165" s="508" t="s"/>
      <c r="T165" s="508" t="s"/>
      <c r="U165" s="508" t="s"/>
      <c r="V165" s="508" t="s"/>
      <c r="W165" s="508" t="s"/>
      <c r="X165" s="508" t="s"/>
      <c r="Y165" s="508" t="s"/>
    </row>
    <row r="166" spans="1:25">
      <c r="A166" s="680" t="s"/>
      <c r="B166" s="837" t="s"/>
      <c r="C166" s="837" t="s"/>
      <c r="D166" s="838" t="s"/>
      <c r="E166" s="837" t="s"/>
      <c r="F166" s="839" t="s"/>
      <c r="G166" s="839" t="s"/>
      <c r="H166" s="837" t="s"/>
      <c r="I166" s="508" t="s"/>
      <c r="J166" s="508" t="s"/>
      <c r="K166" s="508" t="s"/>
      <c r="L166" s="508" t="s"/>
      <c r="M166" s="508" t="s"/>
      <c r="N166" s="508" t="s"/>
      <c r="O166" s="508" t="s"/>
      <c r="P166" s="508" t="s"/>
      <c r="Q166" s="508" t="s"/>
      <c r="R166" s="508" t="s"/>
      <c r="S166" s="508" t="s"/>
      <c r="T166" s="508" t="s"/>
      <c r="U166" s="508" t="s"/>
      <c r="V166" s="508" t="s"/>
      <c r="W166" s="508" t="s"/>
      <c r="X166" s="508" t="s"/>
      <c r="Y166" s="508" t="s"/>
    </row>
    <row r="167" spans="1:25">
      <c r="A167" s="680" t="s"/>
      <c r="B167" s="837" t="s"/>
      <c r="C167" s="837" t="s"/>
      <c r="D167" s="838" t="s"/>
      <c r="E167" s="837" t="s"/>
      <c r="F167" s="839" t="s"/>
      <c r="G167" s="839" t="s"/>
      <c r="H167" s="837" t="s"/>
      <c r="I167" s="508" t="s"/>
      <c r="J167" s="508" t="s"/>
      <c r="K167" s="508" t="s"/>
      <c r="L167" s="508" t="s"/>
      <c r="M167" s="508" t="s"/>
      <c r="N167" s="508" t="s"/>
      <c r="O167" s="508" t="s"/>
      <c r="P167" s="508" t="s"/>
      <c r="Q167" s="508" t="s"/>
      <c r="R167" s="508" t="s"/>
      <c r="S167" s="508" t="s"/>
      <c r="T167" s="508" t="s"/>
      <c r="U167" s="508" t="s"/>
      <c r="V167" s="508" t="s"/>
      <c r="W167" s="508" t="s"/>
      <c r="X167" s="508" t="s"/>
      <c r="Y167" s="508" t="s"/>
    </row>
    <row r="168" spans="1:25">
      <c r="A168" s="680" t="s"/>
      <c r="B168" s="837" t="s"/>
      <c r="C168" s="837" t="s"/>
      <c r="D168" s="838" t="s"/>
      <c r="E168" s="837" t="s"/>
      <c r="F168" s="839" t="s"/>
      <c r="G168" s="839" t="s"/>
      <c r="H168" s="837" t="s"/>
      <c r="I168" s="508" t="s"/>
      <c r="J168" s="508" t="s"/>
      <c r="K168" s="508" t="s"/>
      <c r="L168" s="508" t="s"/>
      <c r="M168" s="508" t="s"/>
      <c r="N168" s="508" t="s"/>
      <c r="O168" s="508" t="s"/>
      <c r="P168" s="508" t="s"/>
      <c r="Q168" s="508" t="s"/>
      <c r="R168" s="508" t="s"/>
      <c r="S168" s="508" t="s"/>
      <c r="T168" s="508" t="s"/>
      <c r="U168" s="508" t="s"/>
      <c r="V168" s="508" t="s"/>
      <c r="W168" s="508" t="s"/>
      <c r="X168" s="508" t="s"/>
      <c r="Y168" s="508" t="s"/>
    </row>
    <row r="169" spans="1:25">
      <c r="A169" s="680" t="s"/>
      <c r="B169" s="837" t="s"/>
      <c r="C169" s="837" t="s"/>
      <c r="D169" s="838" t="s"/>
      <c r="E169" s="837" t="s"/>
      <c r="F169" s="839" t="s"/>
      <c r="G169" s="839" t="s"/>
      <c r="H169" s="837" t="s"/>
      <c r="I169" s="508" t="s"/>
      <c r="J169" s="508" t="s"/>
      <c r="K169" s="508" t="s"/>
      <c r="L169" s="508" t="s"/>
      <c r="M169" s="508" t="s"/>
      <c r="N169" s="508" t="s"/>
      <c r="O169" s="508" t="s"/>
      <c r="P169" s="508" t="s"/>
      <c r="Q169" s="508" t="s"/>
      <c r="R169" s="508" t="s"/>
      <c r="S169" s="508" t="s"/>
      <c r="T169" s="508" t="s"/>
      <c r="U169" s="508" t="s"/>
      <c r="V169" s="508" t="s"/>
      <c r="W169" s="508" t="s"/>
      <c r="X169" s="508" t="s"/>
      <c r="Y169" s="508" t="s"/>
    </row>
    <row r="170" spans="1:25">
      <c r="A170" s="680" t="s"/>
      <c r="B170" s="837" t="s"/>
      <c r="C170" s="837" t="s"/>
      <c r="D170" s="838" t="s"/>
      <c r="E170" s="837" t="s"/>
      <c r="F170" s="839" t="s"/>
      <c r="G170" s="839" t="s"/>
      <c r="H170" s="837" t="s"/>
      <c r="I170" s="508" t="s"/>
      <c r="J170" s="508" t="s"/>
      <c r="K170" s="508" t="s"/>
      <c r="L170" s="508" t="s"/>
      <c r="M170" s="508" t="s"/>
      <c r="N170" s="508" t="s"/>
      <c r="O170" s="508" t="s"/>
      <c r="P170" s="508" t="s"/>
      <c r="Q170" s="508" t="s"/>
      <c r="R170" s="508" t="s"/>
      <c r="S170" s="508" t="s"/>
      <c r="T170" s="508" t="s"/>
      <c r="U170" s="508" t="s"/>
      <c r="V170" s="508" t="s"/>
      <c r="W170" s="508" t="s"/>
      <c r="X170" s="508" t="s"/>
      <c r="Y170" s="508" t="s"/>
    </row>
    <row r="171" spans="1:25">
      <c r="A171" s="680" t="s"/>
      <c r="B171" s="837" t="s"/>
      <c r="C171" s="837" t="s"/>
      <c r="D171" s="838" t="s"/>
      <c r="E171" s="837" t="s"/>
      <c r="F171" s="839" t="s"/>
      <c r="G171" s="839" t="s"/>
      <c r="H171" s="837" t="s"/>
      <c r="I171" s="508" t="s"/>
      <c r="J171" s="508" t="s"/>
      <c r="K171" s="508" t="s"/>
      <c r="L171" s="508" t="s"/>
      <c r="M171" s="508" t="s"/>
      <c r="N171" s="508" t="s"/>
      <c r="O171" s="508" t="s"/>
      <c r="P171" s="508" t="s"/>
      <c r="Q171" s="508" t="s"/>
      <c r="R171" s="508" t="s"/>
      <c r="S171" s="508" t="s"/>
      <c r="T171" s="508" t="s"/>
      <c r="U171" s="508" t="s"/>
      <c r="V171" s="508" t="s"/>
      <c r="W171" s="508" t="s"/>
      <c r="X171" s="508" t="s"/>
      <c r="Y171" s="508" t="s"/>
    </row>
    <row r="172" spans="1:25">
      <c r="A172" s="680" t="s"/>
      <c r="B172" s="837" t="s"/>
      <c r="C172" s="837" t="s"/>
      <c r="D172" s="838" t="s"/>
      <c r="E172" s="837" t="s"/>
      <c r="F172" s="839" t="s"/>
      <c r="G172" s="839" t="s"/>
      <c r="H172" s="837" t="s"/>
      <c r="I172" s="508" t="s"/>
      <c r="J172" s="508" t="s"/>
      <c r="K172" s="508" t="s"/>
      <c r="L172" s="508" t="s"/>
      <c r="M172" s="508" t="s"/>
      <c r="N172" s="508" t="s"/>
      <c r="O172" s="508" t="s"/>
      <c r="P172" s="508" t="s"/>
      <c r="Q172" s="508" t="s"/>
      <c r="R172" s="508" t="s"/>
      <c r="S172" s="508" t="s"/>
      <c r="T172" s="508" t="s"/>
      <c r="U172" s="508" t="s"/>
      <c r="V172" s="508" t="s"/>
      <c r="W172" s="508" t="s"/>
      <c r="X172" s="508" t="s"/>
      <c r="Y172" s="508" t="s"/>
    </row>
    <row r="173" spans="1:25">
      <c r="A173" s="680" t="s"/>
      <c r="B173" s="837" t="s"/>
      <c r="C173" s="837" t="s"/>
      <c r="D173" s="838" t="s"/>
      <c r="E173" s="837" t="s"/>
      <c r="F173" s="839" t="s"/>
      <c r="G173" s="839" t="s"/>
      <c r="H173" s="837" t="s"/>
      <c r="I173" s="508" t="s"/>
      <c r="J173" s="508" t="s"/>
      <c r="K173" s="508" t="s"/>
      <c r="L173" s="508" t="s"/>
      <c r="M173" s="508" t="s"/>
      <c r="N173" s="508" t="s"/>
      <c r="O173" s="508" t="s"/>
      <c r="P173" s="508" t="s"/>
      <c r="Q173" s="508" t="s"/>
      <c r="R173" s="508" t="s"/>
      <c r="S173" s="508" t="s"/>
      <c r="T173" s="508" t="s"/>
      <c r="U173" s="508" t="s"/>
      <c r="V173" s="508" t="s"/>
      <c r="W173" s="508" t="s"/>
      <c r="X173" s="508" t="s"/>
      <c r="Y173" s="508" t="s"/>
    </row>
    <row r="174" spans="1:25">
      <c r="A174" s="680" t="s"/>
      <c r="B174" s="837" t="s"/>
      <c r="C174" s="837" t="s"/>
      <c r="D174" s="838" t="s"/>
      <c r="E174" s="837" t="s"/>
      <c r="F174" s="839" t="s"/>
      <c r="G174" s="839" t="s"/>
      <c r="H174" s="837" t="s"/>
      <c r="I174" s="508" t="s"/>
      <c r="J174" s="508" t="s"/>
      <c r="K174" s="508" t="s"/>
      <c r="L174" s="508" t="s"/>
      <c r="M174" s="508" t="s"/>
      <c r="N174" s="508" t="s"/>
      <c r="O174" s="508" t="s"/>
      <c r="P174" s="508" t="s"/>
      <c r="Q174" s="508" t="s"/>
      <c r="R174" s="508" t="s"/>
      <c r="S174" s="508" t="s"/>
      <c r="T174" s="508" t="s"/>
      <c r="U174" s="508" t="s"/>
      <c r="V174" s="508" t="s"/>
      <c r="W174" s="508" t="s"/>
      <c r="X174" s="508" t="s"/>
      <c r="Y174" s="508" t="s"/>
    </row>
    <row r="175" spans="1:25">
      <c r="A175" s="680" t="s"/>
      <c r="B175" s="837" t="s"/>
      <c r="C175" s="837" t="s"/>
      <c r="D175" s="838" t="s"/>
      <c r="E175" s="837" t="s"/>
      <c r="F175" s="839" t="s"/>
      <c r="G175" s="839" t="s"/>
      <c r="H175" s="837" t="s"/>
      <c r="I175" s="508" t="s"/>
      <c r="J175" s="508" t="s"/>
      <c r="K175" s="508" t="s"/>
      <c r="L175" s="508" t="s"/>
      <c r="M175" s="508" t="s"/>
      <c r="N175" s="508" t="s"/>
      <c r="O175" s="508" t="s"/>
      <c r="P175" s="508" t="s"/>
      <c r="Q175" s="508" t="s"/>
      <c r="R175" s="508" t="s"/>
      <c r="S175" s="508" t="s"/>
      <c r="T175" s="508" t="s"/>
      <c r="U175" s="508" t="s"/>
      <c r="V175" s="508" t="s"/>
      <c r="W175" s="508" t="s"/>
      <c r="X175" s="508" t="s"/>
      <c r="Y175" s="508" t="s"/>
    </row>
    <row r="176" spans="1:25">
      <c r="A176" s="680" t="s"/>
      <c r="B176" s="837" t="s"/>
      <c r="C176" s="837" t="s"/>
      <c r="D176" s="838" t="s"/>
      <c r="E176" s="837" t="s"/>
      <c r="F176" s="839" t="s"/>
      <c r="G176" s="839" t="s"/>
      <c r="H176" s="837" t="s"/>
      <c r="I176" s="508" t="s"/>
      <c r="J176" s="508" t="s"/>
      <c r="K176" s="508" t="s"/>
      <c r="L176" s="508" t="s"/>
      <c r="M176" s="508" t="s"/>
      <c r="N176" s="508" t="s"/>
      <c r="O176" s="508" t="s"/>
      <c r="P176" s="508" t="s"/>
      <c r="Q176" s="508" t="s"/>
      <c r="R176" s="508" t="s"/>
      <c r="S176" s="508" t="s"/>
      <c r="T176" s="508" t="s"/>
      <c r="U176" s="508" t="s"/>
      <c r="V176" s="508" t="s"/>
      <c r="W176" s="508" t="s"/>
      <c r="X176" s="508" t="s"/>
      <c r="Y176" s="508" t="s"/>
    </row>
    <row r="177" spans="1:25">
      <c r="A177" s="680" t="s"/>
      <c r="B177" s="837" t="s"/>
      <c r="C177" s="837" t="s"/>
      <c r="D177" s="838" t="s"/>
      <c r="E177" s="837" t="s"/>
      <c r="F177" s="839" t="s"/>
      <c r="G177" s="839" t="s"/>
      <c r="H177" s="837" t="s"/>
      <c r="I177" s="508" t="s"/>
      <c r="J177" s="508" t="s"/>
      <c r="K177" s="508" t="s"/>
      <c r="L177" s="508" t="s"/>
      <c r="M177" s="508" t="s"/>
      <c r="N177" s="508" t="s"/>
      <c r="O177" s="508" t="s"/>
      <c r="P177" s="508" t="s"/>
      <c r="Q177" s="508" t="s"/>
      <c r="R177" s="508" t="s"/>
      <c r="S177" s="508" t="s"/>
      <c r="T177" s="508" t="s"/>
      <c r="U177" s="508" t="s"/>
      <c r="V177" s="508" t="s"/>
      <c r="W177" s="508" t="s"/>
      <c r="X177" s="508" t="s"/>
      <c r="Y177" s="508" t="s"/>
    </row>
    <row r="178" spans="1:25">
      <c r="A178" s="680" t="s"/>
      <c r="B178" s="837" t="s"/>
      <c r="C178" s="837" t="s"/>
      <c r="D178" s="838" t="s"/>
      <c r="E178" s="837" t="s"/>
      <c r="F178" s="839" t="s"/>
      <c r="G178" s="839" t="s"/>
      <c r="H178" s="837" t="s"/>
      <c r="I178" s="508" t="s"/>
      <c r="J178" s="508" t="s"/>
      <c r="K178" s="508" t="s"/>
      <c r="L178" s="508" t="s"/>
      <c r="M178" s="508" t="s"/>
      <c r="N178" s="508" t="s"/>
      <c r="O178" s="508" t="s"/>
      <c r="P178" s="508" t="s"/>
      <c r="Q178" s="508" t="s"/>
      <c r="R178" s="508" t="s"/>
      <c r="S178" s="508" t="s"/>
      <c r="T178" s="508" t="s"/>
      <c r="U178" s="508" t="s"/>
      <c r="V178" s="508" t="s"/>
      <c r="W178" s="508" t="s"/>
      <c r="X178" s="508" t="s"/>
      <c r="Y178" s="508" t="s"/>
    </row>
    <row r="179" spans="1:25">
      <c r="A179" s="680" t="s"/>
      <c r="B179" s="837" t="s"/>
      <c r="C179" s="837" t="s"/>
      <c r="D179" s="838" t="s"/>
      <c r="E179" s="837" t="s"/>
      <c r="F179" s="839" t="s"/>
      <c r="G179" s="839" t="s"/>
      <c r="H179" s="837" t="s"/>
      <c r="I179" s="508" t="s"/>
      <c r="J179" s="508" t="s"/>
      <c r="K179" s="508" t="s"/>
      <c r="L179" s="508" t="s"/>
      <c r="M179" s="508" t="s"/>
      <c r="N179" s="508" t="s"/>
      <c r="O179" s="508" t="s"/>
      <c r="P179" s="508" t="s"/>
      <c r="Q179" s="508" t="s"/>
      <c r="R179" s="508" t="s"/>
      <c r="S179" s="508" t="s"/>
      <c r="T179" s="508" t="s"/>
      <c r="U179" s="508" t="s"/>
      <c r="V179" s="508" t="s"/>
      <c r="W179" s="508" t="s"/>
      <c r="X179" s="508" t="s"/>
      <c r="Y179" s="508" t="s"/>
    </row>
    <row r="180" spans="1:25">
      <c r="A180" s="680" t="s"/>
      <c r="B180" s="837" t="s"/>
      <c r="C180" s="837" t="s"/>
      <c r="D180" s="838" t="s"/>
      <c r="E180" s="837" t="s"/>
      <c r="F180" s="839" t="s"/>
      <c r="G180" s="839" t="s"/>
      <c r="H180" s="837" t="s"/>
      <c r="I180" s="508" t="s"/>
      <c r="J180" s="508" t="s"/>
      <c r="K180" s="508" t="s"/>
      <c r="L180" s="508" t="s"/>
      <c r="M180" s="508" t="s"/>
      <c r="N180" s="508" t="s"/>
      <c r="O180" s="508" t="s"/>
      <c r="P180" s="508" t="s"/>
      <c r="Q180" s="508" t="s"/>
      <c r="R180" s="508" t="s"/>
      <c r="S180" s="508" t="s"/>
      <c r="T180" s="508" t="s"/>
      <c r="U180" s="508" t="s"/>
      <c r="V180" s="508" t="s"/>
      <c r="W180" s="508" t="s"/>
      <c r="X180" s="508" t="s"/>
      <c r="Y180" s="508" t="s"/>
    </row>
    <row r="181" spans="1:25">
      <c r="A181" s="680" t="s"/>
      <c r="B181" s="837" t="s"/>
      <c r="C181" s="837" t="s"/>
      <c r="D181" s="838" t="s"/>
      <c r="E181" s="837" t="s"/>
      <c r="F181" s="839" t="s"/>
      <c r="G181" s="839" t="s"/>
      <c r="H181" s="837" t="s"/>
      <c r="I181" s="508" t="s"/>
      <c r="J181" s="508" t="s"/>
      <c r="K181" s="508" t="s"/>
      <c r="L181" s="508" t="s"/>
      <c r="M181" s="508" t="s"/>
      <c r="N181" s="508" t="s"/>
      <c r="O181" s="508" t="s"/>
      <c r="P181" s="508" t="s"/>
      <c r="Q181" s="508" t="s"/>
      <c r="R181" s="508" t="s"/>
      <c r="S181" s="508" t="s"/>
      <c r="T181" s="508" t="s"/>
      <c r="U181" s="508" t="s"/>
      <c r="V181" s="508" t="s"/>
      <c r="W181" s="508" t="s"/>
      <c r="X181" s="508" t="s"/>
      <c r="Y181" s="508" t="s"/>
    </row>
    <row r="182" spans="1:25">
      <c r="A182" s="680" t="s"/>
      <c r="B182" s="837" t="s"/>
      <c r="C182" s="837" t="s"/>
      <c r="D182" s="838" t="s"/>
      <c r="E182" s="837" t="s"/>
      <c r="F182" s="839" t="s"/>
      <c r="G182" s="839" t="s"/>
      <c r="H182" s="837" t="s"/>
      <c r="I182" s="508" t="s"/>
      <c r="J182" s="508" t="s"/>
      <c r="K182" s="508" t="s"/>
      <c r="L182" s="508" t="s"/>
      <c r="M182" s="508" t="s"/>
      <c r="N182" s="508" t="s"/>
      <c r="O182" s="508" t="s"/>
      <c r="P182" s="508" t="s"/>
      <c r="Q182" s="508" t="s"/>
      <c r="R182" s="508" t="s"/>
      <c r="S182" s="508" t="s"/>
      <c r="T182" s="508" t="s"/>
      <c r="U182" s="508" t="s"/>
      <c r="V182" s="508" t="s"/>
      <c r="W182" s="508" t="s"/>
      <c r="X182" s="508" t="s"/>
      <c r="Y182" s="508" t="s"/>
    </row>
    <row r="183" spans="1:25">
      <c r="A183" s="680" t="s"/>
      <c r="B183" s="837" t="s"/>
      <c r="C183" s="837" t="s"/>
      <c r="D183" s="838" t="s"/>
      <c r="E183" s="837" t="s"/>
      <c r="F183" s="839" t="s"/>
      <c r="G183" s="839" t="s"/>
      <c r="H183" s="837" t="s"/>
      <c r="I183" s="508" t="s"/>
      <c r="J183" s="508" t="s"/>
      <c r="K183" s="508" t="s"/>
      <c r="L183" s="508" t="s"/>
      <c r="M183" s="508" t="s"/>
      <c r="N183" s="508" t="s"/>
      <c r="O183" s="508" t="s"/>
      <c r="P183" s="508" t="s"/>
      <c r="Q183" s="508" t="s"/>
      <c r="R183" s="508" t="s"/>
      <c r="S183" s="508" t="s"/>
      <c r="T183" s="508" t="s"/>
      <c r="U183" s="508" t="s"/>
      <c r="V183" s="508" t="s"/>
      <c r="W183" s="508" t="s"/>
      <c r="X183" s="508" t="s"/>
      <c r="Y183" s="508" t="s"/>
    </row>
    <row r="184" spans="1:25">
      <c r="A184" s="680" t="s"/>
      <c r="B184" s="837" t="s"/>
      <c r="C184" s="837" t="s"/>
      <c r="D184" s="838" t="s"/>
      <c r="E184" s="837" t="s"/>
      <c r="F184" s="839" t="s"/>
      <c r="G184" s="839" t="s"/>
      <c r="H184" s="837" t="s"/>
      <c r="I184" s="508" t="s"/>
      <c r="J184" s="508" t="s"/>
      <c r="K184" s="508" t="s"/>
      <c r="L184" s="508" t="s"/>
      <c r="M184" s="508" t="s"/>
      <c r="N184" s="508" t="s"/>
      <c r="O184" s="508" t="s"/>
      <c r="P184" s="508" t="s"/>
      <c r="Q184" s="508" t="s"/>
      <c r="R184" s="508" t="s"/>
      <c r="S184" s="508" t="s"/>
      <c r="T184" s="508" t="s"/>
      <c r="U184" s="508" t="s"/>
      <c r="V184" s="508" t="s"/>
      <c r="W184" s="508" t="s"/>
      <c r="X184" s="508" t="s"/>
      <c r="Y184" s="508" t="s"/>
    </row>
    <row r="185" spans="1:25">
      <c r="A185" s="680" t="s"/>
      <c r="B185" s="837" t="s"/>
      <c r="C185" s="837" t="s"/>
      <c r="D185" s="838" t="s"/>
      <c r="E185" s="837" t="s"/>
      <c r="F185" s="839" t="s"/>
      <c r="G185" s="839" t="s"/>
      <c r="H185" s="837" t="s"/>
      <c r="I185" s="508" t="s"/>
      <c r="J185" s="508" t="s"/>
      <c r="K185" s="508" t="s"/>
      <c r="L185" s="508" t="s"/>
      <c r="M185" s="508" t="s"/>
      <c r="N185" s="508" t="s"/>
      <c r="O185" s="508" t="s"/>
      <c r="P185" s="508" t="s"/>
      <c r="Q185" s="508" t="s"/>
      <c r="R185" s="508" t="s"/>
      <c r="S185" s="508" t="s"/>
      <c r="T185" s="508" t="s"/>
      <c r="U185" s="508" t="s"/>
      <c r="V185" s="508" t="s"/>
      <c r="W185" s="508" t="s"/>
      <c r="X185" s="508" t="s"/>
      <c r="Y185" s="508" t="s"/>
    </row>
    <row r="186" spans="1:25">
      <c r="A186" s="680" t="s"/>
      <c r="B186" s="837" t="s"/>
      <c r="C186" s="837" t="s"/>
      <c r="D186" s="838" t="s"/>
      <c r="E186" s="837" t="s"/>
      <c r="F186" s="839" t="s"/>
      <c r="G186" s="839" t="s"/>
      <c r="H186" s="837" t="s"/>
      <c r="I186" s="508" t="s"/>
      <c r="J186" s="508" t="s"/>
      <c r="K186" s="508" t="s"/>
      <c r="L186" s="508" t="s"/>
      <c r="M186" s="508" t="s"/>
      <c r="N186" s="508" t="s"/>
      <c r="O186" s="508" t="s"/>
      <c r="P186" s="508" t="s"/>
      <c r="Q186" s="508" t="s"/>
      <c r="R186" s="508" t="s"/>
      <c r="S186" s="508" t="s"/>
      <c r="T186" s="508" t="s"/>
      <c r="U186" s="508" t="s"/>
      <c r="V186" s="508" t="s"/>
      <c r="W186" s="508" t="s"/>
      <c r="X186" s="508" t="s"/>
      <c r="Y186" s="508" t="s"/>
    </row>
    <row r="187" spans="1:25">
      <c r="A187" s="680" t="s"/>
      <c r="B187" s="837" t="s"/>
      <c r="C187" s="837" t="s"/>
      <c r="D187" s="838" t="s"/>
      <c r="E187" s="837" t="s"/>
      <c r="F187" s="839" t="s"/>
      <c r="G187" s="839" t="s"/>
      <c r="H187" s="837" t="s"/>
      <c r="I187" s="508" t="s"/>
      <c r="J187" s="508" t="s"/>
      <c r="K187" s="508" t="s"/>
      <c r="L187" s="508" t="s"/>
      <c r="M187" s="508" t="s"/>
      <c r="N187" s="508" t="s"/>
      <c r="O187" s="508" t="s"/>
      <c r="P187" s="508" t="s"/>
      <c r="Q187" s="508" t="s"/>
      <c r="R187" s="508" t="s"/>
      <c r="S187" s="508" t="s"/>
      <c r="T187" s="508" t="s"/>
      <c r="U187" s="508" t="s"/>
      <c r="V187" s="508" t="s"/>
      <c r="W187" s="508" t="s"/>
      <c r="X187" s="508" t="s"/>
      <c r="Y187" s="508" t="s"/>
    </row>
    <row r="188" spans="1:25">
      <c r="A188" s="680" t="s"/>
      <c r="B188" s="837" t="s"/>
      <c r="C188" s="837" t="s"/>
      <c r="D188" s="838" t="s"/>
      <c r="E188" s="837" t="s"/>
      <c r="F188" s="839" t="s"/>
      <c r="G188" s="839" t="s"/>
      <c r="H188" s="837" t="s"/>
      <c r="I188" s="508" t="s"/>
      <c r="J188" s="508" t="s"/>
      <c r="K188" s="508" t="s"/>
      <c r="L188" s="508" t="s"/>
      <c r="M188" s="508" t="s"/>
      <c r="N188" s="508" t="s"/>
      <c r="O188" s="508" t="s"/>
      <c r="P188" s="508" t="s"/>
      <c r="Q188" s="508" t="s"/>
      <c r="R188" s="508" t="s"/>
      <c r="S188" s="508" t="s"/>
      <c r="T188" s="508" t="s"/>
      <c r="U188" s="508" t="s"/>
      <c r="V188" s="508" t="s"/>
      <c r="W188" s="508" t="s"/>
      <c r="X188" s="508" t="s"/>
      <c r="Y188" s="508" t="s"/>
    </row>
    <row r="189" spans="1:25">
      <c r="A189" s="680" t="s"/>
      <c r="B189" s="837" t="s"/>
      <c r="C189" s="837" t="s"/>
      <c r="D189" s="838" t="s"/>
      <c r="E189" s="837" t="s"/>
      <c r="F189" s="839" t="s"/>
      <c r="G189" s="839" t="s"/>
      <c r="H189" s="837" t="s"/>
      <c r="I189" s="508" t="s"/>
      <c r="J189" s="508" t="s"/>
      <c r="K189" s="508" t="s"/>
      <c r="L189" s="508" t="s"/>
      <c r="M189" s="508" t="s"/>
      <c r="N189" s="508" t="s"/>
      <c r="O189" s="508" t="s"/>
      <c r="P189" s="508" t="s"/>
      <c r="Q189" s="508" t="s"/>
      <c r="R189" s="508" t="s"/>
      <c r="S189" s="508" t="s"/>
      <c r="T189" s="508" t="s"/>
      <c r="U189" s="508" t="s"/>
      <c r="V189" s="508" t="s"/>
      <c r="W189" s="508" t="s"/>
      <c r="X189" s="508" t="s"/>
      <c r="Y189" s="508" t="s"/>
    </row>
    <row r="190" spans="1:25">
      <c r="A190" s="680" t="s"/>
      <c r="B190" s="837" t="s"/>
      <c r="C190" s="837" t="s"/>
      <c r="D190" s="838" t="s"/>
      <c r="E190" s="837" t="s"/>
      <c r="F190" s="839" t="s"/>
      <c r="G190" s="839" t="s"/>
      <c r="H190" s="837" t="s"/>
      <c r="I190" s="508" t="s"/>
      <c r="J190" s="508" t="s"/>
      <c r="K190" s="508" t="s"/>
      <c r="L190" s="508" t="s"/>
      <c r="M190" s="508" t="s"/>
      <c r="N190" s="508" t="s"/>
      <c r="O190" s="508" t="s"/>
      <c r="P190" s="508" t="s"/>
      <c r="Q190" s="508" t="s"/>
      <c r="R190" s="508" t="s"/>
      <c r="S190" s="508" t="s"/>
      <c r="T190" s="508" t="s"/>
      <c r="U190" s="508" t="s"/>
      <c r="V190" s="508" t="s"/>
      <c r="W190" s="508" t="s"/>
      <c r="X190" s="508" t="s"/>
      <c r="Y190" s="508" t="s"/>
    </row>
    <row r="191" spans="1:25">
      <c r="A191" s="680" t="s"/>
      <c r="B191" s="837" t="s"/>
      <c r="C191" s="837" t="s"/>
      <c r="D191" s="838" t="s"/>
      <c r="E191" s="837" t="s"/>
      <c r="F191" s="839" t="s"/>
      <c r="G191" s="839" t="s"/>
      <c r="H191" s="837" t="s"/>
      <c r="I191" s="508" t="s"/>
      <c r="J191" s="508" t="s"/>
      <c r="K191" s="508" t="s"/>
      <c r="L191" s="508" t="s"/>
      <c r="M191" s="508" t="s"/>
      <c r="N191" s="508" t="s"/>
      <c r="O191" s="508" t="s"/>
      <c r="P191" s="508" t="s"/>
      <c r="Q191" s="508" t="s"/>
      <c r="R191" s="508" t="s"/>
      <c r="S191" s="508" t="s"/>
      <c r="T191" s="508" t="s"/>
      <c r="U191" s="508" t="s"/>
      <c r="V191" s="508" t="s"/>
      <c r="W191" s="508" t="s"/>
      <c r="X191" s="508" t="s"/>
      <c r="Y191" s="508" t="s"/>
    </row>
    <row r="192" spans="1:25">
      <c r="A192" s="680" t="s"/>
      <c r="B192" s="837" t="s"/>
      <c r="C192" s="837" t="s"/>
      <c r="D192" s="838" t="s"/>
      <c r="E192" s="837" t="s"/>
      <c r="F192" s="839" t="s"/>
      <c r="G192" s="839" t="s"/>
      <c r="H192" s="837" t="s"/>
      <c r="I192" s="508" t="s"/>
      <c r="J192" s="508" t="s"/>
      <c r="K192" s="508" t="s"/>
      <c r="L192" s="508" t="s"/>
      <c r="M192" s="508" t="s"/>
      <c r="N192" s="508" t="s"/>
      <c r="O192" s="508" t="s"/>
      <c r="P192" s="508" t="s"/>
      <c r="Q192" s="508" t="s"/>
      <c r="R192" s="508" t="s"/>
      <c r="S192" s="508" t="s"/>
      <c r="T192" s="508" t="s"/>
      <c r="U192" s="508" t="s"/>
      <c r="V192" s="508" t="s"/>
      <c r="W192" s="508" t="s"/>
      <c r="X192" s="508" t="s"/>
      <c r="Y192" s="508" t="s"/>
    </row>
    <row r="193" spans="1:25">
      <c r="A193" s="680" t="s"/>
      <c r="B193" s="837" t="s"/>
      <c r="C193" s="837" t="s"/>
      <c r="D193" s="838" t="s"/>
      <c r="E193" s="837" t="s"/>
      <c r="F193" s="839" t="s"/>
      <c r="G193" s="839" t="s"/>
      <c r="H193" s="837" t="s"/>
      <c r="I193" s="508" t="s"/>
      <c r="J193" s="508" t="s"/>
      <c r="K193" s="508" t="s"/>
      <c r="L193" s="508" t="s"/>
      <c r="M193" s="508" t="s"/>
      <c r="N193" s="508" t="s"/>
      <c r="O193" s="508" t="s"/>
      <c r="P193" s="508" t="s"/>
      <c r="Q193" s="508" t="s"/>
      <c r="R193" s="508" t="s"/>
      <c r="S193" s="508" t="s"/>
      <c r="T193" s="508" t="s"/>
      <c r="U193" s="508" t="s"/>
      <c r="V193" s="508" t="s"/>
      <c r="W193" s="508" t="s"/>
      <c r="X193" s="508" t="s"/>
      <c r="Y193" s="508" t="s"/>
    </row>
    <row r="194" spans="1:25">
      <c r="A194" s="680" t="s"/>
      <c r="B194" s="837" t="s"/>
      <c r="C194" s="837" t="s"/>
      <c r="D194" s="838" t="s"/>
      <c r="E194" s="837" t="s"/>
      <c r="F194" s="839" t="s"/>
      <c r="G194" s="839" t="s"/>
      <c r="H194" s="837" t="s"/>
      <c r="I194" s="508" t="s"/>
      <c r="J194" s="508" t="s"/>
      <c r="K194" s="508" t="s"/>
      <c r="L194" s="508" t="s"/>
      <c r="M194" s="508" t="s"/>
      <c r="N194" s="508" t="s"/>
      <c r="O194" s="508" t="s"/>
      <c r="P194" s="508" t="s"/>
      <c r="Q194" s="508" t="s"/>
      <c r="R194" s="508" t="s"/>
      <c r="S194" s="508" t="s"/>
      <c r="T194" s="508" t="s"/>
      <c r="U194" s="508" t="s"/>
      <c r="V194" s="508" t="s"/>
      <c r="W194" s="508" t="s"/>
      <c r="X194" s="508" t="s"/>
      <c r="Y194" s="508" t="s"/>
    </row>
    <row r="195" spans="1:25">
      <c r="A195" s="680" t="s"/>
      <c r="B195" s="837" t="s"/>
      <c r="C195" s="837" t="s"/>
      <c r="D195" s="838" t="s"/>
      <c r="E195" s="837" t="s"/>
      <c r="F195" s="839" t="s"/>
      <c r="G195" s="839" t="s"/>
      <c r="H195" s="837" t="s"/>
      <c r="I195" s="508" t="s"/>
      <c r="J195" s="508" t="s"/>
      <c r="K195" s="508" t="s"/>
      <c r="L195" s="508" t="s"/>
      <c r="M195" s="508" t="s"/>
      <c r="N195" s="508" t="s"/>
      <c r="O195" s="508" t="s"/>
      <c r="P195" s="508" t="s"/>
      <c r="Q195" s="508" t="s"/>
      <c r="R195" s="508" t="s"/>
      <c r="S195" s="508" t="s"/>
      <c r="T195" s="508" t="s"/>
      <c r="U195" s="508" t="s"/>
      <c r="V195" s="508" t="s"/>
      <c r="W195" s="508" t="s"/>
      <c r="X195" s="508" t="s"/>
      <c r="Y195" s="508" t="s"/>
    </row>
    <row r="196" spans="1:25">
      <c r="A196" s="680" t="s"/>
      <c r="B196" s="837" t="s"/>
      <c r="C196" s="837" t="s"/>
      <c r="D196" s="838" t="s"/>
      <c r="E196" s="837" t="s"/>
      <c r="F196" s="839" t="s"/>
      <c r="G196" s="839" t="s"/>
      <c r="H196" s="837" t="s"/>
      <c r="I196" s="508" t="s"/>
      <c r="J196" s="508" t="s"/>
      <c r="K196" s="508" t="s"/>
      <c r="L196" s="508" t="s"/>
      <c r="M196" s="508" t="s"/>
      <c r="N196" s="508" t="s"/>
      <c r="O196" s="508" t="s"/>
      <c r="P196" s="508" t="s"/>
      <c r="Q196" s="508" t="s"/>
      <c r="R196" s="508" t="s"/>
      <c r="S196" s="508" t="s"/>
      <c r="T196" s="508" t="s"/>
      <c r="U196" s="508" t="s"/>
      <c r="V196" s="508" t="s"/>
      <c r="W196" s="508" t="s"/>
      <c r="X196" s="508" t="s"/>
      <c r="Y196" s="508" t="s"/>
    </row>
    <row r="197" spans="1:25">
      <c r="A197" s="680" t="s"/>
      <c r="B197" s="837" t="s"/>
      <c r="C197" s="837" t="s"/>
      <c r="D197" s="838" t="s"/>
      <c r="E197" s="837" t="s"/>
      <c r="F197" s="839" t="s"/>
      <c r="G197" s="839" t="s"/>
      <c r="H197" s="837" t="s"/>
      <c r="I197" s="508" t="s"/>
      <c r="J197" s="508" t="s"/>
      <c r="K197" s="508" t="s"/>
      <c r="L197" s="508" t="s"/>
      <c r="M197" s="508" t="s"/>
      <c r="N197" s="508" t="s"/>
      <c r="O197" s="508" t="s"/>
      <c r="P197" s="508" t="s"/>
      <c r="Q197" s="508" t="s"/>
      <c r="R197" s="508" t="s"/>
      <c r="S197" s="508" t="s"/>
      <c r="T197" s="508" t="s"/>
      <c r="U197" s="508" t="s"/>
      <c r="V197" s="508" t="s"/>
      <c r="W197" s="508" t="s"/>
      <c r="X197" s="508" t="s"/>
      <c r="Y197" s="508" t="s"/>
    </row>
    <row r="198" spans="1:25">
      <c r="A198" s="680" t="s"/>
      <c r="B198" s="837" t="s"/>
      <c r="C198" s="837" t="s"/>
      <c r="D198" s="838" t="s"/>
      <c r="E198" s="837" t="s"/>
      <c r="F198" s="839" t="s"/>
      <c r="G198" s="839" t="s"/>
      <c r="H198" s="837" t="s"/>
      <c r="I198" s="508" t="s"/>
      <c r="J198" s="508" t="s"/>
      <c r="K198" s="508" t="s"/>
      <c r="L198" s="508" t="s"/>
      <c r="M198" s="508" t="s"/>
      <c r="N198" s="508" t="s"/>
      <c r="O198" s="508" t="s"/>
      <c r="P198" s="508" t="s"/>
      <c r="Q198" s="508" t="s"/>
      <c r="R198" s="508" t="s"/>
      <c r="S198" s="508" t="s"/>
      <c r="T198" s="508" t="s"/>
      <c r="U198" s="508" t="s"/>
      <c r="V198" s="508" t="s"/>
      <c r="W198" s="508" t="s"/>
      <c r="X198" s="508" t="s"/>
      <c r="Y198" s="508" t="s"/>
    </row>
    <row r="199" spans="1:25">
      <c r="A199" s="680" t="s"/>
      <c r="B199" s="837" t="s"/>
      <c r="C199" s="837" t="s"/>
      <c r="D199" s="838" t="s"/>
      <c r="E199" s="837" t="s"/>
      <c r="F199" s="839" t="s"/>
      <c r="G199" s="839" t="s"/>
      <c r="H199" s="837" t="s"/>
      <c r="I199" s="508" t="s"/>
      <c r="J199" s="508" t="s"/>
      <c r="K199" s="508" t="s"/>
      <c r="L199" s="508" t="s"/>
      <c r="M199" s="508" t="s"/>
      <c r="N199" s="508" t="s"/>
      <c r="O199" s="508" t="s"/>
      <c r="P199" s="508" t="s"/>
      <c r="Q199" s="508" t="s"/>
      <c r="R199" s="508" t="s"/>
      <c r="S199" s="508" t="s"/>
      <c r="T199" s="508" t="s"/>
      <c r="U199" s="508" t="s"/>
      <c r="V199" s="508" t="s"/>
      <c r="W199" s="508" t="s"/>
      <c r="X199" s="508" t="s"/>
      <c r="Y199" s="508" t="s"/>
    </row>
    <row r="200" spans="1:25">
      <c r="A200" s="680" t="s"/>
      <c r="B200" s="837" t="s"/>
      <c r="C200" s="837" t="s"/>
      <c r="D200" s="838" t="s"/>
      <c r="E200" s="837" t="s"/>
      <c r="F200" s="839" t="s"/>
      <c r="G200" s="839" t="s"/>
      <c r="H200" s="837" t="s"/>
      <c r="I200" s="508" t="s"/>
      <c r="J200" s="508" t="s"/>
      <c r="K200" s="508" t="s"/>
      <c r="L200" s="508" t="s"/>
      <c r="M200" s="508" t="s"/>
      <c r="N200" s="508" t="s"/>
      <c r="O200" s="508" t="s"/>
      <c r="P200" s="508" t="s"/>
      <c r="Q200" s="508" t="s"/>
      <c r="R200" s="508" t="s"/>
      <c r="S200" s="508" t="s"/>
      <c r="T200" s="508" t="s"/>
      <c r="U200" s="508" t="s"/>
      <c r="V200" s="508" t="s"/>
      <c r="W200" s="508" t="s"/>
      <c r="X200" s="508" t="s"/>
      <c r="Y200" s="508" t="s"/>
    </row>
    <row r="201" spans="1:25">
      <c r="A201" s="680" t="s"/>
      <c r="B201" s="837" t="s"/>
      <c r="C201" s="837" t="s"/>
      <c r="D201" s="838" t="s"/>
      <c r="E201" s="837" t="s"/>
      <c r="F201" s="839" t="s"/>
      <c r="G201" s="839" t="s"/>
      <c r="H201" s="837" t="s"/>
      <c r="I201" s="508" t="s"/>
      <c r="J201" s="508" t="s"/>
      <c r="K201" s="508" t="s"/>
      <c r="L201" s="508" t="s"/>
      <c r="M201" s="508" t="s"/>
      <c r="N201" s="508" t="s"/>
      <c r="O201" s="508" t="s"/>
      <c r="P201" s="508" t="s"/>
      <c r="Q201" s="508" t="s"/>
      <c r="R201" s="508" t="s"/>
      <c r="S201" s="508" t="s"/>
      <c r="T201" s="508" t="s"/>
      <c r="U201" s="508" t="s"/>
      <c r="V201" s="508" t="s"/>
      <c r="W201" s="508" t="s"/>
      <c r="X201" s="508" t="s"/>
      <c r="Y201" s="508" t="s"/>
    </row>
    <row r="202" spans="1:25">
      <c r="A202" s="680" t="s"/>
      <c r="B202" s="837" t="s"/>
      <c r="C202" s="837" t="s"/>
      <c r="D202" s="838" t="s"/>
      <c r="E202" s="837" t="s"/>
      <c r="F202" s="839" t="s"/>
      <c r="G202" s="839" t="s"/>
      <c r="H202" s="837" t="s"/>
      <c r="I202" s="508" t="s"/>
      <c r="J202" s="508" t="s"/>
      <c r="K202" s="508" t="s"/>
      <c r="L202" s="508" t="s"/>
      <c r="M202" s="508" t="s"/>
      <c r="N202" s="508" t="s"/>
      <c r="O202" s="508" t="s"/>
      <c r="P202" s="508" t="s"/>
      <c r="Q202" s="508" t="s"/>
      <c r="R202" s="508" t="s"/>
      <c r="S202" s="508" t="s"/>
      <c r="T202" s="508" t="s"/>
      <c r="U202" s="508" t="s"/>
      <c r="V202" s="508" t="s"/>
      <c r="W202" s="508" t="s"/>
      <c r="X202" s="508" t="s"/>
      <c r="Y202" s="508" t="s"/>
    </row>
    <row r="203" spans="1:25">
      <c r="A203" s="680" t="s"/>
      <c r="B203" s="837" t="s"/>
      <c r="C203" s="837" t="s"/>
      <c r="D203" s="838" t="s"/>
      <c r="E203" s="837" t="s"/>
      <c r="F203" s="839" t="s"/>
      <c r="G203" s="839" t="s"/>
      <c r="H203" s="837" t="s"/>
      <c r="I203" s="508" t="s"/>
      <c r="J203" s="508" t="s"/>
      <c r="K203" s="508" t="s"/>
      <c r="L203" s="508" t="s"/>
      <c r="M203" s="508" t="s"/>
      <c r="N203" s="508" t="s"/>
      <c r="O203" s="508" t="s"/>
      <c r="P203" s="508" t="s"/>
      <c r="Q203" s="508" t="s"/>
      <c r="R203" s="508" t="s"/>
      <c r="S203" s="508" t="s"/>
      <c r="T203" s="508" t="s"/>
      <c r="U203" s="508" t="s"/>
      <c r="V203" s="508" t="s"/>
      <c r="W203" s="508" t="s"/>
      <c r="X203" s="508" t="s"/>
      <c r="Y203" s="508" t="s"/>
    </row>
    <row r="204" spans="1:25">
      <c r="A204" s="680" t="s"/>
      <c r="B204" s="837" t="s"/>
      <c r="C204" s="837" t="s"/>
      <c r="D204" s="838" t="s"/>
      <c r="E204" s="837" t="s"/>
      <c r="F204" s="839" t="s"/>
      <c r="G204" s="839" t="s"/>
      <c r="H204" s="837" t="s"/>
      <c r="I204" s="508" t="s"/>
      <c r="J204" s="508" t="s"/>
      <c r="K204" s="508" t="s"/>
      <c r="L204" s="508" t="s"/>
      <c r="M204" s="508" t="s"/>
      <c r="N204" s="508" t="s"/>
      <c r="O204" s="508" t="s"/>
      <c r="P204" s="508" t="s"/>
      <c r="Q204" s="508" t="s"/>
      <c r="R204" s="508" t="s"/>
      <c r="S204" s="508" t="s"/>
      <c r="T204" s="508" t="s"/>
      <c r="U204" s="508" t="s"/>
      <c r="V204" s="508" t="s"/>
      <c r="W204" s="508" t="s"/>
      <c r="X204" s="508" t="s"/>
      <c r="Y204" s="508" t="s"/>
    </row>
    <row r="205" spans="1:25">
      <c r="A205" s="680" t="s"/>
      <c r="B205" s="837" t="s"/>
      <c r="C205" s="837" t="s"/>
      <c r="D205" s="838" t="s"/>
      <c r="E205" s="837" t="s"/>
      <c r="F205" s="839" t="s"/>
      <c r="G205" s="839" t="s"/>
      <c r="H205" s="837" t="s"/>
      <c r="I205" s="508" t="s"/>
      <c r="J205" s="508" t="s"/>
      <c r="K205" s="508" t="s"/>
      <c r="L205" s="508" t="s"/>
      <c r="M205" s="508" t="s"/>
      <c r="N205" s="508" t="s"/>
      <c r="O205" s="508" t="s"/>
      <c r="P205" s="508" t="s"/>
      <c r="Q205" s="508" t="s"/>
      <c r="R205" s="508" t="s"/>
      <c r="S205" s="508" t="s"/>
      <c r="T205" s="508" t="s"/>
      <c r="U205" s="508" t="s"/>
      <c r="V205" s="508" t="s"/>
      <c r="W205" s="508" t="s"/>
      <c r="X205" s="508" t="s"/>
      <c r="Y205" s="508" t="s"/>
    </row>
    <row r="206" spans="1:25">
      <c r="A206" s="680" t="s"/>
      <c r="B206" s="837" t="s"/>
      <c r="C206" s="837" t="s"/>
      <c r="D206" s="838" t="s"/>
      <c r="E206" s="837" t="s"/>
      <c r="F206" s="839" t="s"/>
      <c r="G206" s="839" t="s"/>
      <c r="H206" s="837" t="s"/>
      <c r="I206" s="508" t="s"/>
      <c r="J206" s="508" t="s"/>
      <c r="K206" s="508" t="s"/>
      <c r="L206" s="508" t="s"/>
      <c r="M206" s="508" t="s"/>
      <c r="N206" s="508" t="s"/>
      <c r="O206" s="508" t="s"/>
      <c r="P206" s="508" t="s"/>
      <c r="Q206" s="508" t="s"/>
      <c r="R206" s="508" t="s"/>
      <c r="S206" s="508" t="s"/>
      <c r="T206" s="508" t="s"/>
      <c r="U206" s="508" t="s"/>
      <c r="V206" s="508" t="s"/>
      <c r="W206" s="508" t="s"/>
      <c r="X206" s="508" t="s"/>
      <c r="Y206" s="508" t="s"/>
    </row>
    <row r="207" spans="1:25">
      <c r="A207" s="680" t="s"/>
      <c r="B207" s="837" t="s"/>
      <c r="C207" s="837" t="s"/>
      <c r="D207" s="838" t="s"/>
      <c r="E207" s="837" t="s"/>
      <c r="F207" s="839" t="s"/>
      <c r="G207" s="839" t="s"/>
      <c r="H207" s="837" t="s"/>
      <c r="I207" s="508" t="s"/>
      <c r="J207" s="508" t="s"/>
      <c r="K207" s="508" t="s"/>
      <c r="L207" s="508" t="s"/>
      <c r="M207" s="508" t="s"/>
      <c r="N207" s="508" t="s"/>
      <c r="O207" s="508" t="s"/>
      <c r="P207" s="508" t="s"/>
      <c r="Q207" s="508" t="s"/>
      <c r="R207" s="508" t="s"/>
      <c r="S207" s="508" t="s"/>
      <c r="T207" s="508" t="s"/>
      <c r="U207" s="508" t="s"/>
      <c r="V207" s="508" t="s"/>
      <c r="W207" s="508" t="s"/>
      <c r="X207" s="508" t="s"/>
      <c r="Y207" s="508" t="s"/>
    </row>
    <row r="208" spans="1:25">
      <c r="A208" s="680" t="s"/>
      <c r="B208" s="837" t="s"/>
      <c r="C208" s="837" t="s"/>
      <c r="D208" s="838" t="s"/>
      <c r="E208" s="837" t="s"/>
      <c r="F208" s="839" t="s"/>
      <c r="G208" s="839" t="s"/>
      <c r="H208" s="837" t="s"/>
      <c r="I208" s="508" t="s"/>
      <c r="J208" s="508" t="s"/>
      <c r="K208" s="508" t="s"/>
      <c r="L208" s="508" t="s"/>
      <c r="M208" s="508" t="s"/>
      <c r="N208" s="508" t="s"/>
      <c r="O208" s="508" t="s"/>
      <c r="P208" s="508" t="s"/>
      <c r="Q208" s="508" t="s"/>
      <c r="R208" s="508" t="s"/>
      <c r="S208" s="508" t="s"/>
      <c r="T208" s="508" t="s"/>
      <c r="U208" s="508" t="s"/>
      <c r="V208" s="508" t="s"/>
      <c r="W208" s="508" t="s"/>
      <c r="X208" s="508" t="s"/>
      <c r="Y208" s="508" t="s"/>
    </row>
    <row r="209" spans="1:25">
      <c r="A209" s="680" t="s"/>
      <c r="B209" s="837" t="s"/>
      <c r="C209" s="837" t="s"/>
      <c r="D209" s="838" t="s"/>
      <c r="E209" s="837" t="s"/>
      <c r="F209" s="839" t="s"/>
      <c r="G209" s="839" t="s"/>
      <c r="H209" s="837" t="s"/>
      <c r="I209" s="508" t="s"/>
      <c r="J209" s="508" t="s"/>
      <c r="K209" s="508" t="s"/>
      <c r="L209" s="508" t="s"/>
      <c r="M209" s="508" t="s"/>
      <c r="N209" s="508" t="s"/>
      <c r="O209" s="508" t="s"/>
      <c r="P209" s="508" t="s"/>
      <c r="Q209" s="508" t="s"/>
      <c r="R209" s="508" t="s"/>
      <c r="S209" s="508" t="s"/>
      <c r="T209" s="508" t="s"/>
      <c r="U209" s="508" t="s"/>
      <c r="V209" s="508" t="s"/>
      <c r="W209" s="508" t="s"/>
      <c r="X209" s="508" t="s"/>
      <c r="Y209" s="508" t="s"/>
    </row>
    <row r="210" spans="1:25">
      <c r="A210" s="680" t="s"/>
      <c r="B210" s="837" t="s"/>
      <c r="C210" s="837" t="s"/>
      <c r="D210" s="838" t="s"/>
      <c r="E210" s="837" t="s"/>
      <c r="F210" s="839" t="s"/>
      <c r="G210" s="839" t="s"/>
      <c r="H210" s="837" t="s"/>
      <c r="I210" s="508" t="s"/>
      <c r="J210" s="508" t="s"/>
      <c r="K210" s="508" t="s"/>
      <c r="L210" s="508" t="s"/>
      <c r="M210" s="508" t="s"/>
      <c r="N210" s="508" t="s"/>
      <c r="O210" s="508" t="s"/>
      <c r="P210" s="508" t="s"/>
      <c r="Q210" s="508" t="s"/>
      <c r="R210" s="508" t="s"/>
      <c r="S210" s="508" t="s"/>
      <c r="T210" s="508" t="s"/>
      <c r="U210" s="508" t="s"/>
      <c r="V210" s="508" t="s"/>
      <c r="W210" s="508" t="s"/>
      <c r="X210" s="508" t="s"/>
      <c r="Y210" s="508" t="s"/>
    </row>
    <row r="211" spans="1:25">
      <c r="A211" s="680" t="s"/>
      <c r="B211" s="837" t="s"/>
      <c r="C211" s="837" t="s"/>
      <c r="D211" s="838" t="s"/>
      <c r="E211" s="837" t="s"/>
      <c r="F211" s="839" t="s"/>
      <c r="G211" s="839" t="s"/>
      <c r="H211" s="837" t="s"/>
      <c r="I211" s="508" t="s"/>
      <c r="J211" s="508" t="s"/>
      <c r="K211" s="508" t="s"/>
      <c r="L211" s="508" t="s"/>
      <c r="M211" s="508" t="s"/>
      <c r="N211" s="508" t="s"/>
      <c r="O211" s="508" t="s"/>
      <c r="P211" s="508" t="s"/>
      <c r="Q211" s="508" t="s"/>
      <c r="R211" s="508" t="s"/>
      <c r="S211" s="508" t="s"/>
      <c r="T211" s="508" t="s"/>
      <c r="U211" s="508" t="s"/>
      <c r="V211" s="508" t="s"/>
      <c r="W211" s="508" t="s"/>
      <c r="X211" s="508" t="s"/>
      <c r="Y211" s="508" t="s"/>
    </row>
    <row r="212" spans="1:25">
      <c r="A212" s="680" t="s"/>
      <c r="B212" s="837" t="s"/>
      <c r="C212" s="837" t="s"/>
      <c r="D212" s="838" t="s"/>
      <c r="E212" s="837" t="s"/>
      <c r="F212" s="839" t="s"/>
      <c r="G212" s="839" t="s"/>
      <c r="H212" s="837" t="s"/>
      <c r="I212" s="508" t="s"/>
      <c r="J212" s="508" t="s"/>
      <c r="K212" s="508" t="s"/>
      <c r="L212" s="508" t="s"/>
      <c r="M212" s="508" t="s"/>
      <c r="N212" s="508" t="s"/>
      <c r="O212" s="508" t="s"/>
      <c r="P212" s="508" t="s"/>
      <c r="Q212" s="508" t="s"/>
      <c r="R212" s="508" t="s"/>
      <c r="S212" s="508" t="s"/>
      <c r="T212" s="508" t="s"/>
      <c r="U212" s="508" t="s"/>
      <c r="V212" s="508" t="s"/>
      <c r="W212" s="508" t="s"/>
      <c r="X212" s="508" t="s"/>
      <c r="Y212" s="508" t="s"/>
    </row>
    <row r="213" spans="1:25">
      <c r="A213" s="680" t="s"/>
      <c r="B213" s="837" t="s"/>
      <c r="C213" s="837" t="s"/>
      <c r="D213" s="838" t="s"/>
      <c r="E213" s="837" t="s"/>
      <c r="F213" s="839" t="s"/>
      <c r="G213" s="839" t="s"/>
      <c r="H213" s="837" t="s"/>
      <c r="I213" s="508" t="s"/>
      <c r="J213" s="508" t="s"/>
      <c r="K213" s="508" t="s"/>
      <c r="L213" s="508" t="s"/>
      <c r="M213" s="508" t="s"/>
      <c r="N213" s="508" t="s"/>
      <c r="O213" s="508" t="s"/>
      <c r="P213" s="508" t="s"/>
      <c r="Q213" s="508" t="s"/>
      <c r="R213" s="508" t="s"/>
      <c r="S213" s="508" t="s"/>
      <c r="T213" s="508" t="s"/>
      <c r="U213" s="508" t="s"/>
      <c r="V213" s="508" t="s"/>
      <c r="W213" s="508" t="s"/>
      <c r="X213" s="508" t="s"/>
      <c r="Y213" s="508" t="s"/>
    </row>
    <row r="214" spans="1:25">
      <c r="A214" s="680" t="s"/>
      <c r="B214" s="837" t="s"/>
      <c r="C214" s="837" t="s"/>
      <c r="D214" s="838" t="s"/>
      <c r="E214" s="837" t="s"/>
      <c r="F214" s="839" t="s"/>
      <c r="G214" s="839" t="s"/>
      <c r="H214" s="837" t="s"/>
      <c r="I214" s="508" t="s"/>
      <c r="J214" s="508" t="s"/>
      <c r="K214" s="508" t="s"/>
      <c r="L214" s="508" t="s"/>
      <c r="M214" s="508" t="s"/>
      <c r="N214" s="508" t="s"/>
      <c r="O214" s="508" t="s"/>
      <c r="P214" s="508" t="s"/>
      <c r="Q214" s="508" t="s"/>
      <c r="R214" s="508" t="s"/>
      <c r="S214" s="508" t="s"/>
      <c r="T214" s="508" t="s"/>
      <c r="U214" s="508" t="s"/>
      <c r="V214" s="508" t="s"/>
      <c r="W214" s="508" t="s"/>
      <c r="X214" s="508" t="s"/>
      <c r="Y214" s="508" t="s"/>
    </row>
    <row r="215" spans="1:25">
      <c r="A215" s="680" t="s"/>
      <c r="B215" s="837" t="s"/>
      <c r="C215" s="837" t="s"/>
      <c r="D215" s="838" t="s"/>
      <c r="E215" s="837" t="s"/>
      <c r="F215" s="839" t="s"/>
      <c r="G215" s="839" t="s"/>
      <c r="H215" s="837" t="s"/>
      <c r="I215" s="508" t="s"/>
      <c r="J215" s="508" t="s"/>
      <c r="K215" s="508" t="s"/>
      <c r="L215" s="508" t="s"/>
      <c r="M215" s="508" t="s"/>
      <c r="N215" s="508" t="s"/>
      <c r="O215" s="508" t="s"/>
      <c r="P215" s="508" t="s"/>
      <c r="Q215" s="508" t="s"/>
      <c r="R215" s="508" t="s"/>
      <c r="S215" s="508" t="s"/>
      <c r="T215" s="508" t="s"/>
      <c r="U215" s="508" t="s"/>
      <c r="V215" s="508" t="s"/>
      <c r="W215" s="508" t="s"/>
      <c r="X215" s="508" t="s"/>
      <c r="Y215" s="508" t="s"/>
    </row>
    <row r="216" spans="1:25">
      <c r="A216" s="680" t="s"/>
      <c r="B216" s="837" t="s"/>
      <c r="C216" s="837" t="s"/>
      <c r="D216" s="838" t="s"/>
      <c r="E216" s="837" t="s"/>
      <c r="F216" s="839" t="s"/>
      <c r="G216" s="839" t="s"/>
      <c r="H216" s="837" t="s"/>
      <c r="I216" s="508" t="s"/>
      <c r="J216" s="508" t="s"/>
      <c r="K216" s="508" t="s"/>
      <c r="L216" s="508" t="s"/>
      <c r="M216" s="508" t="s"/>
      <c r="N216" s="508" t="s"/>
      <c r="O216" s="508" t="s"/>
      <c r="P216" s="508" t="s"/>
      <c r="Q216" s="508" t="s"/>
      <c r="R216" s="508" t="s"/>
      <c r="S216" s="508" t="s"/>
      <c r="T216" s="508" t="s"/>
      <c r="U216" s="508" t="s"/>
      <c r="V216" s="508" t="s"/>
      <c r="W216" s="508" t="s"/>
      <c r="X216" s="508" t="s"/>
      <c r="Y216" s="508" t="s"/>
    </row>
    <row r="217" spans="1:25">
      <c r="A217" s="680" t="s"/>
      <c r="B217" s="837" t="s"/>
      <c r="C217" s="837" t="s"/>
      <c r="D217" s="680" t="s"/>
      <c r="E217" s="837" t="s"/>
      <c r="F217" s="837" t="s"/>
      <c r="G217" s="680" t="s"/>
      <c r="H217" s="837" t="s"/>
      <c r="I217" s="508" t="s"/>
      <c r="J217" s="508" t="s"/>
      <c r="K217" s="508" t="s"/>
      <c r="L217" s="508" t="s"/>
      <c r="M217" s="508" t="s"/>
      <c r="N217" s="508" t="s"/>
      <c r="O217" s="508" t="s"/>
      <c r="P217" s="508" t="s"/>
      <c r="Q217" s="508" t="s"/>
      <c r="R217" s="508" t="s"/>
      <c r="S217" s="508" t="s"/>
      <c r="T217" s="508" t="s"/>
      <c r="U217" s="508" t="s"/>
      <c r="V217" s="508" t="s"/>
      <c r="W217" s="508" t="s"/>
      <c r="X217" s="508" t="s"/>
      <c r="Y217" s="508" t="s"/>
    </row>
    <row r="218" spans="1:25">
      <c r="A218" s="680" t="s"/>
      <c r="B218" s="837" t="s"/>
      <c r="C218" s="837" t="s"/>
      <c r="D218" s="680" t="s"/>
      <c r="E218" s="837" t="s"/>
      <c r="F218" s="837" t="s"/>
      <c r="G218" s="680" t="s"/>
      <c r="H218" s="837" t="s"/>
      <c r="I218" s="508" t="s"/>
      <c r="J218" s="508" t="s"/>
      <c r="K218" s="508" t="s"/>
      <c r="L218" s="508" t="s"/>
      <c r="M218" s="508" t="s"/>
      <c r="N218" s="508" t="s"/>
      <c r="O218" s="508" t="s"/>
      <c r="P218" s="508" t="s"/>
      <c r="Q218" s="508" t="s"/>
      <c r="R218" s="508" t="s"/>
      <c r="S218" s="508" t="s"/>
      <c r="T218" s="508" t="s"/>
      <c r="U218" s="508" t="s"/>
      <c r="V218" s="508" t="s"/>
      <c r="W218" s="508" t="s"/>
      <c r="X218" s="508" t="s"/>
      <c r="Y218" s="508" t="s"/>
    </row>
  </sheetData>
  <mergeCells count="28">
    <mergeCell ref="A1:H1"/>
    <mergeCell ref="J1:L1"/>
    <mergeCell ref="A2:H2"/>
    <mergeCell ref="J2:L2"/>
    <mergeCell ref="A4:A8"/>
    <mergeCell ref="B4:B8"/>
    <mergeCell ref="C4:C8"/>
    <mergeCell ref="L4:L8"/>
    <mergeCell ref="A9:A11"/>
    <mergeCell ref="B9:B11"/>
    <mergeCell ref="C9:C11"/>
    <mergeCell ref="L9:L11"/>
    <mergeCell ref="A12:A16"/>
    <mergeCell ref="B12:B16"/>
    <mergeCell ref="C12:C16"/>
    <mergeCell ref="L12:L16"/>
    <mergeCell ref="A17:A19"/>
    <mergeCell ref="B17:B19"/>
    <mergeCell ref="C17:C19"/>
    <mergeCell ref="L17:L19"/>
    <mergeCell ref="A20:A21"/>
    <mergeCell ref="B20:B21"/>
    <mergeCell ref="C20:C21"/>
    <mergeCell ref="L20:L21"/>
    <mergeCell ref="A22:A28"/>
    <mergeCell ref="B22:B28"/>
    <mergeCell ref="C22:C28"/>
    <mergeCell ref="L22:L28"/>
  </mergeCells>
  <dataValidations>
    <dataValidation type="list" errorStyle="stop" allowBlank="true" showDropDown="false" showInputMessage="true" showErrorMessage="true" prompt="" sqref="G3:G1048576">
      <formula1>"社招,校招,社招&amp;校招,"</formula1>
    </dataValidation>
    <dataValidation type="list" errorStyle="stop" allowBlank="true" showDropDown="false" showInputMessage="true" showErrorMessage="true" prompt="" sqref="A3:A1048576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D3:D1048576">
      <formula1>"新增需求,替补需求,储备需求,上个月未交付延期本月,"</formula1>
    </dataValidation>
  </dataValidations>
</worksheet>
</file>

<file path=xl/worksheets/sheet3.xml><?xml version="1.0" encoding="utf-8"?>
<worksheet xmlns="http://schemas.openxmlformats.org/spreadsheetml/2006/main">
  <sheetPr codeName="2026-7">
    <tabColor/>
  </sheetPr>
  <dimension ref="J21"/>
  <sheetViews>
    <sheetView showGridLines="true" workbookViewId="0"/>
  </sheetViews>
  <sheetFormatPr baseColWidth="13" defaultRowHeight="18" customHeight="true"/>
  <cols>
    <col min="6" max="6" width="38.0312" customWidth="true"/>
  </cols>
  <sheetData>
    <row r="1" spans="1:7">
      <c r="A1" s="705" t="s">
        <v>379</v>
      </c>
      <c r="G1" s="706" t="s">
        <v>381</v>
      </c>
    </row>
    <row r="2" spans="1:10">
      <c r="A2" s="956" t="s">
        <v>23</v>
      </c>
      <c r="B2" s="957" t="s"/>
      <c r="C2" s="958" t="s"/>
      <c r="D2" s="958" t="s"/>
      <c r="E2" s="958" t="s"/>
      <c r="F2" s="958" t="s"/>
      <c r="G2" s="959" t="s">
        <v>185</v>
      </c>
      <c r="H2" s="960" t="s"/>
      <c r="I2" s="960" t="s"/>
      <c r="J2" s="961" t="s"/>
    </row>
    <row r="3" spans="1:10">
      <c r="A3" s="363" t="s">
        <v>6</v>
      </c>
      <c r="B3" s="34" t="s">
        <v>26</v>
      </c>
      <c r="C3" s="34" t="s">
        <v>9</v>
      </c>
      <c r="D3" s="34" t="s">
        <v>10</v>
      </c>
      <c r="E3" s="34" t="s">
        <v>11</v>
      </c>
      <c r="F3" s="962" t="s">
        <v>125</v>
      </c>
      <c r="G3" s="963" t="s">
        <v>16</v>
      </c>
      <c r="H3" s="964" t="s">
        <v>17</v>
      </c>
      <c r="I3" s="964" t="s">
        <v>126</v>
      </c>
      <c r="J3" s="965" t="s">
        <v>186</v>
      </c>
    </row>
    <row r="4" spans="1:10">
      <c r="A4" s="93" t="s">
        <v>19</v>
      </c>
      <c r="B4" s="95" t="s">
        <v>20</v>
      </c>
      <c r="C4" s="94" t="s">
        <v>31</v>
      </c>
      <c r="D4" s="966">
        <v>10</v>
      </c>
      <c r="E4" s="966" t="s">
        <v>22</v>
      </c>
      <c r="F4" s="967" t="s">
        <v>187</v>
      </c>
      <c r="G4" s="968" t="s"/>
      <c r="H4" s="69" t="s"/>
      <c r="I4" s="69" t="s"/>
      <c r="J4" s="969" t="s"/>
    </row>
    <row r="5" spans="1:10">
      <c r="A5" s="111" t="s"/>
      <c r="B5" s="63" t="s">
        <v>20</v>
      </c>
      <c r="C5" s="62" t="s">
        <v>188</v>
      </c>
      <c r="D5" s="63">
        <v>1</v>
      </c>
      <c r="E5" s="63" t="s">
        <v>22</v>
      </c>
      <c r="F5" s="970" t="s">
        <v>189</v>
      </c>
      <c r="G5" s="971" t="s"/>
      <c r="H5" s="972" t="s"/>
      <c r="I5" s="972" t="s"/>
      <c r="J5" s="973" t="s"/>
    </row>
    <row r="6" spans="1:10">
      <c r="A6" s="974" t="s">
        <v>32</v>
      </c>
      <c r="B6" s="684" t="s">
        <v>44</v>
      </c>
      <c r="C6" s="683" t="s">
        <v>45</v>
      </c>
      <c r="D6" s="684">
        <v>1</v>
      </c>
      <c r="E6" s="684" t="s">
        <v>30</v>
      </c>
      <c r="F6" s="975" t="s">
        <v>190</v>
      </c>
      <c r="G6" s="976" t="s"/>
      <c r="H6" s="135" t="s"/>
      <c r="I6" s="135" t="s"/>
      <c r="J6" s="977" t="s"/>
    </row>
    <row r="7" spans="1:10">
      <c r="A7" s="978" t="s"/>
      <c r="B7" s="684" t="s">
        <v>44</v>
      </c>
      <c r="C7" s="683" t="s">
        <v>48</v>
      </c>
      <c r="D7" s="684">
        <v>1</v>
      </c>
      <c r="E7" s="684" t="s">
        <v>30</v>
      </c>
      <c r="F7" s="975" t="s">
        <v>191</v>
      </c>
      <c r="G7" s="976" t="s"/>
      <c r="H7" s="135" t="s"/>
      <c r="I7" s="135" t="s"/>
      <c r="J7" s="977" t="s"/>
    </row>
    <row r="8" spans="1:10">
      <c r="A8" s="978" t="s"/>
      <c r="B8" s="684" t="s"/>
      <c r="C8" s="683" t="s"/>
      <c r="D8" s="684" t="s"/>
      <c r="E8" s="684" t="s"/>
      <c r="F8" s="975" t="s"/>
      <c r="G8" s="976" t="s"/>
      <c r="H8" s="135" t="s"/>
      <c r="I8" s="135" t="s"/>
      <c r="J8" s="977" t="s"/>
    </row>
    <row r="9" spans="1:10">
      <c r="A9" s="979" t="s">
        <v>39</v>
      </c>
      <c r="B9" s="980" t="s">
        <v>20</v>
      </c>
      <c r="C9" s="981" t="s">
        <v>40</v>
      </c>
      <c r="D9" s="982">
        <v>2</v>
      </c>
      <c r="E9" s="983" t="s">
        <v>30</v>
      </c>
      <c r="F9" s="984" t="s">
        <v>178</v>
      </c>
      <c r="G9" s="985" t="s"/>
      <c r="H9" s="986" t="s"/>
      <c r="I9" s="168" t="s"/>
      <c r="J9" s="987" t="s"/>
    </row>
    <row r="10" spans="1:10">
      <c r="A10" s="988" t="s">
        <v>50</v>
      </c>
      <c r="B10" s="497" t="s"/>
      <c r="C10" s="497" t="s">
        <v>27</v>
      </c>
      <c r="D10" s="989" t="s">
        <v>27</v>
      </c>
      <c r="E10" s="989" t="s"/>
      <c r="F10" s="990" t="s">
        <v>27</v>
      </c>
      <c r="G10" s="991" t="s"/>
      <c r="H10" s="992" t="s"/>
      <c r="I10" s="993" t="s"/>
      <c r="J10" s="994" t="s"/>
    </row>
    <row r="11" spans="1:10">
      <c r="A11" s="978" t="s"/>
      <c r="B11" s="497" t="s"/>
      <c r="C11" s="497" t="s"/>
      <c r="D11" s="497" t="s"/>
      <c r="E11" s="497" t="s"/>
      <c r="F11" s="990" t="s"/>
      <c r="G11" s="995" t="s"/>
      <c r="H11" s="996" t="s"/>
      <c r="I11" s="993" t="s"/>
      <c r="J11" s="994" t="s"/>
    </row>
    <row r="12" spans="1:10">
      <c r="A12" s="997" t="s">
        <v>54</v>
      </c>
      <c r="B12" s="696" t="s">
        <v>20</v>
      </c>
      <c r="C12" s="998" t="s">
        <v>57</v>
      </c>
      <c r="D12" s="696">
        <v>4</v>
      </c>
      <c r="E12" s="696" t="s">
        <v>35</v>
      </c>
      <c r="F12" s="999" t="s">
        <v>179</v>
      </c>
      <c r="G12" s="1000" t="s"/>
      <c r="H12" s="222" t="s"/>
      <c r="I12" s="222" t="s"/>
      <c r="J12" s="1001" t="s"/>
    </row>
    <row r="13" spans="1:10">
      <c r="A13" s="1002" t="s"/>
      <c r="B13" s="696" t="s">
        <v>44</v>
      </c>
      <c r="C13" s="998" t="s">
        <v>57</v>
      </c>
      <c r="D13" s="696">
        <v>2</v>
      </c>
      <c r="E13" s="696" t="s">
        <v>35</v>
      </c>
      <c r="F13" s="999" t="s">
        <v>179</v>
      </c>
      <c r="G13" s="1000" t="s"/>
      <c r="H13" s="222" t="s"/>
      <c r="I13" s="222" t="s"/>
      <c r="J13" s="1001" t="s"/>
    </row>
    <row r="14" spans="1:10">
      <c r="A14" s="1003" t="s"/>
      <c r="B14" s="1004" t="s">
        <v>44</v>
      </c>
      <c r="C14" s="695" t="s">
        <v>55</v>
      </c>
      <c r="D14" s="1004">
        <v>3</v>
      </c>
      <c r="E14" s="696" t="s">
        <v>35</v>
      </c>
      <c r="F14" s="999" t="s">
        <v>192</v>
      </c>
      <c r="G14" s="1000" t="s"/>
      <c r="H14" s="236" t="s"/>
      <c r="I14" s="222" t="s"/>
      <c r="J14" s="1005" t="s"/>
    </row>
    <row r="15" spans="1:10">
      <c r="A15" s="1006" t="s">
        <v>63</v>
      </c>
      <c r="B15" s="539" t="s">
        <v>44</v>
      </c>
      <c r="C15" s="538" t="s">
        <v>38</v>
      </c>
      <c r="D15" s="539">
        <v>1</v>
      </c>
      <c r="E15" s="539" t="s">
        <v>30</v>
      </c>
      <c r="F15" s="1007" t="s">
        <v>193</v>
      </c>
      <c r="G15" s="1008" t="s"/>
      <c r="H15" s="282" t="s"/>
      <c r="I15" s="282" t="s"/>
      <c r="J15" s="1009" t="s"/>
    </row>
    <row r="16" spans="1:10">
      <c r="A16" s="1010" t="s">
        <v>65</v>
      </c>
      <c r="B16" s="1011" t="s">
        <v>44</v>
      </c>
      <c r="C16" s="617" t="s">
        <v>69</v>
      </c>
      <c r="D16" s="618">
        <v>1</v>
      </c>
      <c r="E16" s="618" t="s">
        <v>30</v>
      </c>
      <c r="F16" s="1012" t="s">
        <v>194</v>
      </c>
      <c r="G16" s="1013" t="s"/>
      <c r="H16" s="324" t="s"/>
      <c r="I16" s="324" t="s"/>
      <c r="J16" s="1014" t="s"/>
    </row>
    <row r="17" spans="1:10">
      <c r="A17" s="254" t="s">
        <v>70</v>
      </c>
      <c r="B17" s="257" t="s"/>
      <c r="C17" s="256" t="s"/>
      <c r="D17" s="1015" t="s"/>
      <c r="E17" s="1015" t="s"/>
      <c r="F17" s="1016" t="s"/>
      <c r="G17" s="1017" t="s"/>
      <c r="H17" s="1018" t="s"/>
      <c r="I17" s="1018" t="s"/>
      <c r="J17" s="1019" t="s"/>
    </row>
    <row r="18" spans="1:10">
      <c r="A18" s="1020" t="s">
        <v>71</v>
      </c>
      <c r="B18" s="1021" t="s">
        <v>20</v>
      </c>
      <c r="C18" s="1022" t="s">
        <v>72</v>
      </c>
      <c r="D18" s="1023">
        <v>2</v>
      </c>
      <c r="E18" s="1023" t="s">
        <v>35</v>
      </c>
      <c r="F18" s="1024" t="s">
        <v>195</v>
      </c>
      <c r="G18" s="1025" t="s"/>
      <c r="H18" s="341" t="s"/>
      <c r="I18" s="358" t="s"/>
      <c r="J18" s="1026" t="s"/>
    </row>
    <row r="19" spans="1:10">
      <c r="A19" s="287" t="s"/>
      <c r="B19" s="1021" t="s">
        <v>20</v>
      </c>
      <c r="C19" s="1022" t="s">
        <v>79</v>
      </c>
      <c r="D19" s="1027">
        <v>1</v>
      </c>
      <c r="E19" s="1027" t="s">
        <v>30</v>
      </c>
      <c r="F19" s="1028" t="s">
        <v>196</v>
      </c>
      <c r="G19" s="1025" t="s"/>
      <c r="H19" s="341" t="s"/>
      <c r="I19" s="358" t="s"/>
      <c r="J19" s="1029" t="s"/>
    </row>
    <row r="20" spans="1:10">
      <c r="A20" s="1003" t="s"/>
      <c r="B20" s="1021" t="s">
        <v>44</v>
      </c>
      <c r="C20" s="553" t="s">
        <v>80</v>
      </c>
      <c r="D20" s="1027">
        <v>1</v>
      </c>
      <c r="E20" s="1027" t="s">
        <v>30</v>
      </c>
      <c r="F20" s="1028" t="s">
        <v>169</v>
      </c>
      <c r="G20" s="1025" t="s"/>
      <c r="H20" s="341" t="s"/>
      <c r="I20" s="358" t="s"/>
      <c r="J20" s="1005" t="s"/>
    </row>
    <row r="21" spans="1:10">
      <c r="A21" s="1030" t="s"/>
      <c r="B21" s="1021" t="s">
        <v>44</v>
      </c>
      <c r="C21" s="553" t="s">
        <v>83</v>
      </c>
      <c r="D21" s="1027">
        <v>1</v>
      </c>
      <c r="E21" s="1027" t="s">
        <v>30</v>
      </c>
      <c r="F21" s="1028" t="s">
        <v>197</v>
      </c>
      <c r="G21" s="1031" t="s"/>
      <c r="H21" s="1032" t="s"/>
      <c r="I21" s="1033" t="s"/>
      <c r="J21" s="1034" t="s"/>
    </row>
  </sheetData>
  <mergeCells count="12">
    <mergeCell ref="G2:J2"/>
    <mergeCell ref="A6:A8"/>
    <mergeCell ref="J7:J8"/>
    <mergeCell ref="A10:A11"/>
    <mergeCell ref="J10:J11"/>
    <mergeCell ref="A12:A14"/>
    <mergeCell ref="J12:J14"/>
    <mergeCell ref="A1:F1"/>
    <mergeCell ref="A2:F2"/>
    <mergeCell ref="G1:J1"/>
    <mergeCell ref="A18:A21"/>
    <mergeCell ref="J18:J21"/>
  </mergeCells>
  <dataValidations>
    <dataValidation type="list" errorStyle="stop" allowBlank="true" showDropDown="false" showInputMessage="true" showErrorMessage="true" prompt="" sqref="A4:A6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9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10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12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15:A19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4:B21">
      <formula1>"新增需求,替补需求,储备需求,上个月未交付延期本月,临时新增,"</formula1>
    </dataValidation>
    <dataValidation type="list" errorStyle="stop" allowBlank="true" showDropDown="false" showInputMessage="true" showErrorMessage="true" prompt="" sqref="E4:E21">
      <formula1>"社招,校招,社招&amp;校招,"</formula1>
    </dataValidation>
  </dataValidations>
</worksheet>
</file>

<file path=xl/worksheets/sheet4.xml><?xml version="1.0" encoding="utf-8"?>
<worksheet xmlns="http://schemas.openxmlformats.org/spreadsheetml/2006/main">
  <sheetPr codeName="2026-6">
    <tabColor/>
  </sheetPr>
  <dimension ref="F30"/>
  <sheetViews>
    <sheetView showGridLines="true" workbookViewId="0"/>
  </sheetViews>
  <sheetFormatPr baseColWidth="13" defaultRowHeight="18" customHeight="true"/>
  <cols>
    <col min="3" max="3" width="23.332" customWidth="true"/>
    <col min="6" max="6" width="22.5234" customWidth="true"/>
    <col min="10" max="10" width="19.9609" customWidth="true"/>
  </cols>
  <sheetData>
    <row r="1" spans="1:8">
      <c r="A1" s="705" t="s">
        <v>379</v>
      </c>
      <c r="G1" s="706" t="s"/>
      <c r="H1" s="706" t="s">
        <v>380</v>
      </c>
    </row>
    <row r="2" spans="1:10">
      <c r="A2" s="956" t="s">
        <v>14</v>
      </c>
      <c r="B2" s="957" t="s"/>
      <c r="C2" s="958" t="s"/>
      <c r="D2" s="958" t="s"/>
      <c r="E2" s="958" t="s"/>
      <c r="F2" s="958" t="s"/>
      <c r="G2" s="959" t="s">
        <v>369</v>
      </c>
      <c r="H2" s="960" t="s"/>
      <c r="I2" s="960" t="s"/>
      <c r="J2" s="961" t="s"/>
    </row>
    <row r="3" spans="1:10">
      <c r="A3" s="33" t="s"/>
      <c r="B3" s="33" t="s"/>
      <c r="C3" s="34" t="s">
        <v>9</v>
      </c>
      <c r="D3" s="34" t="s">
        <v>10</v>
      </c>
      <c r="E3" s="34" t="s">
        <v>11</v>
      </c>
      <c r="F3" s="962" t="s">
        <v>125</v>
      </c>
      <c r="G3" s="963" t="s">
        <v>16</v>
      </c>
      <c r="H3" s="964" t="s">
        <v>17</v>
      </c>
      <c r="I3" s="964" t="s">
        <v>126</v>
      </c>
      <c r="J3" s="965" t="s">
        <v>370</v>
      </c>
    </row>
    <row r="4" spans="1:10">
      <c r="A4" s="95" t="s">
        <v>19</v>
      </c>
      <c r="B4" s="95" t="s">
        <v>25</v>
      </c>
      <c r="C4" s="94" t="s">
        <v>93</v>
      </c>
      <c r="D4" s="966">
        <v>2</v>
      </c>
      <c r="E4" s="966" t="s">
        <v>35</v>
      </c>
      <c r="F4" s="967" t="s">
        <v>371</v>
      </c>
      <c r="G4" s="968">
        <v>3</v>
      </c>
      <c r="H4" s="69">
        <v>2</v>
      </c>
      <c r="I4" s="69" t="s"/>
      <c r="J4" s="969" t="s"/>
    </row>
    <row r="5" spans="1:10">
      <c r="A5" s="63" t="s"/>
      <c r="B5" s="1422" t="s">
        <v>25</v>
      </c>
      <c r="C5" s="1423" t="s">
        <v>96</v>
      </c>
      <c r="D5" s="1424" t="s"/>
      <c r="E5" s="1425" t="s">
        <v>35</v>
      </c>
      <c r="F5" s="970" t="s"/>
      <c r="G5" s="971">
        <v>1</v>
      </c>
      <c r="H5" s="972">
        <v>1</v>
      </c>
      <c r="I5" s="972" t="s"/>
      <c r="J5" s="973" t="s"/>
    </row>
    <row r="6" spans="1:10">
      <c r="A6" s="63" t="s"/>
      <c r="B6" s="1422" t="s">
        <v>25</v>
      </c>
      <c r="C6" s="1423" t="s">
        <v>21</v>
      </c>
      <c r="D6" s="1424" t="s"/>
      <c r="E6" s="1425" t="s">
        <v>35</v>
      </c>
      <c r="F6" s="970" t="s"/>
      <c r="G6" s="971">
        <v>1</v>
      </c>
      <c r="H6" s="972">
        <v>1</v>
      </c>
      <c r="I6" s="972" t="s"/>
      <c r="J6" s="973" t="s"/>
    </row>
    <row r="7" spans="1:10">
      <c r="A7" s="106" t="s">
        <v>32</v>
      </c>
      <c r="B7" s="106" t="s">
        <v>44</v>
      </c>
      <c r="C7" s="124" t="s">
        <v>372</v>
      </c>
      <c r="D7" s="106">
        <v>1</v>
      </c>
      <c r="E7" s="106" t="s">
        <v>30</v>
      </c>
      <c r="F7" s="1426" t="s"/>
      <c r="G7" s="1427" t="s"/>
      <c r="H7" s="574" t="s"/>
      <c r="I7" s="574" t="s"/>
      <c r="J7" s="1428" t="s"/>
    </row>
    <row r="8" spans="1:10">
      <c r="A8" s="1429" t="s"/>
      <c r="B8" s="106" t="s">
        <v>91</v>
      </c>
      <c r="C8" s="124" t="s">
        <v>34</v>
      </c>
      <c r="D8" s="106">
        <v>2</v>
      </c>
      <c r="E8" s="106" t="s">
        <v>35</v>
      </c>
      <c r="F8" s="1426" t="s">
        <v>159</v>
      </c>
      <c r="G8" s="1427">
        <v>3</v>
      </c>
      <c r="H8" s="574">
        <v>3</v>
      </c>
      <c r="I8" s="574" t="s"/>
      <c r="J8" s="1428" t="s"/>
    </row>
    <row r="9" spans="1:10" ht="27.75" customHeight="true">
      <c r="A9" s="1429" t="s"/>
      <c r="B9" s="106" t="s">
        <v>44</v>
      </c>
      <c r="C9" s="124" t="s">
        <v>34</v>
      </c>
      <c r="D9" s="106">
        <v>1</v>
      </c>
      <c r="E9" s="106" t="s">
        <v>35</v>
      </c>
      <c r="F9" s="1426" t="s">
        <v>201</v>
      </c>
      <c r="G9" s="976" t="s"/>
      <c r="H9" s="135" t="s"/>
      <c r="I9" s="135" t="s"/>
      <c r="J9" s="1428" t="s"/>
    </row>
    <row r="10" spans="1:10">
      <c r="A10" s="1430" t="s">
        <v>39</v>
      </c>
      <c r="B10" s="1431" t="s">
        <v>20</v>
      </c>
      <c r="C10" s="1432" t="s">
        <v>40</v>
      </c>
      <c r="D10" s="1433">
        <v>3</v>
      </c>
      <c r="E10" s="1434" t="s">
        <v>30</v>
      </c>
      <c r="F10" s="984" t="s">
        <v>178</v>
      </c>
      <c r="G10" s="985">
        <v>3</v>
      </c>
      <c r="H10" s="986">
        <v>2</v>
      </c>
      <c r="I10" s="168" t="s"/>
      <c r="J10" s="1435" t="s"/>
    </row>
    <row r="11" spans="1:10">
      <c r="A11" s="1436" t="s"/>
      <c r="B11" s="1431" t="s">
        <v>20</v>
      </c>
      <c r="C11" s="1432" t="s">
        <v>46</v>
      </c>
      <c r="D11" s="1432">
        <v>1</v>
      </c>
      <c r="E11" s="608" t="s">
        <v>30</v>
      </c>
      <c r="F11" s="984" t="s">
        <v>129</v>
      </c>
      <c r="G11" s="985">
        <v>1</v>
      </c>
      <c r="H11" s="986">
        <v>1</v>
      </c>
      <c r="I11" s="168" t="s"/>
      <c r="J11" s="1437" t="s"/>
    </row>
    <row r="12" spans="1:16" ht="25.5" customHeight="true">
      <c r="A12" s="1430" t="s"/>
      <c r="B12" s="1431" t="s">
        <v>25</v>
      </c>
      <c r="C12" s="426" t="s">
        <v>49</v>
      </c>
      <c r="D12" s="1438" t="s"/>
      <c r="E12" s="1439" t="s"/>
      <c r="F12" s="984" t="s">
        <v>27</v>
      </c>
      <c r="G12" s="991">
        <v>1</v>
      </c>
      <c r="H12" s="992">
        <v>1</v>
      </c>
      <c r="I12" s="993" t="s"/>
      <c r="J12" s="1440" t="s"/>
      <c r="K12" s="1441" t="s"/>
      <c r="L12" s="508" t="s"/>
      <c r="M12" s="508" t="s"/>
      <c r="N12" s="508" t="s"/>
      <c r="O12" s="508" t="s"/>
      <c r="P12" s="508" t="s"/>
    </row>
    <row r="13" spans="1:16" ht="25.5" customHeight="true">
      <c r="A13" s="1442" t="s">
        <v>50</v>
      </c>
      <c r="B13" s="148" t="s">
        <v>20</v>
      </c>
      <c r="C13" s="148" t="s">
        <v>51</v>
      </c>
      <c r="D13" s="148">
        <v>2</v>
      </c>
      <c r="E13" s="1443" t="s">
        <v>35</v>
      </c>
      <c r="F13" s="1444" t="s">
        <v>192</v>
      </c>
      <c r="G13" s="1445">
        <v>2</v>
      </c>
      <c r="H13" s="1446">
        <v>2</v>
      </c>
      <c r="I13" s="1447" t="s"/>
      <c r="J13" s="1440" t="s"/>
      <c r="K13" s="508" t="s"/>
      <c r="L13" s="508" t="s"/>
      <c r="M13" s="508" t="s"/>
      <c r="N13" s="508" t="s"/>
      <c r="O13" s="508" t="s"/>
      <c r="P13" s="508" t="s"/>
    </row>
    <row r="14" spans="1:10">
      <c r="A14" s="176" t="s">
        <v>54</v>
      </c>
      <c r="B14" s="696" t="s">
        <v>20</v>
      </c>
      <c r="C14" s="695" t="s">
        <v>55</v>
      </c>
      <c r="D14" s="696">
        <v>4</v>
      </c>
      <c r="E14" s="696" t="s">
        <v>35</v>
      </c>
      <c r="F14" s="999" t="s">
        <v>192</v>
      </c>
      <c r="G14" s="1000">
        <v>3</v>
      </c>
      <c r="H14" s="222">
        <v>4</v>
      </c>
      <c r="I14" s="222" t="s"/>
      <c r="J14" s="1448" t="s"/>
    </row>
    <row r="15" spans="1:10">
      <c r="A15" s="176" t="s"/>
      <c r="B15" s="176" t="s">
        <v>25</v>
      </c>
      <c r="C15" s="175" t="s">
        <v>58</v>
      </c>
      <c r="D15" s="176" t="s"/>
      <c r="E15" s="176" t="s">
        <v>30</v>
      </c>
      <c r="F15" s="1449" t="s"/>
      <c r="G15" s="1450">
        <v>2</v>
      </c>
      <c r="H15" s="1451">
        <v>1</v>
      </c>
      <c r="I15" s="1451" t="s"/>
      <c r="J15" s="1448" t="s"/>
    </row>
    <row r="16" spans="1:10">
      <c r="A16" s="174" t="s"/>
      <c r="B16" s="696" t="s">
        <v>20</v>
      </c>
      <c r="C16" s="998" t="s">
        <v>57</v>
      </c>
      <c r="D16" s="696">
        <v>6</v>
      </c>
      <c r="E16" s="696" t="s">
        <v>35</v>
      </c>
      <c r="F16" s="999" t="s">
        <v>179</v>
      </c>
      <c r="G16" s="1000">
        <v>5</v>
      </c>
      <c r="H16" s="222">
        <v>3</v>
      </c>
      <c r="I16" s="222" t="s"/>
      <c r="J16" s="1448" t="s"/>
    </row>
    <row r="17" spans="1:10">
      <c r="A17" s="176" t="s"/>
      <c r="B17" s="176" t="s">
        <v>25</v>
      </c>
      <c r="C17" s="163" t="s">
        <v>117</v>
      </c>
      <c r="D17" s="176" t="s"/>
      <c r="E17" s="176" t="s">
        <v>35</v>
      </c>
      <c r="F17" s="1449" t="s"/>
      <c r="G17" s="1450">
        <v>1</v>
      </c>
      <c r="H17" s="1451">
        <v>1</v>
      </c>
      <c r="I17" s="1451" t="s"/>
      <c r="J17" s="1448" t="s"/>
    </row>
    <row r="18" spans="1:10">
      <c r="A18" s="1452" t="s"/>
      <c r="B18" s="1004" t="s">
        <v>44</v>
      </c>
      <c r="C18" s="998" t="s">
        <v>57</v>
      </c>
      <c r="D18" s="1004">
        <v>4</v>
      </c>
      <c r="E18" s="696" t="s">
        <v>35</v>
      </c>
      <c r="F18" s="999" t="s">
        <v>179</v>
      </c>
      <c r="G18" s="1000" t="s"/>
      <c r="H18" s="236" t="s"/>
      <c r="I18" s="222" t="s"/>
      <c r="J18" s="1005" t="s"/>
    </row>
    <row r="19" spans="1:10">
      <c r="A19" s="214" t="s">
        <v>63</v>
      </c>
      <c r="B19" s="539" t="s">
        <v>20</v>
      </c>
      <c r="C19" s="538" t="s">
        <v>113</v>
      </c>
      <c r="D19" s="539">
        <v>1</v>
      </c>
      <c r="E19" s="539" t="s">
        <v>35</v>
      </c>
      <c r="F19" s="1007" t="s">
        <v>207</v>
      </c>
      <c r="G19" s="1008">
        <v>1</v>
      </c>
      <c r="H19" s="282">
        <v>1</v>
      </c>
      <c r="I19" s="282" t="s"/>
      <c r="J19" s="1453" t="s"/>
    </row>
    <row r="20" spans="1:10">
      <c r="A20" s="212" t="s"/>
      <c r="B20" s="539" t="s">
        <v>91</v>
      </c>
      <c r="C20" s="538" t="s">
        <v>64</v>
      </c>
      <c r="D20" s="539">
        <v>1</v>
      </c>
      <c r="E20" s="539" t="s">
        <v>35</v>
      </c>
      <c r="F20" s="1007" t="s">
        <v>193</v>
      </c>
      <c r="G20" s="1008" t="s"/>
      <c r="H20" s="282">
        <v>1</v>
      </c>
      <c r="I20" s="282" t="s"/>
      <c r="J20" s="1453" t="s"/>
    </row>
    <row r="21" spans="1:10">
      <c r="A21" s="214" t="s"/>
      <c r="B21" s="214" t="s">
        <v>25</v>
      </c>
      <c r="C21" s="213" t="s">
        <v>119</v>
      </c>
      <c r="D21" s="214">
        <v>1</v>
      </c>
      <c r="E21" s="214" t="s">
        <v>35</v>
      </c>
      <c r="F21" s="1454" t="s">
        <v>373</v>
      </c>
      <c r="G21" s="1455">
        <v>1</v>
      </c>
      <c r="H21" s="1456">
        <v>1</v>
      </c>
      <c r="I21" s="1456" t="s"/>
      <c r="J21" s="1453" t="s"/>
    </row>
    <row r="22" spans="1:10" ht="27.75" customHeight="true">
      <c r="A22" s="229" t="s">
        <v>65</v>
      </c>
      <c r="B22" s="1457" t="s">
        <v>44</v>
      </c>
      <c r="C22" s="228" t="s">
        <v>67</v>
      </c>
      <c r="D22" s="229">
        <v>1</v>
      </c>
      <c r="E22" s="229" t="s">
        <v>30</v>
      </c>
      <c r="F22" s="1458" t="s">
        <v>374</v>
      </c>
      <c r="G22" s="1459" t="s"/>
      <c r="H22" s="1460" t="s"/>
      <c r="I22" s="1460" t="s"/>
      <c r="J22" s="1461" t="s"/>
    </row>
    <row r="23" spans="1:10" ht="27.75" customHeight="true">
      <c r="A23" s="1429" t="s"/>
      <c r="B23" s="1457" t="s">
        <v>25</v>
      </c>
      <c r="C23" s="228" t="s">
        <v>66</v>
      </c>
      <c r="D23" s="229">
        <v>2</v>
      </c>
      <c r="E23" s="229" t="s">
        <v>35</v>
      </c>
      <c r="F23" s="1458" t="s">
        <v>375</v>
      </c>
      <c r="G23" s="1459">
        <v>1</v>
      </c>
      <c r="H23" s="1460" t="s"/>
      <c r="I23" s="1460" t="s"/>
      <c r="J23" s="1461" t="s"/>
    </row>
    <row r="24" spans="1:10">
      <c r="A24" s="1429" t="s"/>
      <c r="B24" s="1457" t="s">
        <v>44</v>
      </c>
      <c r="C24" s="228" t="s">
        <v>376</v>
      </c>
      <c r="D24" s="229">
        <v>1</v>
      </c>
      <c r="E24" s="229" t="s">
        <v>30</v>
      </c>
      <c r="F24" s="1458" t="s">
        <v>194</v>
      </c>
      <c r="G24" s="1459" t="s"/>
      <c r="H24" s="1460" t="s"/>
      <c r="I24" s="1460" t="s"/>
      <c r="J24" s="1461" t="s"/>
    </row>
    <row r="25" spans="1:10">
      <c r="A25" s="264" t="s">
        <v>75</v>
      </c>
      <c r="B25" s="1462" t="s">
        <v>25</v>
      </c>
      <c r="C25" s="97" t="s">
        <v>76</v>
      </c>
      <c r="D25" s="1463" t="s"/>
      <c r="E25" s="1464" t="s">
        <v>35</v>
      </c>
      <c r="F25" s="1465">
        <v>1</v>
      </c>
      <c r="G25" s="1017">
        <v>1</v>
      </c>
      <c r="H25" s="1018">
        <v>1</v>
      </c>
      <c r="I25" s="1018" t="s"/>
      <c r="J25" s="1466" t="s"/>
    </row>
    <row r="26" spans="1:10">
      <c r="A26" s="290" t="s">
        <v>71</v>
      </c>
      <c r="B26" s="1021" t="s">
        <v>20</v>
      </c>
      <c r="C26" s="1022" t="s">
        <v>72</v>
      </c>
      <c r="D26" s="1023">
        <v>1</v>
      </c>
      <c r="E26" s="1023" t="s">
        <v>30</v>
      </c>
      <c r="F26" s="1024" t="s">
        <v>211</v>
      </c>
      <c r="G26" s="1025">
        <v>1</v>
      </c>
      <c r="H26" s="341" t="s"/>
      <c r="I26" s="358" t="s"/>
      <c r="J26" s="1029" t="s"/>
    </row>
    <row r="27" spans="2:10">
      <c r="B27" s="493" t="s">
        <v>91</v>
      </c>
      <c r="C27" s="492" t="s">
        <v>108</v>
      </c>
      <c r="D27" s="493" t="s"/>
      <c r="E27" s="665" t="s">
        <v>30</v>
      </c>
      <c r="F27" s="1024" t="s">
        <v>377</v>
      </c>
      <c r="G27" s="1025">
        <v>1</v>
      </c>
      <c r="H27" s="341">
        <v>1</v>
      </c>
      <c r="I27" s="358" t="s"/>
      <c r="J27" s="1005" t="s"/>
    </row>
    <row r="28" spans="2:10">
      <c r="B28" s="671" t="s">
        <v>91</v>
      </c>
      <c r="C28" s="670" t="s">
        <v>77</v>
      </c>
      <c r="D28" s="671" t="s"/>
      <c r="E28" s="672" t="s">
        <v>30</v>
      </c>
      <c r="F28" s="1024" t="s">
        <v>73</v>
      </c>
      <c r="G28" s="1031" t="s"/>
      <c r="H28" s="1032">
        <v>1</v>
      </c>
      <c r="I28" s="1033" t="s"/>
      <c r="J28" s="1467" t="s"/>
    </row>
    <row r="29" spans="1:6">
      <c r="A29" s="1468" t="s"/>
      <c r="B29" s="1021" t="s">
        <v>44</v>
      </c>
      <c r="C29" s="553" t="s">
        <v>80</v>
      </c>
      <c r="D29" s="1027">
        <v>1</v>
      </c>
      <c r="E29" s="1027" t="s">
        <v>30</v>
      </c>
      <c r="F29" s="1028" t="s">
        <v>169</v>
      </c>
    </row>
    <row r="30" spans="1:6">
      <c r="A30" s="554" t="s"/>
      <c r="B30" s="1021" t="s">
        <v>44</v>
      </c>
      <c r="C30" s="553" t="s">
        <v>83</v>
      </c>
      <c r="D30" s="1027">
        <v>1</v>
      </c>
      <c r="E30" s="1027" t="s">
        <v>30</v>
      </c>
      <c r="F30" s="1028" t="s">
        <v>197</v>
      </c>
    </row>
  </sheetData>
  <autoFilter ref="A3:J3">
    <sortState ref="A4:J3"/>
  </autoFilter>
  <mergeCells count="14">
    <mergeCell ref="H1:J1"/>
    <mergeCell ref="G2:J2"/>
    <mergeCell ref="A1:F1"/>
    <mergeCell ref="A2:F2"/>
    <mergeCell ref="J12:J13"/>
    <mergeCell ref="A19:A20"/>
    <mergeCell ref="J19:J20"/>
    <mergeCell ref="J26:J28"/>
    <mergeCell ref="A22:A24"/>
    <mergeCell ref="J10:J11"/>
    <mergeCell ref="J8:J9"/>
    <mergeCell ref="A7:A9"/>
    <mergeCell ref="A14:A18"/>
    <mergeCell ref="J14:J18"/>
  </mergeCells>
  <dataValidations>
    <dataValidation type="list" errorStyle="stop" allowBlank="true" showDropDown="false" showInputMessage="true" showErrorMessage="true" prompt="" sqref="A3:A7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10:A1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13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14:A15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17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19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21:A22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2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26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30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3:B30">
      <formula1>"新增需求,替补需求,储备需求,上个月未交付延期本月,临时新增,"</formula1>
    </dataValidation>
    <dataValidation type="list" errorStyle="stop" allowBlank="true" showDropDown="false" showInputMessage="true" showErrorMessage="true" prompt="" sqref="E4:E30">
      <formula1>"社招,校招,社招&amp;校招,"</formula1>
    </dataValidation>
  </dataValidations>
</worksheet>
</file>

<file path=xl/worksheets/sheet5.xml><?xml version="1.0" encoding="utf-8"?>
<worksheet xmlns="http://schemas.openxmlformats.org/spreadsheetml/2006/main">
  <sheetPr codeName="2026-5">
    <tabColor/>
  </sheetPr>
  <dimension ref="I35"/>
  <sheetViews>
    <sheetView showGridLines="true" workbookViewId="0"/>
  </sheetViews>
  <sheetFormatPr baseColWidth="13" defaultRowHeight="18" customHeight="true"/>
  <cols>
    <col min="3" max="3" width="23.332" customWidth="true"/>
    <col min="6" max="6" width="45.9922" customWidth="true"/>
    <col min="7" max="9" width="13.6719"/>
    <col min="10" max="10" width="19.9609" customWidth="true"/>
  </cols>
  <sheetData>
    <row r="1" spans="1:8">
      <c r="A1" s="705" t="s">
        <v>379</v>
      </c>
      <c r="G1" s="706" t="s"/>
      <c r="H1" s="706" t="s">
        <v>380</v>
      </c>
    </row>
    <row r="2" spans="1:10">
      <c r="A2" s="707" t="s">
        <v>198</v>
      </c>
      <c r="B2" s="708" t="s"/>
      <c r="C2" s="709" t="s"/>
      <c r="D2" s="709" t="s"/>
      <c r="E2" s="709" t="s"/>
      <c r="F2" s="709" t="s"/>
      <c r="G2" s="1035" t="s">
        <v>199</v>
      </c>
      <c r="H2" s="1036" t="s"/>
      <c r="I2" s="1036" t="s"/>
      <c r="J2" s="1037" t="s"/>
    </row>
    <row r="3" spans="1:10">
      <c r="A3" s="1038" t="s"/>
      <c r="B3" s="1038" t="s"/>
      <c r="C3" s="714" t="s">
        <v>9</v>
      </c>
      <c r="D3" s="714" t="s">
        <v>10</v>
      </c>
      <c r="E3" s="714" t="s">
        <v>11</v>
      </c>
      <c r="F3" s="1039" t="s">
        <v>125</v>
      </c>
      <c r="G3" s="1040" t="s">
        <v>16</v>
      </c>
      <c r="H3" s="1041" t="s">
        <v>17</v>
      </c>
      <c r="I3" s="1041" t="s">
        <v>126</v>
      </c>
      <c r="J3" s="1042" t="s">
        <v>200</v>
      </c>
    </row>
    <row r="4" spans="1:10">
      <c r="A4" s="1043" t="s">
        <v>19</v>
      </c>
      <c r="B4" s="1044" t="s">
        <v>20</v>
      </c>
      <c r="C4" s="1045" t="s">
        <v>28</v>
      </c>
      <c r="D4" s="1046">
        <v>15</v>
      </c>
      <c r="E4" s="1046" t="s">
        <v>22</v>
      </c>
      <c r="F4" s="1047" t="s"/>
      <c r="G4" s="1048">
        <v>16</v>
      </c>
      <c r="H4" s="853">
        <v>16</v>
      </c>
      <c r="I4" s="853">
        <v>0</v>
      </c>
      <c r="J4" s="1049">
        <v>90</v>
      </c>
    </row>
    <row r="5" spans="1:10">
      <c r="A5" s="770" t="s"/>
      <c r="B5" s="1044" t="s">
        <v>25</v>
      </c>
      <c r="C5" s="1045" t="s">
        <v>43</v>
      </c>
      <c r="D5" s="1046" t="s"/>
      <c r="E5" s="1046" t="s">
        <v>30</v>
      </c>
      <c r="F5" s="1047" t="s"/>
      <c r="G5" s="1048">
        <v>1</v>
      </c>
      <c r="H5" s="853">
        <v>0</v>
      </c>
      <c r="I5" s="853">
        <v>0</v>
      </c>
      <c r="J5" s="1050" t="s"/>
    </row>
    <row r="6" spans="1:10">
      <c r="A6" s="770" t="s"/>
      <c r="B6" s="1051" t="s">
        <v>25</v>
      </c>
      <c r="C6" s="1052" t="s">
        <v>21</v>
      </c>
      <c r="D6" s="1051" t="s"/>
      <c r="E6" s="1051" t="s">
        <v>22</v>
      </c>
      <c r="F6" s="1053" t="s"/>
      <c r="G6" s="1054">
        <v>7</v>
      </c>
      <c r="H6" s="1055">
        <v>6</v>
      </c>
      <c r="I6" s="1055">
        <v>17</v>
      </c>
      <c r="J6" s="1050" t="s"/>
    </row>
    <row r="7" spans="1:10">
      <c r="A7" s="770" t="s"/>
      <c r="B7" s="1051" t="s">
        <v>47</v>
      </c>
      <c r="C7" s="1052" t="s">
        <v>66</v>
      </c>
      <c r="D7" s="1051" t="s"/>
      <c r="E7" s="1051" t="s">
        <v>22</v>
      </c>
      <c r="F7" s="1053" t="s"/>
      <c r="G7" s="1054">
        <v>0</v>
      </c>
      <c r="H7" s="1055">
        <v>1</v>
      </c>
      <c r="I7" s="1055">
        <v>2</v>
      </c>
      <c r="J7" s="1050" t="s"/>
    </row>
    <row r="8" spans="1:10">
      <c r="A8" s="1056" t="s">
        <v>32</v>
      </c>
      <c r="B8" s="1057" t="s">
        <v>20</v>
      </c>
      <c r="C8" s="1058" t="s">
        <v>34</v>
      </c>
      <c r="D8" s="1057">
        <v>1</v>
      </c>
      <c r="E8" s="1057" t="s">
        <v>35</v>
      </c>
      <c r="F8" s="1059" t="s">
        <v>159</v>
      </c>
      <c r="G8" s="1060">
        <v>1</v>
      </c>
      <c r="H8" s="1061">
        <v>1</v>
      </c>
      <c r="I8" s="1061">
        <v>3</v>
      </c>
      <c r="J8" s="1062">
        <v>41</v>
      </c>
    </row>
    <row r="9" spans="1:10" ht="27.75" customHeight="true">
      <c r="A9" s="770" t="s"/>
      <c r="B9" s="1057" t="s">
        <v>20</v>
      </c>
      <c r="C9" s="1063" t="s">
        <v>41</v>
      </c>
      <c r="D9" s="1057">
        <v>1</v>
      </c>
      <c r="E9" s="1057" t="s">
        <v>35</v>
      </c>
      <c r="F9" s="1059" t="s">
        <v>201</v>
      </c>
      <c r="G9" s="1064">
        <v>0</v>
      </c>
      <c r="H9" s="866">
        <v>0</v>
      </c>
      <c r="I9" s="866">
        <v>1</v>
      </c>
      <c r="J9" s="1050" t="s"/>
    </row>
    <row r="10" spans="1:10">
      <c r="A10" s="770" t="s"/>
      <c r="B10" s="1065" t="s">
        <v>44</v>
      </c>
      <c r="C10" s="1066" t="s">
        <v>52</v>
      </c>
      <c r="D10" s="1065">
        <v>1</v>
      </c>
      <c r="E10" s="1065" t="s">
        <v>30</v>
      </c>
      <c r="F10" s="1067" t="s">
        <v>177</v>
      </c>
      <c r="G10" s="1064">
        <v>0</v>
      </c>
      <c r="H10" s="866">
        <v>0</v>
      </c>
      <c r="I10" s="866">
        <v>0</v>
      </c>
      <c r="J10" s="1050" t="s"/>
    </row>
    <row r="11" spans="1:10">
      <c r="A11" s="1068" t="s">
        <v>39</v>
      </c>
      <c r="B11" s="1069" t="s">
        <v>20</v>
      </c>
      <c r="C11" s="1070" t="s">
        <v>40</v>
      </c>
      <c r="D11" s="1071">
        <v>5</v>
      </c>
      <c r="E11" s="1072" t="s">
        <v>30</v>
      </c>
      <c r="F11" s="1073" t="s">
        <v>178</v>
      </c>
      <c r="G11" s="1074">
        <v>1</v>
      </c>
      <c r="H11" s="1075">
        <v>1</v>
      </c>
      <c r="I11" s="883">
        <v>0</v>
      </c>
      <c r="J11" s="1076">
        <v>57</v>
      </c>
    </row>
    <row r="12" spans="1:10">
      <c r="A12" s="1077" t="s"/>
      <c r="B12" s="1069" t="s">
        <v>20</v>
      </c>
      <c r="C12" s="1070" t="s">
        <v>46</v>
      </c>
      <c r="D12" s="1070">
        <v>2</v>
      </c>
      <c r="E12" s="1069" t="s">
        <v>30</v>
      </c>
      <c r="F12" s="1073" t="s">
        <v>129</v>
      </c>
      <c r="G12" s="1074">
        <v>0</v>
      </c>
      <c r="H12" s="1075">
        <v>0</v>
      </c>
      <c r="I12" s="883">
        <v>1</v>
      </c>
      <c r="J12" s="1078" t="s"/>
    </row>
    <row r="13" spans="1:10">
      <c r="A13" s="1079" t="s"/>
      <c r="B13" s="1069" t="s">
        <v>20</v>
      </c>
      <c r="C13" s="1080" t="s">
        <v>49</v>
      </c>
      <c r="D13" s="1081">
        <v>2</v>
      </c>
      <c r="E13" s="1069" t="s">
        <v>30</v>
      </c>
      <c r="F13" s="1082" t="s">
        <v>202</v>
      </c>
      <c r="G13" s="1083">
        <v>0</v>
      </c>
      <c r="H13" s="883">
        <v>0</v>
      </c>
      <c r="I13" s="883">
        <v>0</v>
      </c>
      <c r="J13" s="1078" t="s"/>
    </row>
    <row r="14" spans="1:23" ht="25.5" customHeight="true">
      <c r="A14" s="1084" t="s">
        <v>50</v>
      </c>
      <c r="B14" s="1085" t="s">
        <v>20</v>
      </c>
      <c r="C14" s="1085" t="s">
        <v>59</v>
      </c>
      <c r="D14" s="1086">
        <v>3</v>
      </c>
      <c r="E14" s="1086" t="s">
        <v>30</v>
      </c>
      <c r="F14" s="1087" t="s">
        <v>203</v>
      </c>
      <c r="G14" s="1088">
        <v>2</v>
      </c>
      <c r="H14" s="1089">
        <v>2</v>
      </c>
      <c r="I14" s="897">
        <v>1</v>
      </c>
      <c r="J14" s="1090">
        <v>26</v>
      </c>
      <c r="K14" s="508" t="s"/>
      <c r="L14" s="508" t="s"/>
      <c r="M14" s="508" t="s"/>
      <c r="N14" s="508" t="s"/>
      <c r="O14" s="508" t="s"/>
      <c r="P14" s="508" t="s"/>
      <c r="Q14" s="508" t="s"/>
      <c r="R14" s="508" t="s"/>
      <c r="S14" s="508" t="s"/>
      <c r="T14" s="508" t="s"/>
      <c r="U14" s="508" t="s"/>
      <c r="V14" s="508" t="s"/>
      <c r="W14" s="508" t="s"/>
    </row>
    <row r="15" spans="1:23" ht="25.5" customHeight="true">
      <c r="A15" s="6" t="s"/>
      <c r="B15" s="1091" t="s">
        <v>20</v>
      </c>
      <c r="C15" s="1091" t="s">
        <v>61</v>
      </c>
      <c r="D15" s="1091">
        <v>1</v>
      </c>
      <c r="E15" s="1091" t="s">
        <v>30</v>
      </c>
      <c r="F15" s="1092" t="s">
        <v>204</v>
      </c>
      <c r="G15" s="1093">
        <v>0</v>
      </c>
      <c r="H15" s="1094">
        <v>0</v>
      </c>
      <c r="I15" s="1095">
        <v>0</v>
      </c>
      <c r="J15" s="1096" t="s"/>
      <c r="K15" s="508" t="s"/>
      <c r="L15" s="508" t="s"/>
      <c r="M15" s="508" t="s"/>
      <c r="N15" s="508" t="s"/>
      <c r="O15" s="508" t="s"/>
      <c r="P15" s="508" t="s"/>
      <c r="Q15" s="508" t="s"/>
      <c r="R15" s="508" t="s"/>
      <c r="S15" s="508" t="s"/>
      <c r="T15" s="508" t="s"/>
      <c r="U15" s="508" t="s"/>
      <c r="V15" s="508" t="s"/>
      <c r="W15" s="508" t="s"/>
    </row>
    <row r="16" spans="1:23" ht="25.5" customHeight="true">
      <c r="A16" s="6" t="s"/>
      <c r="B16" s="1097" t="s">
        <v>25</v>
      </c>
      <c r="C16" s="1098" t="s">
        <v>107</v>
      </c>
      <c r="D16" s="1098" t="s"/>
      <c r="E16" s="1097" t="s">
        <v>30</v>
      </c>
      <c r="F16" s="1099" t="s"/>
      <c r="G16" s="1100">
        <v>0</v>
      </c>
      <c r="H16" s="1101">
        <v>1</v>
      </c>
      <c r="I16" s="1102">
        <v>0</v>
      </c>
      <c r="J16" s="729" t="s"/>
      <c r="K16" s="508" t="s"/>
      <c r="L16" s="508" t="s"/>
      <c r="M16" s="508" t="s"/>
      <c r="N16" s="508" t="s"/>
      <c r="O16" s="508" t="s"/>
      <c r="P16" s="508" t="s"/>
      <c r="Q16" s="508" t="s"/>
      <c r="R16" s="508" t="s"/>
      <c r="S16" s="508" t="s"/>
      <c r="T16" s="508" t="s"/>
      <c r="U16" s="508" t="s"/>
      <c r="V16" s="508" t="s"/>
      <c r="W16" s="508" t="s"/>
    </row>
    <row r="17" spans="1:23" ht="25.5" customHeight="true">
      <c r="A17" s="6" t="s"/>
      <c r="B17" s="1097" t="s">
        <v>25</v>
      </c>
      <c r="C17" s="1098" t="s">
        <v>109</v>
      </c>
      <c r="D17" s="1098" t="s"/>
      <c r="E17" s="1097" t="s">
        <v>30</v>
      </c>
      <c r="F17" s="1099" t="s"/>
      <c r="G17" s="1100">
        <v>1</v>
      </c>
      <c r="H17" s="1101">
        <v>1</v>
      </c>
      <c r="I17" s="1102">
        <v>1</v>
      </c>
      <c r="J17" s="729" t="s"/>
      <c r="K17" s="508" t="s"/>
      <c r="L17" s="508" t="s"/>
      <c r="M17" s="508" t="s"/>
      <c r="N17" s="508" t="s"/>
      <c r="O17" s="508" t="s"/>
      <c r="P17" s="508" t="s"/>
      <c r="Q17" s="508" t="s"/>
      <c r="R17" s="508" t="s"/>
      <c r="S17" s="508" t="s"/>
      <c r="T17" s="508" t="s"/>
      <c r="U17" s="508" t="s"/>
      <c r="V17" s="508" t="s"/>
      <c r="W17" s="508" t="s"/>
    </row>
    <row r="18" spans="1:23" ht="25.5" customHeight="true">
      <c r="A18" s="6" t="s"/>
      <c r="B18" s="1097" t="s">
        <v>25</v>
      </c>
      <c r="C18" s="1098" t="s">
        <v>51</v>
      </c>
      <c r="D18" s="1098" t="s"/>
      <c r="E18" s="1097" t="s">
        <v>30</v>
      </c>
      <c r="F18" s="1099" t="s"/>
      <c r="G18" s="1100">
        <v>1</v>
      </c>
      <c r="H18" s="1101">
        <v>1</v>
      </c>
      <c r="I18" s="1102">
        <v>1</v>
      </c>
      <c r="J18" s="730" t="s"/>
      <c r="K18" s="508" t="s"/>
      <c r="L18" s="508" t="s"/>
      <c r="M18" s="508" t="s"/>
      <c r="N18" s="508" t="s"/>
      <c r="O18" s="508" t="s"/>
      <c r="P18" s="508" t="s"/>
      <c r="Q18" s="508" t="s"/>
      <c r="R18" s="508" t="s"/>
      <c r="S18" s="508" t="s"/>
      <c r="T18" s="508" t="s"/>
      <c r="U18" s="508" t="s"/>
      <c r="V18" s="508" t="s"/>
      <c r="W18" s="508" t="s"/>
    </row>
    <row r="19" spans="1:10">
      <c r="A19" s="1103" t="s">
        <v>54</v>
      </c>
      <c r="B19" s="1104" t="s">
        <v>20</v>
      </c>
      <c r="C19" s="1105" t="s">
        <v>55</v>
      </c>
      <c r="D19" s="1104">
        <v>6</v>
      </c>
      <c r="E19" s="1104" t="s">
        <v>35</v>
      </c>
      <c r="F19" s="1106" t="s">
        <v>192</v>
      </c>
      <c r="G19" s="1107">
        <v>5</v>
      </c>
      <c r="H19" s="1108">
        <v>4</v>
      </c>
      <c r="I19" s="1108">
        <v>3</v>
      </c>
      <c r="J19" s="1109">
        <v>86</v>
      </c>
    </row>
    <row r="20" spans="1:10">
      <c r="A20" s="1110" t="s"/>
      <c r="B20" s="1111" t="s">
        <v>20</v>
      </c>
      <c r="C20" s="1112" t="s">
        <v>57</v>
      </c>
      <c r="D20" s="1111">
        <v>5</v>
      </c>
      <c r="E20" s="1111" t="s">
        <v>35</v>
      </c>
      <c r="F20" s="1113" t="s">
        <v>179</v>
      </c>
      <c r="G20" s="1114">
        <v>4</v>
      </c>
      <c r="H20" s="902">
        <v>4</v>
      </c>
      <c r="I20" s="902">
        <v>4</v>
      </c>
      <c r="J20" s="1109" t="s"/>
    </row>
    <row r="21" spans="1:10">
      <c r="A21" s="1077" t="s"/>
      <c r="B21" s="1115" t="s">
        <v>20</v>
      </c>
      <c r="C21" s="1112" t="s">
        <v>68</v>
      </c>
      <c r="D21" s="1115">
        <v>1</v>
      </c>
      <c r="E21" s="1111" t="s">
        <v>35</v>
      </c>
      <c r="F21" s="1113" t="s">
        <v>205</v>
      </c>
      <c r="G21" s="1114">
        <v>0</v>
      </c>
      <c r="H21" s="1116">
        <v>0</v>
      </c>
      <c r="I21" s="902">
        <v>0</v>
      </c>
      <c r="J21" s="1117" t="s"/>
    </row>
    <row r="22" spans="1:10">
      <c r="A22" s="1110" t="s"/>
      <c r="B22" s="1115" t="s">
        <v>44</v>
      </c>
      <c r="C22" s="1105" t="s">
        <v>55</v>
      </c>
      <c r="D22" s="1115">
        <v>1</v>
      </c>
      <c r="E22" s="1118" t="s">
        <v>35</v>
      </c>
      <c r="F22" s="1106" t="s">
        <v>192</v>
      </c>
      <c r="G22" s="1114">
        <v>0</v>
      </c>
      <c r="H22" s="1116">
        <v>0</v>
      </c>
      <c r="I22" s="902">
        <v>0</v>
      </c>
      <c r="J22" s="1109" t="s"/>
    </row>
    <row r="23" spans="1:10">
      <c r="A23" s="1119" t="s">
        <v>63</v>
      </c>
      <c r="B23" s="1120" t="s">
        <v>44</v>
      </c>
      <c r="C23" s="1121" t="s">
        <v>45</v>
      </c>
      <c r="D23" s="1120" t="s">
        <v>206</v>
      </c>
      <c r="E23" s="1120" t="s">
        <v>35</v>
      </c>
      <c r="F23" s="1122" t="s">
        <v>207</v>
      </c>
      <c r="G23" s="1123">
        <v>0</v>
      </c>
      <c r="H23" s="920">
        <v>0</v>
      </c>
      <c r="I23" s="920">
        <v>2</v>
      </c>
      <c r="J23" s="1124">
        <v>16</v>
      </c>
    </row>
    <row r="24" spans="1:10">
      <c r="A24" s="770" t="s"/>
      <c r="B24" s="1120" t="s">
        <v>20</v>
      </c>
      <c r="C24" s="1121" t="s">
        <v>38</v>
      </c>
      <c r="D24" s="1120" t="s">
        <v>206</v>
      </c>
      <c r="E24" s="1120" t="s">
        <v>35</v>
      </c>
      <c r="F24" s="1122" t="s">
        <v>193</v>
      </c>
      <c r="G24" s="1123">
        <v>2</v>
      </c>
      <c r="H24" s="920">
        <v>2</v>
      </c>
      <c r="I24" s="920">
        <v>0</v>
      </c>
      <c r="J24" s="1050" t="s"/>
    </row>
    <row r="25" spans="1:10">
      <c r="A25" s="776" t="s"/>
      <c r="B25" s="1120" t="s">
        <v>91</v>
      </c>
      <c r="C25" s="538" t="s">
        <v>73</v>
      </c>
      <c r="D25" s="1120" t="s"/>
      <c r="E25" s="1120" t="s">
        <v>35</v>
      </c>
      <c r="F25" s="1122" t="s"/>
      <c r="G25" s="1123">
        <v>2</v>
      </c>
      <c r="H25" s="920">
        <v>1</v>
      </c>
      <c r="I25" s="920">
        <v>0</v>
      </c>
      <c r="J25" s="1125" t="s"/>
    </row>
    <row r="26" spans="1:10">
      <c r="A26" s="1126" t="s">
        <v>65</v>
      </c>
      <c r="B26" s="1127" t="s">
        <v>91</v>
      </c>
      <c r="C26" s="475" t="s">
        <v>46</v>
      </c>
      <c r="D26" s="476">
        <v>1</v>
      </c>
      <c r="E26" s="476" t="s">
        <v>30</v>
      </c>
      <c r="F26" s="1128" t="s">
        <v>208</v>
      </c>
      <c r="G26" s="1129">
        <v>0</v>
      </c>
      <c r="H26" s="1130">
        <v>1</v>
      </c>
      <c r="I26" s="1130">
        <v>1</v>
      </c>
      <c r="J26" s="1131">
        <v>3</v>
      </c>
    </row>
    <row r="27" spans="1:10">
      <c r="A27" s="1132" t="s">
        <v>70</v>
      </c>
      <c r="B27" s="1133" t="s">
        <v>20</v>
      </c>
      <c r="C27" s="1134" t="s">
        <v>78</v>
      </c>
      <c r="D27" s="1135">
        <v>1</v>
      </c>
      <c r="E27" s="1135" t="s">
        <v>30</v>
      </c>
      <c r="F27" s="1136" t="s">
        <v>209</v>
      </c>
      <c r="G27" s="1137">
        <v>0</v>
      </c>
      <c r="H27" s="1138">
        <v>0</v>
      </c>
      <c r="I27" s="1138">
        <v>0</v>
      </c>
      <c r="J27" s="1139">
        <v>7</v>
      </c>
    </row>
    <row r="28" spans="1:10">
      <c r="A28" s="776" t="s"/>
      <c r="B28" s="1133" t="s">
        <v>20</v>
      </c>
      <c r="C28" s="1134" t="s">
        <v>81</v>
      </c>
      <c r="D28" s="1135">
        <v>1</v>
      </c>
      <c r="E28" s="1135" t="s">
        <v>35</v>
      </c>
      <c r="F28" s="1136" t="s">
        <v>210</v>
      </c>
      <c r="G28" s="1137">
        <v>0</v>
      </c>
      <c r="H28" s="1138">
        <v>1</v>
      </c>
      <c r="I28" s="1138">
        <v>0</v>
      </c>
      <c r="J28" s="1125" t="s"/>
    </row>
    <row r="29" spans="1:10">
      <c r="A29" s="1140" t="s">
        <v>71</v>
      </c>
      <c r="B29" s="1141" t="s">
        <v>20</v>
      </c>
      <c r="C29" s="1142" t="s">
        <v>72</v>
      </c>
      <c r="D29" s="1143">
        <v>1</v>
      </c>
      <c r="E29" s="1143" t="s">
        <v>30</v>
      </c>
      <c r="F29" s="1144" t="s">
        <v>211</v>
      </c>
      <c r="G29" s="1145">
        <v>1</v>
      </c>
      <c r="H29" s="931">
        <v>1</v>
      </c>
      <c r="I29" s="929">
        <v>1</v>
      </c>
      <c r="J29" s="1146">
        <v>17</v>
      </c>
    </row>
    <row r="30" spans="1:10">
      <c r="A30" s="1077" t="s"/>
      <c r="B30" s="1141" t="s">
        <v>20</v>
      </c>
      <c r="C30" s="1147" t="s">
        <v>80</v>
      </c>
      <c r="D30" s="1148">
        <v>1</v>
      </c>
      <c r="E30" s="1148" t="s">
        <v>30</v>
      </c>
      <c r="F30" s="1149" t="s">
        <v>169</v>
      </c>
      <c r="G30" s="1145">
        <v>0</v>
      </c>
      <c r="H30" s="931">
        <v>0</v>
      </c>
      <c r="I30" s="929">
        <v>0</v>
      </c>
      <c r="J30" s="1117" t="s"/>
    </row>
    <row r="31" spans="1:10">
      <c r="A31" s="1150" t="s"/>
      <c r="B31" s="1141" t="s">
        <v>25</v>
      </c>
      <c r="C31" s="1147" t="s">
        <v>118</v>
      </c>
      <c r="D31" s="1148" t="s"/>
      <c r="E31" s="1148" t="s">
        <v>30</v>
      </c>
      <c r="F31" s="1149" t="s"/>
      <c r="G31" s="1145">
        <v>1</v>
      </c>
      <c r="H31" s="931">
        <v>1</v>
      </c>
      <c r="I31" s="929">
        <v>0</v>
      </c>
      <c r="J31" s="1151" t="s"/>
    </row>
    <row r="32" spans="1:10">
      <c r="A32" s="821" t="s"/>
      <c r="B32" s="1141" t="s">
        <v>20</v>
      </c>
      <c r="C32" s="1147" t="s">
        <v>83</v>
      </c>
      <c r="D32" s="1148">
        <v>1</v>
      </c>
      <c r="E32" s="1148" t="s">
        <v>30</v>
      </c>
      <c r="F32" s="1149" t="s">
        <v>197</v>
      </c>
      <c r="G32" s="1145">
        <v>0</v>
      </c>
      <c r="H32" s="931">
        <v>0</v>
      </c>
      <c r="I32" s="929">
        <v>0</v>
      </c>
      <c r="J32" s="1151" t="s"/>
    </row>
    <row r="33" spans="1:10">
      <c r="A33" s="1077" t="s"/>
      <c r="B33" s="1141" t="s">
        <v>91</v>
      </c>
      <c r="C33" s="1147" t="s">
        <v>77</v>
      </c>
      <c r="D33" s="1148">
        <v>1</v>
      </c>
      <c r="E33" s="1148" t="s">
        <v>30</v>
      </c>
      <c r="F33" s="1149" t="s">
        <v>171</v>
      </c>
      <c r="G33" s="1145">
        <v>1</v>
      </c>
      <c r="H33" s="931">
        <v>0</v>
      </c>
      <c r="I33" s="929">
        <v>0</v>
      </c>
      <c r="J33" s="1117" t="s"/>
    </row>
    <row r="34" spans="1:10">
      <c r="A34" s="1077" t="s"/>
      <c r="B34" s="1152" t="s">
        <v>91</v>
      </c>
      <c r="C34" s="1147" t="s">
        <v>94</v>
      </c>
      <c r="D34" s="1148" t="s"/>
      <c r="E34" s="1148" t="s">
        <v>30</v>
      </c>
      <c r="F34" s="1149" t="s"/>
      <c r="G34" s="1145">
        <v>0</v>
      </c>
      <c r="H34" s="931">
        <v>1</v>
      </c>
      <c r="I34" s="929">
        <v>0</v>
      </c>
      <c r="J34" s="1117" t="s"/>
    </row>
    <row r="35" spans="4:9">
      <c r="D35">
        <f>=SUM(D4:D34)</f>
        <v>51</v>
      </c>
      <c r="G35">
        <f>=SUM(G4:G34)</f>
        <v>46</v>
      </c>
      <c r="H35">
        <f>=SUM(H4:H34)</f>
        <v>46</v>
      </c>
      <c r="I35">
        <f>=SUM(I4:I34)</f>
        <v>38</v>
      </c>
    </row>
  </sheetData>
  <autoFilter ref="A3:J35">
    <sortState ref="A4:J35"/>
  </autoFilter>
  <mergeCells count="20">
    <mergeCell ref="H1:J1"/>
    <mergeCell ref="G2:J2"/>
    <mergeCell ref="A19:A22"/>
    <mergeCell ref="J19:J22"/>
    <mergeCell ref="A11:A13"/>
    <mergeCell ref="J11:J13"/>
    <mergeCell ref="A27:A28"/>
    <mergeCell ref="A8:A10"/>
    <mergeCell ref="J8:J10"/>
    <mergeCell ref="J4:J7"/>
    <mergeCell ref="A4:A7"/>
    <mergeCell ref="A14:A18"/>
    <mergeCell ref="J14:J18"/>
    <mergeCell ref="A23:A25"/>
    <mergeCell ref="J23:J25"/>
    <mergeCell ref="J27:J28"/>
    <mergeCell ref="A29:A34"/>
    <mergeCell ref="J29:J34"/>
    <mergeCell ref="A1:F1"/>
    <mergeCell ref="A2:F2"/>
  </mergeCells>
  <dataValidations>
    <dataValidation type="list" errorStyle="stop" allowBlank="true" showDropDown="false" showInputMessage="true" showErrorMessage="true" prompt="" sqref="A3:A4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8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11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14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19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23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26:A27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29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31:A32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3:B34">
      <formula1>"新增需求,替补需求,储备需求,上个月未交付延期本月,临时新增,"</formula1>
    </dataValidation>
    <dataValidation type="list" errorStyle="stop" allowBlank="true" showDropDown="false" showInputMessage="true" showErrorMessage="true" prompt="" sqref="E4:E34">
      <formula1>"社招,校招,社招&amp;校招,"</formula1>
    </dataValidation>
  </dataValidations>
</worksheet>
</file>

<file path=xl/worksheets/sheet6.xml><?xml version="1.0" encoding="utf-8"?>
<worksheet xmlns="http://schemas.openxmlformats.org/spreadsheetml/2006/main">
  <sheetPr codeName="2026-4">
    <tabColor/>
  </sheetPr>
  <dimension ref="Y209"/>
  <sheetViews>
    <sheetView showGridLines="true" workbookViewId="0">
      <pane ySplit="3" topLeftCell="A4" state="frozen"/>
    </sheetView>
  </sheetViews>
  <sheetFormatPr baseColWidth="13" defaultRowHeight="18" customHeight="true"/>
  <cols>
    <col min="1" max="1" width="16.7227" style="837" customWidth="true"/>
    <col min="2" max="2" width="10.6836" style="837" hidden="true" customWidth="true"/>
    <col min="3" max="3" width="15.5117" style="837" customWidth="true"/>
    <col min="4" max="4" width="13.8906" style="837" customWidth="true"/>
    <col min="5" max="5" width="13.8906" style="837" customWidth="true"/>
    <col min="6" max="6" width="10.9219" style="837" customWidth="true"/>
    <col min="7" max="7" width="13.2109" style="837" customWidth="true"/>
    <col min="8" max="8" width="45.8633" style="840" customWidth="true"/>
    <col min="9" max="11" width="13.6719" style="508"/>
    <col min="12" max="12" width="15.3711" style="508" customWidth="true"/>
    <col min="13" max="25" width="13.6719" style="508"/>
  </cols>
  <sheetData>
    <row r="1" spans="1:25" ht="61.5" customHeight="true">
      <c r="A1" s="705" t="s">
        <v>379</v>
      </c>
      <c r="B1" s="705" t="s"/>
      <c r="I1" s="706" t="s"/>
      <c r="J1" s="706" t="s">
        <v>380</v>
      </c>
      <c r="M1" s="508" t="s"/>
      <c r="N1" s="508" t="s"/>
      <c r="O1" s="508" t="s"/>
      <c r="P1" s="508" t="s"/>
      <c r="Q1" s="508" t="s"/>
      <c r="R1" s="508" t="s"/>
      <c r="S1" s="508" t="s"/>
      <c r="T1" s="508" t="s"/>
      <c r="U1" s="508" t="s"/>
      <c r="V1" s="508" t="s"/>
      <c r="W1" s="508" t="s"/>
      <c r="X1" s="508" t="s"/>
      <c r="Y1" s="508" t="s"/>
    </row>
    <row r="2" spans="1:25" ht="25.5" customHeight="true">
      <c r="A2" s="707" t="s">
        <v>4</v>
      </c>
      <c r="B2" s="708" t="s"/>
      <c r="C2" s="708" t="s"/>
      <c r="D2" s="708" t="s"/>
      <c r="E2" s="709" t="s"/>
      <c r="F2" s="709" t="s"/>
      <c r="G2" s="709" t="s"/>
      <c r="H2" s="709" t="s"/>
      <c r="I2" s="1035" t="s">
        <v>358</v>
      </c>
      <c r="J2" s="1036" t="s"/>
      <c r="K2" s="1036" t="s"/>
      <c r="L2" s="1037" t="s"/>
      <c r="M2" s="508" t="s"/>
      <c r="N2" s="508" t="s"/>
      <c r="O2" s="508" t="s"/>
      <c r="P2" s="508" t="s"/>
      <c r="Q2" s="508" t="s"/>
      <c r="R2" s="508" t="s"/>
      <c r="S2" s="508" t="s"/>
      <c r="T2" s="508" t="s"/>
      <c r="U2" s="508" t="s"/>
      <c r="V2" s="508" t="s"/>
      <c r="W2" s="508" t="s"/>
      <c r="X2" s="508" t="s"/>
      <c r="Y2" s="508" t="s"/>
    </row>
    <row r="3" spans="1:25" ht="19.5" customHeight="true">
      <c r="A3" s="1038" t="s"/>
      <c r="B3" s="714" t="s">
        <v>359</v>
      </c>
      <c r="C3" s="714" t="s">
        <v>360</v>
      </c>
      <c r="D3" s="1038" t="s"/>
      <c r="E3" s="714" t="s">
        <v>9</v>
      </c>
      <c r="F3" s="714" t="s">
        <v>10</v>
      </c>
      <c r="G3" s="714" t="s">
        <v>11</v>
      </c>
      <c r="H3" s="1039" t="s">
        <v>125</v>
      </c>
      <c r="I3" s="1040" t="s">
        <v>16</v>
      </c>
      <c r="J3" s="1041" t="s">
        <v>17</v>
      </c>
      <c r="K3" s="1041" t="s">
        <v>126</v>
      </c>
      <c r="L3" s="1042" t="s">
        <v>361</v>
      </c>
      <c r="M3" s="508" t="s"/>
      <c r="N3" s="508" t="s"/>
      <c r="O3" s="508" t="s"/>
      <c r="P3" s="508" t="s"/>
      <c r="Q3" s="508" t="s"/>
      <c r="R3" s="508" t="s"/>
      <c r="S3" s="508" t="s"/>
      <c r="T3" s="508" t="s"/>
      <c r="U3" s="508" t="s"/>
      <c r="V3" s="508" t="s"/>
      <c r="W3" s="508" t="s"/>
      <c r="X3" s="508" t="s"/>
      <c r="Y3" s="508" t="s"/>
    </row>
    <row r="4" spans="1:25">
      <c r="A4" s="734" t="s">
        <v>19</v>
      </c>
      <c r="B4" s="735" t="s"/>
      <c r="C4" s="735">
        <v>80</v>
      </c>
      <c r="D4" s="742" t="s">
        <v>20</v>
      </c>
      <c r="E4" s="737" t="s">
        <v>29</v>
      </c>
      <c r="F4" s="738">
        <v>4</v>
      </c>
      <c r="G4" s="738" t="s">
        <v>30</v>
      </c>
      <c r="H4" s="1352" t="s">
        <v>362</v>
      </c>
      <c r="I4" s="1048">
        <v>5</v>
      </c>
      <c r="J4" s="853">
        <v>3</v>
      </c>
      <c r="K4" s="853">
        <v>2</v>
      </c>
      <c r="L4" s="1049">
        <v>88</v>
      </c>
      <c r="M4" s="508" t="s"/>
      <c r="N4" s="508" t="s"/>
      <c r="O4" s="508" t="s"/>
      <c r="P4" s="508" t="s"/>
      <c r="Q4" s="508" t="s"/>
      <c r="R4" s="508" t="s"/>
      <c r="S4" s="508" t="s"/>
      <c r="T4" s="508" t="s"/>
      <c r="U4" s="508" t="s"/>
      <c r="V4" s="508" t="s"/>
      <c r="W4" s="508" t="s"/>
      <c r="X4" s="508" t="s"/>
      <c r="Y4" s="508" t="s"/>
    </row>
    <row r="5" spans="1:25">
      <c r="A5" s="770" t="s"/>
      <c r="B5" s="770" t="s"/>
      <c r="C5" s="770" t="s"/>
      <c r="D5" s="742" t="s">
        <v>20</v>
      </c>
      <c r="E5" s="737" t="s">
        <v>42</v>
      </c>
      <c r="F5" s="742">
        <v>10</v>
      </c>
      <c r="G5" s="742" t="s">
        <v>22</v>
      </c>
      <c r="H5" s="1352" t="s">
        <v>363</v>
      </c>
      <c r="I5" s="1048">
        <v>28</v>
      </c>
      <c r="J5" s="853">
        <v>17</v>
      </c>
      <c r="K5" s="853">
        <v>16</v>
      </c>
      <c r="L5" s="1050" t="s"/>
      <c r="M5" s="508" t="s"/>
      <c r="N5" s="508" t="s"/>
      <c r="O5" s="508" t="s"/>
      <c r="P5" s="508" t="s"/>
      <c r="Q5" s="508" t="s"/>
      <c r="R5" s="508" t="s"/>
      <c r="S5" s="508" t="s"/>
      <c r="T5" s="508" t="s"/>
      <c r="U5" s="508" t="s"/>
      <c r="V5" s="508" t="s"/>
      <c r="W5" s="508" t="s"/>
      <c r="X5" s="508" t="s"/>
      <c r="Y5" s="508" t="s"/>
    </row>
    <row r="6" spans="1:25" ht="42" customHeight="true">
      <c r="A6" s="776" t="s"/>
      <c r="B6" s="776" t="s"/>
      <c r="C6" s="776" t="s"/>
      <c r="D6" s="792" t="s">
        <v>25</v>
      </c>
      <c r="E6" s="797" t="s">
        <v>36</v>
      </c>
      <c r="F6" s="792" t="s"/>
      <c r="G6" s="792" t="s">
        <v>30</v>
      </c>
      <c r="H6" s="1353" t="s"/>
      <c r="I6" s="1064">
        <v>1</v>
      </c>
      <c r="J6" s="866">
        <v>1</v>
      </c>
      <c r="K6" s="866">
        <v>0</v>
      </c>
      <c r="L6" s="1354" t="s"/>
      <c r="M6" s="508" t="s"/>
      <c r="N6" s="508" t="s"/>
      <c r="O6" s="508" t="s"/>
      <c r="P6" s="508" t="s"/>
      <c r="Q6" s="508" t="s"/>
      <c r="R6" s="508" t="s"/>
      <c r="S6" s="508" t="s"/>
      <c r="T6" s="508" t="s"/>
      <c r="U6" s="508" t="s"/>
      <c r="V6" s="508" t="s"/>
      <c r="W6" s="508" t="s"/>
      <c r="X6" s="508" t="s"/>
      <c r="Y6" s="508" t="s"/>
    </row>
    <row r="7" spans="1:25" ht="42" customHeight="true">
      <c r="A7" s="788" t="s">
        <v>32</v>
      </c>
      <c r="B7" s="789" t="s"/>
      <c r="C7" s="789">
        <v>45</v>
      </c>
      <c r="D7" s="792" t="s">
        <v>44</v>
      </c>
      <c r="E7" s="797" t="s">
        <v>56</v>
      </c>
      <c r="F7" s="792">
        <v>1</v>
      </c>
      <c r="G7" s="792" t="s">
        <v>35</v>
      </c>
      <c r="H7" s="1353" t="s">
        <v>364</v>
      </c>
      <c r="I7" s="1064">
        <v>1</v>
      </c>
      <c r="J7" s="866">
        <v>0</v>
      </c>
      <c r="K7" s="866">
        <v>1</v>
      </c>
      <c r="L7" s="1355">
        <v>45</v>
      </c>
      <c r="M7" s="508" t="s"/>
      <c r="N7" s="508" t="s"/>
      <c r="O7" s="508" t="s"/>
      <c r="P7" s="508" t="s"/>
      <c r="Q7" s="508" t="s"/>
      <c r="R7" s="508" t="s"/>
      <c r="S7" s="508" t="s"/>
      <c r="T7" s="508" t="s"/>
      <c r="U7" s="508" t="s"/>
      <c r="V7" s="508" t="s"/>
      <c r="W7" s="508" t="s"/>
      <c r="X7" s="508" t="s"/>
      <c r="Y7" s="508" t="s"/>
    </row>
    <row r="8" spans="1:25" ht="27.75" customHeight="true">
      <c r="A8" s="1077" t="s"/>
      <c r="B8" s="727" t="s"/>
      <c r="C8" s="727" t="s"/>
      <c r="D8" s="792" t="s">
        <v>47</v>
      </c>
      <c r="E8" s="797" t="s">
        <v>60</v>
      </c>
      <c r="F8" s="792">
        <v>1</v>
      </c>
      <c r="G8" s="792" t="s">
        <v>30</v>
      </c>
      <c r="H8" s="1356" t="s">
        <v>155</v>
      </c>
      <c r="I8" s="1064">
        <v>1</v>
      </c>
      <c r="J8" s="866">
        <v>0</v>
      </c>
      <c r="K8" s="866">
        <v>2</v>
      </c>
      <c r="L8" s="1355" t="s"/>
      <c r="M8" s="508" t="s"/>
      <c r="N8" s="508" t="s"/>
      <c r="O8" s="508" t="s"/>
      <c r="P8" s="508" t="s"/>
      <c r="Q8" s="508" t="s"/>
      <c r="R8" s="508" t="s"/>
      <c r="S8" s="508" t="s"/>
      <c r="T8" s="508" t="s"/>
      <c r="U8" s="508" t="s"/>
      <c r="V8" s="508" t="s"/>
      <c r="W8" s="508" t="s"/>
      <c r="X8" s="508" t="s"/>
      <c r="Y8" s="508" t="s"/>
    </row>
    <row r="9" spans="1:25">
      <c r="A9" s="1077" t="s"/>
      <c r="B9" s="727" t="s"/>
      <c r="C9" s="727" t="s"/>
      <c r="D9" s="792" t="s">
        <v>44</v>
      </c>
      <c r="E9" s="797" t="s">
        <v>34</v>
      </c>
      <c r="F9" s="792">
        <v>3</v>
      </c>
      <c r="G9" s="792" t="s">
        <v>35</v>
      </c>
      <c r="H9" s="1353" t="s">
        <v>159</v>
      </c>
      <c r="I9" s="1064">
        <v>0</v>
      </c>
      <c r="J9" s="866">
        <v>0</v>
      </c>
      <c r="K9" s="866">
        <v>3</v>
      </c>
      <c r="L9" s="1355" t="s"/>
      <c r="M9" s="508" t="s"/>
      <c r="N9" s="508" t="s"/>
      <c r="O9" s="508" t="s"/>
      <c r="P9" s="508" t="s"/>
      <c r="Q9" s="508" t="s"/>
      <c r="R9" s="508" t="s"/>
      <c r="S9" s="508" t="s"/>
      <c r="T9" s="508" t="s"/>
      <c r="U9" s="508" t="s"/>
      <c r="V9" s="508" t="s"/>
      <c r="W9" s="508" t="s"/>
      <c r="X9" s="508" t="s"/>
      <c r="Y9" s="508" t="s"/>
    </row>
    <row r="10" spans="1:25">
      <c r="A10" s="1357" t="s"/>
      <c r="B10" s="1358" t="s"/>
      <c r="C10" s="1358" t="s"/>
      <c r="D10" s="792" t="s">
        <v>44</v>
      </c>
      <c r="E10" s="1359" t="s">
        <v>52</v>
      </c>
      <c r="F10" s="792">
        <v>1</v>
      </c>
      <c r="G10" s="792" t="s">
        <v>30</v>
      </c>
      <c r="H10" s="1356" t="s">
        <v>177</v>
      </c>
      <c r="I10" s="1064">
        <v>0</v>
      </c>
      <c r="J10" s="866">
        <v>0</v>
      </c>
      <c r="K10" s="866">
        <v>0</v>
      </c>
      <c r="L10" s="1078" t="s"/>
      <c r="M10" s="508" t="s"/>
      <c r="N10" s="508" t="s"/>
      <c r="O10" s="508" t="s"/>
      <c r="P10" s="508" t="s"/>
      <c r="Q10" s="508" t="s"/>
      <c r="R10" s="508" t="s"/>
      <c r="S10" s="508" t="s"/>
      <c r="T10" s="508" t="s"/>
      <c r="U10" s="508" t="s"/>
      <c r="V10" s="508" t="s"/>
      <c r="W10" s="508" t="s"/>
      <c r="X10" s="508" t="s"/>
      <c r="Y10" s="508" t="s"/>
    </row>
    <row r="11" spans="1:25">
      <c r="A11" s="802" t="s">
        <v>50</v>
      </c>
      <c r="B11" s="803" t="s"/>
      <c r="C11" s="803">
        <v>29</v>
      </c>
      <c r="D11" s="792" t="s">
        <v>25</v>
      </c>
      <c r="E11" s="1359" t="s">
        <v>110</v>
      </c>
      <c r="F11" s="1360" t="s"/>
      <c r="G11" s="792" t="s"/>
      <c r="H11" s="1356" t="s"/>
      <c r="I11" s="1064">
        <v>1</v>
      </c>
      <c r="J11" s="866">
        <v>1</v>
      </c>
      <c r="K11" s="866">
        <v>1</v>
      </c>
      <c r="L11" s="1062">
        <v>29</v>
      </c>
      <c r="M11" s="508" t="s"/>
      <c r="N11" s="508" t="s"/>
      <c r="O11" s="508" t="s"/>
      <c r="P11" s="508" t="s"/>
      <c r="Q11" s="508" t="s"/>
      <c r="R11" s="508" t="s"/>
      <c r="S11" s="508" t="s"/>
      <c r="T11" s="508" t="s"/>
      <c r="U11" s="508" t="s"/>
      <c r="V11" s="508" t="s"/>
      <c r="W11" s="508" t="s"/>
      <c r="X11" s="508" t="s"/>
      <c r="Y11" s="508" t="s"/>
    </row>
    <row r="12" spans="1:25">
      <c r="A12" s="770" t="s"/>
      <c r="B12" s="803" t="s"/>
      <c r="C12" s="770" t="s"/>
      <c r="D12" s="804" t="s">
        <v>25</v>
      </c>
      <c r="E12" s="1361" t="s">
        <v>116</v>
      </c>
      <c r="F12" s="1362" t="s"/>
      <c r="G12" s="804" t="s"/>
      <c r="H12" s="1363" t="s"/>
      <c r="I12" s="1060">
        <v>1</v>
      </c>
      <c r="J12" s="1061">
        <v>0</v>
      </c>
      <c r="K12" s="1061">
        <v>0</v>
      </c>
      <c r="L12" s="1050" t="s"/>
      <c r="M12" s="508" t="s"/>
      <c r="N12" s="508" t="s"/>
      <c r="O12" s="508" t="s"/>
      <c r="P12" s="508" t="s"/>
      <c r="Q12" s="508" t="s"/>
      <c r="R12" s="508" t="s"/>
      <c r="S12" s="508" t="s"/>
      <c r="T12" s="508" t="s"/>
      <c r="U12" s="508" t="s"/>
      <c r="V12" s="508" t="s"/>
      <c r="W12" s="508" t="s"/>
      <c r="X12" s="508" t="s"/>
      <c r="Y12" s="508" t="s"/>
    </row>
    <row r="13" spans="1:25">
      <c r="A13" s="776" t="s"/>
      <c r="B13" s="803" t="s"/>
      <c r="C13" s="776" t="s"/>
      <c r="D13" s="804" t="s">
        <v>25</v>
      </c>
      <c r="E13" s="1361" t="s">
        <v>111</v>
      </c>
      <c r="F13" s="1362" t="s"/>
      <c r="G13" s="804" t="s"/>
      <c r="H13" s="1363" t="s"/>
      <c r="I13" s="1060">
        <v>1</v>
      </c>
      <c r="J13" s="1061">
        <v>1</v>
      </c>
      <c r="K13" s="1061">
        <v>0</v>
      </c>
      <c r="L13" s="1354" t="s"/>
      <c r="M13" s="508" t="s"/>
      <c r="N13" s="508" t="s"/>
      <c r="O13" s="508" t="s"/>
      <c r="P13" s="508" t="s"/>
      <c r="Q13" s="508" t="s"/>
      <c r="R13" s="508" t="s"/>
      <c r="S13" s="508" t="s"/>
      <c r="T13" s="508" t="s"/>
      <c r="U13" s="508" t="s"/>
      <c r="V13" s="508" t="s"/>
      <c r="W13" s="508" t="s"/>
      <c r="X13" s="508" t="s"/>
      <c r="Y13" s="508" t="s"/>
    </row>
    <row r="14" spans="1:25">
      <c r="A14" s="719" t="s">
        <v>39</v>
      </c>
      <c r="B14" s="720" t="s"/>
      <c r="C14" s="720">
        <v>58</v>
      </c>
      <c r="D14" s="721" t="s">
        <v>20</v>
      </c>
      <c r="E14" s="722" t="s">
        <v>40</v>
      </c>
      <c r="F14" s="1364">
        <v>6</v>
      </c>
      <c r="G14" s="723" t="s">
        <v>35</v>
      </c>
      <c r="H14" s="1365" t="s">
        <v>178</v>
      </c>
      <c r="I14" s="1366">
        <v>1</v>
      </c>
      <c r="J14" s="883">
        <v>1</v>
      </c>
      <c r="K14" s="883">
        <v>0</v>
      </c>
      <c r="L14" s="1076">
        <v>58</v>
      </c>
      <c r="M14" s="508" t="s"/>
      <c r="N14" s="508" t="s"/>
      <c r="O14" s="508" t="s"/>
      <c r="P14" s="508" t="s"/>
      <c r="Q14" s="508" t="s"/>
      <c r="R14" s="508" t="s"/>
      <c r="S14" s="508" t="s"/>
      <c r="T14" s="508" t="s"/>
      <c r="U14" s="508" t="s"/>
      <c r="V14" s="508" t="s"/>
      <c r="W14" s="508" t="s"/>
      <c r="X14" s="508" t="s"/>
      <c r="Y14" s="508" t="s"/>
    </row>
    <row r="15" spans="1:25">
      <c r="A15" s="1367" t="s"/>
      <c r="B15" s="727" t="s"/>
      <c r="C15" s="727" t="s"/>
      <c r="D15" s="721" t="s">
        <v>20</v>
      </c>
      <c r="E15" s="722" t="s">
        <v>46</v>
      </c>
      <c r="F15" s="728">
        <v>3</v>
      </c>
      <c r="G15" s="721" t="s">
        <v>30</v>
      </c>
      <c r="H15" s="1365" t="s">
        <v>129</v>
      </c>
      <c r="I15" s="1366">
        <v>2</v>
      </c>
      <c r="J15" s="883">
        <v>2</v>
      </c>
      <c r="K15" s="883">
        <v>1</v>
      </c>
      <c r="L15" s="1117" t="s"/>
      <c r="M15" s="508" t="s"/>
      <c r="N15" s="508" t="s"/>
      <c r="O15" s="508" t="s"/>
      <c r="P15" s="508" t="s"/>
      <c r="Q15" s="508" t="s"/>
      <c r="R15" s="508" t="s"/>
      <c r="S15" s="508" t="s"/>
      <c r="T15" s="508" t="s"/>
      <c r="U15" s="508" t="s"/>
      <c r="V15" s="508" t="s"/>
      <c r="W15" s="508" t="s"/>
      <c r="X15" s="508" t="s"/>
      <c r="Y15" s="508" t="s"/>
    </row>
    <row r="16" spans="1:25">
      <c r="A16" s="731" t="s"/>
      <c r="B16" s="732" t="s"/>
      <c r="C16" s="732" t="s"/>
      <c r="D16" s="721" t="s">
        <v>25</v>
      </c>
      <c r="E16" s="1368" t="s">
        <v>62</v>
      </c>
      <c r="F16" s="728">
        <v>1</v>
      </c>
      <c r="G16" s="721" t="s">
        <v>35</v>
      </c>
      <c r="H16" s="1369" t="s"/>
      <c r="I16" s="1366">
        <v>1</v>
      </c>
      <c r="J16" s="883">
        <v>1</v>
      </c>
      <c r="K16" s="883">
        <v>0</v>
      </c>
      <c r="L16" s="1370" t="s"/>
      <c r="M16" s="508" t="s"/>
      <c r="N16" s="508" t="s"/>
      <c r="O16" s="508" t="s"/>
      <c r="P16" s="508" t="s"/>
      <c r="Q16" s="508" t="s"/>
      <c r="R16" s="508" t="s"/>
      <c r="S16" s="508" t="s"/>
      <c r="T16" s="508" t="s"/>
      <c r="U16" s="508" t="s"/>
      <c r="V16" s="508" t="s"/>
      <c r="W16" s="508" t="s"/>
      <c r="X16" s="508" t="s"/>
      <c r="Y16" s="508" t="s"/>
    </row>
    <row r="17" spans="1:25">
      <c r="A17" s="1367" t="s"/>
      <c r="B17" s="727" t="s"/>
      <c r="C17" s="727" t="s"/>
      <c r="D17" s="721" t="s">
        <v>20</v>
      </c>
      <c r="E17" s="1368" t="s">
        <v>49</v>
      </c>
      <c r="F17" s="728">
        <v>2</v>
      </c>
      <c r="G17" s="721" t="s">
        <v>35</v>
      </c>
      <c r="H17" s="1369" t="s">
        <v>330</v>
      </c>
      <c r="I17" s="1366">
        <v>0</v>
      </c>
      <c r="J17" s="883">
        <v>0</v>
      </c>
      <c r="K17" s="883">
        <v>0</v>
      </c>
      <c r="L17" s="1117" t="s"/>
      <c r="M17" s="508" t="s"/>
      <c r="N17" s="508" t="s"/>
      <c r="O17" s="508" t="s"/>
      <c r="P17" s="508" t="s"/>
      <c r="Q17" s="508" t="s"/>
      <c r="R17" s="508" t="s"/>
      <c r="S17" s="508" t="s"/>
      <c r="T17" s="508" t="s"/>
      <c r="U17" s="508" t="s"/>
      <c r="V17" s="508" t="s"/>
      <c r="W17" s="508" t="s"/>
      <c r="X17" s="508" t="s"/>
      <c r="Y17" s="508" t="s"/>
    </row>
    <row r="18" spans="1:25" hidden="true">
      <c r="A18" s="1371" t="s">
        <v>50</v>
      </c>
      <c r="B18" s="1372" t="s"/>
      <c r="C18" s="1372" t="s"/>
      <c r="D18" s="766" t="s"/>
      <c r="E18" s="766" t="s">
        <v>27</v>
      </c>
      <c r="F18" s="766" t="s">
        <v>27</v>
      </c>
      <c r="G18" s="771" t="s"/>
      <c r="H18" s="1373" t="s">
        <v>27</v>
      </c>
      <c r="I18" s="1374" t="s"/>
      <c r="J18" s="894" t="s"/>
      <c r="K18" s="894" t="s"/>
      <c r="L18" s="1375" t="s"/>
      <c r="M18" s="508" t="s"/>
      <c r="N18" s="508" t="s"/>
      <c r="O18" s="508" t="s"/>
      <c r="P18" s="508" t="s"/>
      <c r="Q18" s="508" t="s"/>
      <c r="R18" s="508" t="s"/>
      <c r="S18" s="508" t="s"/>
      <c r="T18" s="508" t="s"/>
      <c r="U18" s="508" t="s"/>
      <c r="V18" s="508" t="s"/>
      <c r="W18" s="508" t="s"/>
      <c r="X18" s="508" t="s"/>
      <c r="Y18" s="508" t="s"/>
    </row>
    <row r="19" spans="1:25" hidden="true">
      <c r="A19" s="1376" t="s"/>
      <c r="B19" s="770" t="s"/>
      <c r="C19" s="770" t="s"/>
      <c r="D19" s="766" t="s"/>
      <c r="E19" s="766" t="s"/>
      <c r="F19" s="766" t="s"/>
      <c r="G19" s="771" t="s"/>
      <c r="H19" s="1373" t="s"/>
      <c r="I19" s="1374" t="s"/>
      <c r="J19" s="894" t="s"/>
      <c r="K19" s="894" t="s"/>
      <c r="L19" s="1117" t="s"/>
      <c r="M19" s="508" t="s"/>
      <c r="N19" s="508" t="s"/>
      <c r="O19" s="508" t="s"/>
      <c r="P19" s="508" t="s"/>
      <c r="Q19" s="508" t="s"/>
      <c r="R19" s="508" t="s"/>
      <c r="S19" s="508" t="s"/>
      <c r="T19" s="508" t="s"/>
      <c r="U19" s="508" t="s"/>
      <c r="V19" s="508" t="s"/>
      <c r="W19" s="508" t="s"/>
      <c r="X19" s="508" t="s"/>
      <c r="Y19" s="508" t="s"/>
    </row>
    <row r="20" spans="1:25" hidden="true">
      <c r="A20" s="1318" t="s"/>
      <c r="B20" s="1319" t="s"/>
      <c r="C20" s="1319" t="s"/>
      <c r="D20" s="766" t="s"/>
      <c r="E20" s="773" t="s"/>
      <c r="F20" s="766" t="s"/>
      <c r="G20" s="766" t="s"/>
      <c r="H20" s="1377" t="s"/>
      <c r="I20" s="1374" t="s"/>
      <c r="J20" s="894" t="s"/>
      <c r="K20" s="894" t="s"/>
      <c r="L20" s="1378" t="s"/>
      <c r="M20" s="508" t="s"/>
      <c r="N20" s="508" t="s"/>
      <c r="O20" s="508" t="s"/>
      <c r="P20" s="508" t="s"/>
      <c r="Q20" s="508" t="s"/>
      <c r="R20" s="508" t="s"/>
      <c r="S20" s="508" t="s"/>
      <c r="T20" s="508" t="s"/>
      <c r="U20" s="508" t="s"/>
      <c r="V20" s="508" t="s"/>
      <c r="W20" s="508" t="s"/>
      <c r="X20" s="508" t="s"/>
      <c r="Y20" s="508" t="s"/>
    </row>
    <row r="21" spans="1:25" hidden="true">
      <c r="A21" s="1376" t="s"/>
      <c r="B21" s="770" t="s"/>
      <c r="C21" s="770" t="s"/>
      <c r="D21" s="766" t="s"/>
      <c r="E21" s="773" t="s"/>
      <c r="F21" s="775" t="s"/>
      <c r="G21" s="775" t="s"/>
      <c r="H21" s="1377" t="s"/>
      <c r="I21" s="1374" t="s"/>
      <c r="J21" s="894" t="s"/>
      <c r="K21" s="894" t="s"/>
      <c r="L21" s="1117" t="s"/>
      <c r="M21" s="508" t="s"/>
      <c r="N21" s="508" t="s"/>
      <c r="O21" s="508" t="s"/>
      <c r="P21" s="508" t="s"/>
      <c r="Q21" s="508" t="s"/>
      <c r="R21" s="508" t="s"/>
      <c r="S21" s="508" t="s"/>
      <c r="T21" s="508" t="s"/>
      <c r="U21" s="508" t="s"/>
      <c r="V21" s="508" t="s"/>
      <c r="W21" s="508" t="s"/>
      <c r="X21" s="508" t="s"/>
      <c r="Y21" s="508" t="s"/>
    </row>
    <row r="22" spans="1:25" hidden="true">
      <c r="A22" s="1379" t="s"/>
      <c r="B22" s="776" t="s"/>
      <c r="C22" s="776" t="s"/>
      <c r="D22" s="766" t="s"/>
      <c r="E22" s="766" t="s"/>
      <c r="F22" s="766" t="s"/>
      <c r="G22" s="766" t="s"/>
      <c r="H22" s="1373" t="s"/>
      <c r="I22" s="1123" t="s"/>
      <c r="J22" s="920" t="s"/>
      <c r="K22" s="920" t="s"/>
      <c r="L22" s="1117" t="s"/>
      <c r="M22" s="508" t="s"/>
      <c r="N22" s="508" t="s"/>
      <c r="O22" s="508" t="s"/>
      <c r="P22" s="508" t="s"/>
      <c r="Q22" s="508" t="s"/>
      <c r="R22" s="508" t="s"/>
      <c r="S22" s="508" t="s"/>
      <c r="T22" s="508" t="s"/>
      <c r="U22" s="508" t="s"/>
      <c r="V22" s="508" t="s"/>
      <c r="W22" s="508" t="s"/>
      <c r="X22" s="508" t="s"/>
      <c r="Y22" s="508" t="s"/>
    </row>
    <row r="23" spans="1:25">
      <c r="A23" s="750" t="s">
        <v>54</v>
      </c>
      <c r="B23" s="751" t="s"/>
      <c r="C23" s="751">
        <v>87</v>
      </c>
      <c r="D23" s="736" t="s">
        <v>47</v>
      </c>
      <c r="E23" s="752" t="s">
        <v>57</v>
      </c>
      <c r="F23" s="736">
        <v>2</v>
      </c>
      <c r="G23" s="736" t="s">
        <v>35</v>
      </c>
      <c r="H23" s="1380" t="s">
        <v>179</v>
      </c>
      <c r="I23" s="1114">
        <v>0</v>
      </c>
      <c r="J23" s="902">
        <v>0</v>
      </c>
      <c r="K23" s="902">
        <v>0</v>
      </c>
      <c r="L23" s="1109">
        <v>87</v>
      </c>
      <c r="M23" s="508" t="s"/>
      <c r="N23" s="508" t="s"/>
      <c r="O23" s="508" t="s"/>
      <c r="P23" s="508" t="s"/>
      <c r="Q23" s="508" t="s"/>
      <c r="R23" s="508" t="s"/>
      <c r="S23" s="508" t="s"/>
      <c r="T23" s="508" t="s"/>
      <c r="U23" s="508" t="s"/>
      <c r="V23" s="508" t="s"/>
      <c r="W23" s="508" t="s"/>
      <c r="X23" s="508" t="s"/>
      <c r="Y23" s="508" t="s"/>
    </row>
    <row r="24" spans="1:25">
      <c r="A24" s="1110" t="s"/>
      <c r="B24" s="1381" t="s"/>
      <c r="C24" s="1381" t="s"/>
      <c r="D24" s="736" t="s">
        <v>20</v>
      </c>
      <c r="E24" s="760" t="s">
        <v>57</v>
      </c>
      <c r="F24" s="736">
        <v>4</v>
      </c>
      <c r="G24" s="736" t="s">
        <v>35</v>
      </c>
      <c r="H24" s="1380" t="s">
        <v>179</v>
      </c>
      <c r="I24" s="1114">
        <v>6</v>
      </c>
      <c r="J24" s="902">
        <v>5</v>
      </c>
      <c r="K24" s="902">
        <v>4</v>
      </c>
      <c r="L24" s="1109" t="s"/>
      <c r="M24" s="508" t="s"/>
      <c r="N24" s="508" t="s"/>
      <c r="O24" s="508" t="s"/>
      <c r="P24" s="508" t="s"/>
      <c r="Q24" s="508" t="s"/>
      <c r="R24" s="508" t="s"/>
      <c r="S24" s="508" t="s"/>
      <c r="T24" s="508" t="s"/>
      <c r="U24" s="508" t="s"/>
      <c r="V24" s="508" t="s"/>
      <c r="W24" s="508" t="s"/>
      <c r="X24" s="508" t="s"/>
      <c r="Y24" s="508" t="s"/>
    </row>
    <row r="25" spans="1:25">
      <c r="A25" s="1077" t="s"/>
      <c r="B25" s="727" t="s"/>
      <c r="C25" s="727" t="s"/>
      <c r="D25" s="1382" t="s">
        <v>44</v>
      </c>
      <c r="E25" s="760" t="s">
        <v>55</v>
      </c>
      <c r="F25" s="1382">
        <v>1</v>
      </c>
      <c r="G25" s="736" t="s">
        <v>35</v>
      </c>
      <c r="H25" s="1380" t="s">
        <v>180</v>
      </c>
      <c r="I25" s="1114">
        <v>2</v>
      </c>
      <c r="J25" s="1116">
        <v>2</v>
      </c>
      <c r="K25" s="902">
        <v>3</v>
      </c>
      <c r="L25" s="1117" t="s"/>
      <c r="M25" s="508" t="s"/>
      <c r="N25" s="508" t="s"/>
      <c r="O25" s="508" t="s"/>
      <c r="P25" s="508" t="s"/>
      <c r="Q25" s="508" t="s"/>
      <c r="R25" s="508" t="s"/>
      <c r="S25" s="508" t="s"/>
      <c r="T25" s="508" t="s"/>
      <c r="U25" s="508" t="s"/>
      <c r="V25" s="508" t="s"/>
      <c r="W25" s="508" t="s"/>
      <c r="X25" s="508" t="s"/>
      <c r="Y25" s="508" t="s"/>
    </row>
    <row r="26" spans="1:25">
      <c r="A26" s="1110" t="s"/>
      <c r="B26" s="1381" t="s"/>
      <c r="C26" s="1381" t="s"/>
      <c r="D26" s="1382" t="s">
        <v>44</v>
      </c>
      <c r="E26" s="760" t="s">
        <v>74</v>
      </c>
      <c r="F26" s="1382">
        <v>1</v>
      </c>
      <c r="G26" s="736" t="s">
        <v>30</v>
      </c>
      <c r="H26" s="1380" t="s">
        <v>365</v>
      </c>
      <c r="I26" s="1114">
        <v>0</v>
      </c>
      <c r="J26" s="1116">
        <v>0</v>
      </c>
      <c r="K26" s="902">
        <v>0</v>
      </c>
      <c r="L26" s="1109" t="s"/>
      <c r="M26" s="508" t="s"/>
      <c r="N26" s="508" t="s"/>
      <c r="O26" s="508" t="s"/>
      <c r="P26" s="508" t="s"/>
      <c r="Q26" s="508" t="s"/>
      <c r="R26" s="508" t="s"/>
      <c r="S26" s="508" t="s"/>
      <c r="T26" s="508" t="s"/>
      <c r="U26" s="508" t="s"/>
      <c r="V26" s="508" t="s"/>
      <c r="W26" s="508" t="s"/>
      <c r="X26" s="508" t="s"/>
      <c r="Y26" s="508" t="s"/>
    </row>
    <row r="27" spans="1:25" hidden="true">
      <c r="A27" s="1383" t="s"/>
      <c r="B27" s="1384" t="s"/>
      <c r="C27" s="1384" t="s"/>
      <c r="D27" s="1382" t="s"/>
      <c r="E27" s="760" t="s"/>
      <c r="F27" s="1382" t="s"/>
      <c r="G27" s="736" t="s"/>
      <c r="H27" s="1380" t="s"/>
      <c r="I27" s="1114" t="s"/>
      <c r="J27" s="902" t="s"/>
      <c r="K27" s="902" t="s"/>
      <c r="L27" s="1117" t="s"/>
      <c r="M27" s="508" t="s"/>
      <c r="N27" s="508" t="s"/>
      <c r="O27" s="508" t="s"/>
      <c r="P27" s="508" t="s"/>
      <c r="Q27" s="508" t="s"/>
      <c r="R27" s="508" t="s"/>
      <c r="S27" s="508" t="s"/>
      <c r="T27" s="508" t="s"/>
      <c r="U27" s="508" t="s"/>
      <c r="V27" s="508" t="s"/>
      <c r="W27" s="508" t="s"/>
      <c r="X27" s="508" t="s"/>
      <c r="Y27" s="508" t="s"/>
    </row>
    <row r="28" spans="1:25" hidden="true">
      <c r="A28" s="1385" t="s"/>
      <c r="B28" s="1386" t="s"/>
      <c r="C28" s="1386" t="s"/>
      <c r="D28" s="736" t="s"/>
      <c r="E28" s="752" t="s"/>
      <c r="F28" s="736" t="s"/>
      <c r="G28" s="736" t="s"/>
      <c r="H28" s="1380" t="s"/>
      <c r="I28" s="1114" t="s"/>
      <c r="J28" s="902" t="s"/>
      <c r="K28" s="902" t="s"/>
      <c r="L28" s="1078" t="s"/>
      <c r="M28" s="508" t="s"/>
      <c r="N28" s="508" t="s"/>
      <c r="O28" s="508" t="s"/>
      <c r="P28" s="508" t="s"/>
      <c r="Q28" s="508" t="s"/>
      <c r="R28" s="508" t="s"/>
      <c r="S28" s="508" t="s"/>
      <c r="T28" s="508" t="s"/>
      <c r="U28" s="508" t="s"/>
      <c r="V28" s="508" t="s"/>
      <c r="W28" s="508" t="s"/>
      <c r="X28" s="508" t="s"/>
      <c r="Y28" s="508" t="s"/>
    </row>
    <row r="29" spans="1:25" hidden="true">
      <c r="A29" s="1387" t="s"/>
      <c r="B29" s="1388" t="s"/>
      <c r="C29" s="1388" t="s"/>
      <c r="D29" s="736" t="s"/>
      <c r="E29" s="752" t="s"/>
      <c r="F29" s="763" t="s"/>
      <c r="G29" s="763" t="s"/>
      <c r="H29" s="1380" t="s"/>
      <c r="I29" s="1114" t="s"/>
      <c r="J29" s="902" t="s"/>
      <c r="K29" s="902" t="s"/>
      <c r="L29" s="1078" t="s"/>
      <c r="M29" s="508" t="s"/>
      <c r="N29" s="508" t="s"/>
      <c r="O29" s="508" t="s"/>
      <c r="P29" s="508" t="s"/>
      <c r="Q29" s="508" t="s"/>
      <c r="R29" s="508" t="s"/>
      <c r="S29" s="508" t="s"/>
      <c r="T29" s="508" t="s"/>
      <c r="U29" s="508" t="s"/>
      <c r="V29" s="508" t="s"/>
      <c r="W29" s="508" t="s"/>
      <c r="X29" s="508" t="s"/>
      <c r="Y29" s="508" t="s"/>
    </row>
    <row r="30" spans="1:25">
      <c r="A30" s="778" t="s">
        <v>63</v>
      </c>
      <c r="B30" s="779" t="s"/>
      <c r="C30" s="779">
        <v>16</v>
      </c>
      <c r="D30" s="780" t="s">
        <v>20</v>
      </c>
      <c r="E30" s="781" t="s">
        <v>100</v>
      </c>
      <c r="F30" s="780">
        <v>2</v>
      </c>
      <c r="G30" s="780" t="s">
        <v>35</v>
      </c>
      <c r="H30" s="1389" t="s">
        <v>366</v>
      </c>
      <c r="I30" s="1123">
        <v>0</v>
      </c>
      <c r="J30" s="920">
        <v>0</v>
      </c>
      <c r="K30" s="920">
        <v>0</v>
      </c>
      <c r="L30" s="1390">
        <v>16</v>
      </c>
      <c r="M30" s="508" t="s"/>
      <c r="N30" s="508" t="s"/>
      <c r="O30" s="508" t="s"/>
      <c r="P30" s="508" t="s"/>
      <c r="Q30" s="508" t="s"/>
      <c r="R30" s="508" t="s"/>
      <c r="S30" s="508" t="s"/>
      <c r="T30" s="508" t="s"/>
      <c r="U30" s="508" t="s"/>
      <c r="V30" s="508" t="s"/>
      <c r="W30" s="508" t="s"/>
      <c r="X30" s="508" t="s"/>
      <c r="Y30" s="508" t="s"/>
    </row>
    <row r="31" spans="1:25">
      <c r="A31" s="784" t="s"/>
      <c r="B31" s="785" t="s"/>
      <c r="C31" s="785" t="s"/>
      <c r="D31" s="780" t="s">
        <v>20</v>
      </c>
      <c r="E31" s="781" t="s">
        <v>45</v>
      </c>
      <c r="F31" s="780">
        <v>1</v>
      </c>
      <c r="G31" s="780" t="s">
        <v>35</v>
      </c>
      <c r="H31" s="1389" t="s">
        <v>367</v>
      </c>
      <c r="I31" s="1123">
        <v>0</v>
      </c>
      <c r="J31" s="920">
        <v>0</v>
      </c>
      <c r="K31" s="920">
        <v>2</v>
      </c>
      <c r="L31" s="1391" t="s"/>
      <c r="M31" s="508" t="s"/>
      <c r="N31" s="508" t="s"/>
      <c r="O31" s="508" t="s"/>
      <c r="P31" s="508" t="s"/>
      <c r="Q31" s="508" t="s"/>
      <c r="R31" s="508" t="s"/>
      <c r="S31" s="508" t="s"/>
      <c r="T31" s="508" t="s"/>
      <c r="U31" s="508" t="s"/>
      <c r="V31" s="508" t="s"/>
      <c r="W31" s="508" t="s"/>
      <c r="X31" s="508" t="s"/>
      <c r="Y31" s="508" t="s"/>
    </row>
    <row r="32" spans="1:25">
      <c r="A32" s="1367" t="s"/>
      <c r="B32" s="727" t="s"/>
      <c r="C32" s="727" t="s"/>
      <c r="D32" s="787" t="s">
        <v>20</v>
      </c>
      <c r="E32" s="781" t="s">
        <v>222</v>
      </c>
      <c r="F32" s="780">
        <v>1</v>
      </c>
      <c r="G32" s="780" t="s">
        <v>35</v>
      </c>
      <c r="H32" s="1389" t="s"/>
      <c r="I32" s="1123">
        <v>0</v>
      </c>
      <c r="J32" s="920">
        <v>0</v>
      </c>
      <c r="K32" s="920">
        <v>0</v>
      </c>
      <c r="L32" s="1117" t="s"/>
      <c r="M32" s="508" t="s"/>
      <c r="N32" s="508" t="s"/>
      <c r="O32" s="508" t="s"/>
      <c r="P32" s="508" t="s"/>
      <c r="Q32" s="508" t="s"/>
      <c r="R32" s="508" t="s"/>
      <c r="S32" s="508" t="s"/>
      <c r="T32" s="508" t="s"/>
      <c r="U32" s="508" t="s"/>
      <c r="V32" s="508" t="s"/>
      <c r="W32" s="508" t="s"/>
      <c r="X32" s="508" t="s"/>
      <c r="Y32" s="508" t="s"/>
    </row>
    <row r="33" spans="1:25">
      <c r="A33" s="784" t="s"/>
      <c r="B33" s="785" t="s"/>
      <c r="C33" s="785" t="s"/>
      <c r="D33" s="787" t="s">
        <v>20</v>
      </c>
      <c r="E33" s="1392" t="s">
        <v>38</v>
      </c>
      <c r="F33" s="780" t="s"/>
      <c r="G33" s="780" t="s"/>
      <c r="H33" s="1389" t="s"/>
      <c r="I33" s="1123">
        <v>2</v>
      </c>
      <c r="J33" s="920">
        <v>2</v>
      </c>
      <c r="K33" s="920">
        <v>0</v>
      </c>
      <c r="L33" s="1391" t="s"/>
      <c r="M33" s="508" t="s"/>
      <c r="N33" s="508" t="s"/>
      <c r="O33" s="508" t="s"/>
      <c r="P33" s="508" t="s"/>
      <c r="Q33" s="508" t="s"/>
      <c r="R33" s="508" t="s"/>
      <c r="S33" s="508" t="s"/>
      <c r="T33" s="508" t="s"/>
      <c r="U33" s="508" t="s"/>
      <c r="V33" s="508" t="s"/>
      <c r="W33" s="508" t="s"/>
      <c r="X33" s="508" t="s"/>
      <c r="Y33" s="508" t="s"/>
    </row>
    <row r="34" spans="1:25" hidden="true">
      <c r="A34" s="1367" t="s"/>
      <c r="B34" s="727" t="s"/>
      <c r="C34" s="727" t="s"/>
      <c r="D34" s="780" t="s"/>
      <c r="E34" s="781" t="s"/>
      <c r="F34" s="780" t="s"/>
      <c r="G34" s="780" t="s"/>
      <c r="H34" s="1389" t="s"/>
      <c r="I34" s="1123" t="s"/>
      <c r="J34" s="920" t="s"/>
      <c r="K34" s="920" t="s"/>
      <c r="L34" s="1117" t="s"/>
      <c r="M34" s="508" t="s"/>
      <c r="N34" s="508" t="s"/>
      <c r="O34" s="508" t="s"/>
      <c r="P34" s="508" t="s"/>
      <c r="Q34" s="508" t="s"/>
      <c r="R34" s="508" t="s"/>
      <c r="S34" s="508" t="s"/>
      <c r="T34" s="508" t="s"/>
      <c r="U34" s="508" t="s"/>
      <c r="V34" s="508" t="s"/>
      <c r="W34" s="508" t="s"/>
      <c r="X34" s="508" t="s"/>
      <c r="Y34" s="508" t="s"/>
    </row>
    <row r="35" spans="1:25" hidden="true">
      <c r="A35" s="1393" t="s"/>
      <c r="B35" s="749" t="s"/>
      <c r="C35" s="749" t="s"/>
      <c r="D35" s="780" t="s"/>
      <c r="E35" s="781" t="s"/>
      <c r="F35" s="780" t="s"/>
      <c r="G35" s="780" t="s"/>
      <c r="H35" s="1389" t="s"/>
      <c r="I35" s="1123" t="s"/>
      <c r="J35" s="920" t="s"/>
      <c r="K35" s="920" t="s"/>
      <c r="L35" s="1117" t="s"/>
      <c r="M35" s="508" t="s"/>
      <c r="N35" s="508" t="s"/>
      <c r="O35" s="508" t="s"/>
      <c r="P35" s="508" t="s"/>
      <c r="Q35" s="508" t="s"/>
      <c r="R35" s="508" t="s"/>
      <c r="S35" s="508" t="s"/>
      <c r="T35" s="508" t="s"/>
      <c r="U35" s="508" t="s"/>
      <c r="V35" s="508" t="s"/>
      <c r="W35" s="508" t="s"/>
      <c r="X35" s="508" t="s"/>
      <c r="Y35" s="508" t="s"/>
    </row>
    <row r="36" spans="1:25">
      <c r="A36" s="1394" t="s">
        <v>65</v>
      </c>
      <c r="B36" s="1395" t="s"/>
      <c r="C36" s="1395" t="s"/>
      <c r="D36" s="825" t="s">
        <v>20</v>
      </c>
      <c r="E36" s="826" t="s">
        <v>60</v>
      </c>
      <c r="F36" s="825">
        <v>3</v>
      </c>
      <c r="G36" s="825" t="s">
        <v>30</v>
      </c>
      <c r="H36" s="917" t="s">
        <v>368</v>
      </c>
      <c r="I36" s="1396">
        <v>4</v>
      </c>
      <c r="J36" s="1397">
        <v>2</v>
      </c>
      <c r="K36" s="1397">
        <v>1</v>
      </c>
      <c r="L36" s="1398" t="s"/>
      <c r="M36" s="508" t="s"/>
      <c r="N36" s="508" t="s"/>
      <c r="O36" s="508" t="s"/>
      <c r="P36" s="508" t="s"/>
      <c r="Q36" s="508" t="s"/>
      <c r="R36" s="508" t="s"/>
      <c r="S36" s="508" t="s"/>
      <c r="T36" s="508" t="s"/>
      <c r="U36" s="508" t="s"/>
      <c r="V36" s="508" t="s"/>
      <c r="W36" s="508" t="s"/>
      <c r="X36" s="508" t="s"/>
      <c r="Y36" s="508" t="s"/>
    </row>
    <row r="37" spans="1:25">
      <c r="A37" s="1399" t="s">
        <v>70</v>
      </c>
      <c r="B37" s="1400" t="s"/>
      <c r="C37" s="1400" t="s"/>
      <c r="D37" s="1401" t="s">
        <v>25</v>
      </c>
      <c r="E37" s="1402" t="s">
        <v>76</v>
      </c>
      <c r="F37" s="1401" t="s"/>
      <c r="G37" s="1401" t="s"/>
      <c r="H37" s="1403" t="s"/>
      <c r="I37" s="1404">
        <v>1</v>
      </c>
      <c r="J37" s="1405">
        <v>0</v>
      </c>
      <c r="K37" s="1405">
        <v>0</v>
      </c>
      <c r="L37" s="1406">
        <v>7</v>
      </c>
      <c r="M37" s="508" t="s"/>
      <c r="N37" s="508" t="s"/>
      <c r="O37" s="508" t="s"/>
      <c r="P37" s="508" t="s"/>
      <c r="Q37" s="508" t="s"/>
      <c r="R37" s="508" t="s"/>
      <c r="S37" s="508" t="s"/>
      <c r="T37" s="508" t="s"/>
      <c r="U37" s="508" t="s"/>
      <c r="V37" s="508" t="s"/>
      <c r="W37" s="508" t="s"/>
      <c r="X37" s="508" t="s"/>
      <c r="Y37" s="508" t="s"/>
    </row>
    <row r="38" spans="1:25" hidden="true">
      <c r="A38" s="1346" t="s">
        <v>70</v>
      </c>
      <c r="B38" s="1347" t="s"/>
      <c r="C38" s="1347">
        <v>7</v>
      </c>
      <c r="D38" s="1346" t="s"/>
      <c r="E38" s="1347" t="s"/>
      <c r="F38" s="1407" t="s"/>
      <c r="G38" s="1407" t="s"/>
      <c r="H38" s="1408" t="s"/>
      <c r="I38" s="1040" t="s"/>
      <c r="J38" s="1041" t="s"/>
      <c r="K38" s="1041" t="s"/>
      <c r="L38" s="1042">
        <v>7</v>
      </c>
      <c r="M38" s="508" t="s"/>
      <c r="N38" s="508" t="s"/>
      <c r="O38" s="508" t="s"/>
      <c r="P38" s="508" t="s"/>
      <c r="Q38" s="508" t="s"/>
      <c r="R38" s="508" t="s"/>
      <c r="S38" s="508" t="s"/>
      <c r="T38" s="508" t="s"/>
      <c r="U38" s="508" t="s"/>
      <c r="V38" s="508" t="s"/>
      <c r="W38" s="508" t="s"/>
      <c r="X38" s="508" t="s"/>
      <c r="Y38" s="508" t="s"/>
    </row>
    <row r="39" spans="1:25">
      <c r="A39" s="808" t="s">
        <v>71</v>
      </c>
      <c r="B39" s="809" t="s"/>
      <c r="C39" s="1409">
        <v>22</v>
      </c>
      <c r="D39" s="810" t="s">
        <v>44</v>
      </c>
      <c r="E39" s="811" t="s">
        <v>164</v>
      </c>
      <c r="F39" s="812">
        <v>1</v>
      </c>
      <c r="G39" s="812" t="s">
        <v>30</v>
      </c>
      <c r="H39" s="1410" t="s">
        <v>165</v>
      </c>
      <c r="I39" s="1145">
        <v>0</v>
      </c>
      <c r="J39" s="931">
        <v>0</v>
      </c>
      <c r="K39" s="929">
        <v>0</v>
      </c>
      <c r="L39" s="1411">
        <v>16</v>
      </c>
      <c r="M39" s="508" t="s"/>
      <c r="N39" s="508" t="s"/>
      <c r="O39" s="508" t="s"/>
      <c r="P39" s="508" t="s"/>
      <c r="Q39" s="508" t="s"/>
      <c r="R39" s="508" t="s"/>
      <c r="S39" s="508" t="s"/>
      <c r="T39" s="508" t="s"/>
      <c r="U39" s="508" t="s"/>
      <c r="V39" s="508" t="s"/>
      <c r="W39" s="508" t="s"/>
      <c r="X39" s="508" t="s"/>
      <c r="Y39" s="508" t="s"/>
    </row>
    <row r="40" spans="1:25">
      <c r="A40" s="770" t="s"/>
      <c r="B40" s="770" t="s"/>
      <c r="C40" s="770" t="s"/>
      <c r="D40" s="810" t="s">
        <v>20</v>
      </c>
      <c r="E40" s="811" t="s">
        <v>72</v>
      </c>
      <c r="F40" s="812">
        <v>2</v>
      </c>
      <c r="G40" s="812" t="s">
        <v>30</v>
      </c>
      <c r="H40" s="1410" t="s">
        <v>168</v>
      </c>
      <c r="I40" s="1145">
        <v>0</v>
      </c>
      <c r="J40" s="931">
        <v>0</v>
      </c>
      <c r="K40" s="929">
        <v>1</v>
      </c>
      <c r="L40" s="1050" t="s"/>
      <c r="M40" s="508" t="s"/>
      <c r="N40" s="508" t="s"/>
      <c r="O40" s="508" t="s"/>
      <c r="P40" s="508" t="s"/>
      <c r="Q40" s="508" t="s"/>
      <c r="R40" s="508" t="s"/>
      <c r="S40" s="508" t="s"/>
      <c r="T40" s="508" t="s"/>
      <c r="U40" s="508" t="s"/>
      <c r="V40" s="508" t="s"/>
      <c r="W40" s="508" t="s"/>
      <c r="X40" s="508" t="s"/>
      <c r="Y40" s="508" t="s"/>
    </row>
    <row r="41" spans="1:25">
      <c r="A41" s="770" t="s"/>
      <c r="B41" s="770" t="s"/>
      <c r="C41" s="770" t="s"/>
      <c r="D41" s="810" t="s">
        <v>20</v>
      </c>
      <c r="E41" s="818" t="s">
        <v>80</v>
      </c>
      <c r="F41" s="819">
        <v>1</v>
      </c>
      <c r="G41" s="819" t="s">
        <v>30</v>
      </c>
      <c r="H41" s="1412" t="s">
        <v>169</v>
      </c>
      <c r="I41" s="1145">
        <v>1</v>
      </c>
      <c r="J41" s="931">
        <v>1</v>
      </c>
      <c r="K41" s="929">
        <v>0</v>
      </c>
      <c r="L41" s="1050" t="s"/>
      <c r="M41" s="508" t="s"/>
      <c r="N41" s="508" t="s"/>
      <c r="O41" s="508" t="s"/>
      <c r="P41" s="508" t="s"/>
      <c r="Q41" s="508" t="s"/>
      <c r="R41" s="508" t="s"/>
      <c r="S41" s="508" t="s"/>
      <c r="T41" s="508" t="s"/>
      <c r="U41" s="508" t="s"/>
      <c r="V41" s="508" t="s"/>
      <c r="W41" s="508" t="s"/>
      <c r="X41" s="508" t="s"/>
      <c r="Y41" s="508" t="s"/>
    </row>
    <row r="42" spans="1:25" ht="27.75" customHeight="true">
      <c r="A42" s="770" t="s"/>
      <c r="B42" s="776" t="s"/>
      <c r="C42" s="770" t="s"/>
      <c r="D42" s="817" t="s">
        <v>47</v>
      </c>
      <c r="E42" s="818" t="s">
        <v>170</v>
      </c>
      <c r="F42" s="819">
        <v>1</v>
      </c>
      <c r="G42" s="819" t="s">
        <v>30</v>
      </c>
      <c r="H42" s="1412" t="s">
        <v>171</v>
      </c>
      <c r="I42" s="1145">
        <v>0</v>
      </c>
      <c r="J42" s="931">
        <v>0</v>
      </c>
      <c r="K42" s="929">
        <v>0</v>
      </c>
      <c r="L42" s="1050" t="s"/>
      <c r="M42" s="508" t="s"/>
      <c r="N42" s="508" t="s"/>
      <c r="O42" s="508" t="s"/>
      <c r="P42" s="508" t="s"/>
      <c r="Q42" s="508" t="s"/>
      <c r="R42" s="508" t="s"/>
      <c r="S42" s="508" t="s"/>
      <c r="T42" s="508" t="s"/>
      <c r="U42" s="508" t="s"/>
      <c r="V42" s="508" t="s"/>
      <c r="W42" s="508" t="s"/>
      <c r="X42" s="508" t="s"/>
      <c r="Y42" s="508" t="s"/>
    </row>
    <row r="43" spans="1:25" ht="27.75" customHeight="true">
      <c r="A43" s="770" t="s"/>
      <c r="B43" s="822" t="s"/>
      <c r="C43" s="770" t="s"/>
      <c r="D43" s="808" t="s">
        <v>20</v>
      </c>
      <c r="E43" s="809" t="s">
        <v>94</v>
      </c>
      <c r="F43" s="1413" t="s"/>
      <c r="G43" s="1413" t="s"/>
      <c r="H43" s="1414" t="s"/>
      <c r="I43" s="1415">
        <v>2</v>
      </c>
      <c r="J43" s="1416">
        <v>1</v>
      </c>
      <c r="K43" s="1417">
        <v>0</v>
      </c>
      <c r="L43" s="1050" t="s"/>
      <c r="M43" s="508" t="s"/>
      <c r="N43" s="508" t="s"/>
      <c r="O43" s="508" t="s"/>
      <c r="P43" s="508" t="s"/>
      <c r="Q43" s="508" t="s"/>
      <c r="R43" s="508" t="s"/>
      <c r="S43" s="508" t="s"/>
      <c r="T43" s="508" t="s"/>
      <c r="U43" s="508" t="s"/>
      <c r="V43" s="508" t="s"/>
      <c r="W43" s="508" t="s"/>
      <c r="X43" s="508" t="s"/>
      <c r="Y43" s="508" t="s"/>
    </row>
    <row r="44" spans="1:25" ht="27.75" customHeight="true">
      <c r="A44" s="776" t="s"/>
      <c r="B44" s="822" t="s"/>
      <c r="C44" s="776" t="s"/>
      <c r="D44" s="808" t="s">
        <v>20</v>
      </c>
      <c r="E44" s="809" t="s">
        <v>83</v>
      </c>
      <c r="F44" s="1413" t="s"/>
      <c r="G44" s="1413" t="s"/>
      <c r="H44" s="1414" t="s"/>
      <c r="I44" s="1415">
        <v>0</v>
      </c>
      <c r="J44" s="1416">
        <v>0</v>
      </c>
      <c r="K44" s="1417">
        <v>0</v>
      </c>
      <c r="L44" s="1125" t="s"/>
      <c r="M44" s="508" t="s"/>
      <c r="N44" s="508" t="s"/>
      <c r="O44" s="508" t="s"/>
      <c r="P44" s="508" t="s"/>
      <c r="Q44" s="508" t="s"/>
      <c r="R44" s="508" t="s"/>
      <c r="S44" s="508" t="s"/>
      <c r="T44" s="508" t="s"/>
      <c r="U44" s="508" t="s"/>
      <c r="V44" s="508" t="s"/>
      <c r="W44" s="508" t="s"/>
      <c r="X44" s="508" t="s"/>
      <c r="Y44" s="508" t="s"/>
    </row>
    <row r="45" spans="1:25" hidden="true">
      <c r="A45" s="831" t="s"/>
      <c r="B45" s="832" t="s"/>
      <c r="C45" s="832">
        <f>=SUM(C14:C42)</f>
        <v>190</v>
      </c>
      <c r="D45" s="831" t="s"/>
      <c r="E45" s="832" t="s"/>
      <c r="F45" s="833">
        <f>=SUM(F14:F41)</f>
        <v>31</v>
      </c>
      <c r="G45" s="833" t="s"/>
      <c r="H45" s="1418" t="s"/>
      <c r="I45" s="1419" t="s"/>
      <c r="J45" s="1420" t="s"/>
      <c r="K45" s="1420" t="s"/>
      <c r="L45" s="1421">
        <f>=SUM(L14:L42)</f>
        <v>191</v>
      </c>
      <c r="M45" s="508" t="s"/>
      <c r="N45" s="508" t="s"/>
      <c r="O45" s="508" t="s"/>
      <c r="P45" s="508" t="s"/>
      <c r="Q45" s="508" t="s"/>
      <c r="R45" s="508" t="s"/>
      <c r="S45" s="508" t="s"/>
      <c r="T45" s="508" t="s"/>
      <c r="U45" s="508" t="s"/>
      <c r="V45" s="508" t="s"/>
      <c r="W45" s="508" t="s"/>
      <c r="X45" s="508" t="s"/>
      <c r="Y45" s="508" t="s"/>
    </row>
    <row r="46" spans="1:25" hidden="true">
      <c r="A46" s="680" t="s"/>
      <c r="B46" s="837" t="s"/>
      <c r="C46" s="837" t="s"/>
      <c r="D46" s="410" t="s"/>
      <c r="I46" s="508" t="s"/>
      <c r="J46" s="508" t="s"/>
      <c r="K46" s="508" t="s"/>
      <c r="L46" s="508" t="s"/>
      <c r="M46" s="508" t="s"/>
      <c r="N46" s="508" t="s"/>
      <c r="O46" s="508" t="s"/>
      <c r="P46" s="508" t="s"/>
      <c r="Q46" s="508" t="s"/>
      <c r="R46" s="508" t="s"/>
      <c r="S46" s="508" t="s"/>
      <c r="T46" s="508" t="s"/>
      <c r="U46" s="508" t="s"/>
      <c r="V46" s="508" t="s"/>
      <c r="W46" s="508" t="s"/>
      <c r="X46" s="508" t="s"/>
      <c r="Y46" s="508" t="s"/>
    </row>
    <row r="47" spans="1:25">
      <c r="A47" s="680" t="s"/>
      <c r="B47" s="841" t="s"/>
      <c r="C47" s="841" t="s"/>
      <c r="D47" s="838" t="s"/>
      <c r="E47" s="837" t="s"/>
      <c r="F47" s="839" t="s"/>
      <c r="G47" s="839" t="s"/>
      <c r="H47" s="840" t="s"/>
      <c r="I47" s="508" t="s"/>
      <c r="J47" s="508" t="s"/>
      <c r="K47" s="508" t="s"/>
      <c r="L47" s="508" t="s"/>
      <c r="M47" s="508" t="s"/>
      <c r="N47" s="508" t="s"/>
      <c r="O47" s="508" t="s"/>
      <c r="P47" s="508" t="s"/>
      <c r="Q47" s="508" t="s"/>
      <c r="R47" s="508" t="s"/>
      <c r="S47" s="508" t="s"/>
      <c r="T47" s="508" t="s"/>
      <c r="U47" s="508" t="s"/>
      <c r="V47" s="508" t="s"/>
      <c r="W47" s="508" t="s"/>
      <c r="X47" s="508" t="s"/>
      <c r="Y47" s="508" t="s"/>
    </row>
    <row r="48" spans="1:25">
      <c r="A48" s="680" t="s"/>
      <c r="B48" s="841" t="s"/>
      <c r="C48" s="841" t="s"/>
      <c r="D48" s="842" t="s"/>
      <c r="E48" s="841" t="s"/>
      <c r="F48" s="843" t="s"/>
      <c r="G48" s="843" t="s"/>
      <c r="H48" s="844" t="s"/>
      <c r="I48" s="508" t="s"/>
      <c r="J48" s="508" t="s"/>
      <c r="K48" s="508" t="s"/>
      <c r="L48" s="508" t="s"/>
      <c r="M48" s="508" t="s"/>
      <c r="N48" s="508" t="s"/>
      <c r="O48" s="508" t="s"/>
      <c r="P48" s="508" t="s"/>
      <c r="Q48" s="508" t="s"/>
      <c r="R48" s="508" t="s"/>
      <c r="S48" s="508" t="s"/>
      <c r="T48" s="508" t="s"/>
      <c r="U48" s="508" t="s"/>
      <c r="V48" s="508" t="s"/>
      <c r="W48" s="508" t="s"/>
      <c r="X48" s="508" t="s"/>
      <c r="Y48" s="508" t="s"/>
    </row>
    <row r="49" spans="1:25">
      <c r="A49" s="680" t="s"/>
      <c r="B49" s="837" t="s"/>
      <c r="C49" s="837" t="s"/>
      <c r="D49" s="838" t="s"/>
      <c r="E49" s="837" t="s"/>
      <c r="F49" s="839" t="s"/>
      <c r="G49" s="839" t="s"/>
      <c r="H49" s="840" t="s"/>
      <c r="I49" s="508" t="s"/>
      <c r="J49" s="508" t="s"/>
      <c r="K49" s="508" t="s"/>
      <c r="L49" s="508" t="s"/>
      <c r="M49" s="508" t="s"/>
      <c r="N49" s="508" t="s"/>
      <c r="O49" s="508" t="s"/>
      <c r="P49" s="508" t="s"/>
      <c r="Q49" s="508" t="s"/>
      <c r="R49" s="508" t="s"/>
      <c r="S49" s="508" t="s"/>
      <c r="T49" s="508" t="s"/>
      <c r="U49" s="508" t="s"/>
      <c r="V49" s="508" t="s"/>
      <c r="W49" s="508" t="s"/>
      <c r="X49" s="508" t="s"/>
      <c r="Y49" s="508" t="s"/>
    </row>
    <row r="50" spans="1:25">
      <c r="A50" s="680" t="s"/>
      <c r="B50" s="837" t="s"/>
      <c r="C50" s="837" t="s"/>
      <c r="D50" s="838" t="s"/>
      <c r="E50" s="837" t="s"/>
      <c r="F50" s="839" t="s"/>
      <c r="G50" s="839" t="s"/>
      <c r="H50" s="840" t="s"/>
      <c r="I50" s="508" t="s"/>
      <c r="J50" s="508" t="s"/>
      <c r="K50" s="508" t="s"/>
      <c r="L50" s="508" t="s"/>
      <c r="M50" s="508" t="s"/>
      <c r="N50" s="508" t="s"/>
      <c r="O50" s="508" t="s"/>
      <c r="P50" s="508" t="s"/>
      <c r="Q50" s="508" t="s"/>
      <c r="R50" s="508" t="s"/>
      <c r="S50" s="508" t="s"/>
      <c r="T50" s="508" t="s"/>
      <c r="U50" s="508" t="s"/>
      <c r="V50" s="508" t="s"/>
      <c r="W50" s="508" t="s"/>
      <c r="X50" s="508" t="s"/>
      <c r="Y50" s="508" t="s"/>
    </row>
    <row r="51" spans="1:25">
      <c r="A51" s="680" t="s"/>
      <c r="B51" s="837" t="s"/>
      <c r="C51" s="837" t="s"/>
      <c r="D51" s="838" t="s"/>
      <c r="E51" s="837" t="s"/>
      <c r="F51" s="839" t="s"/>
      <c r="G51" s="839" t="s"/>
      <c r="H51" s="840" t="s"/>
      <c r="I51" s="508" t="s"/>
      <c r="J51" s="508" t="s"/>
      <c r="K51" s="508" t="s"/>
      <c r="L51" s="508" t="s"/>
      <c r="M51" s="508" t="s"/>
      <c r="N51" s="508" t="s"/>
      <c r="O51" s="508" t="s"/>
      <c r="P51" s="508" t="s"/>
      <c r="Q51" s="508" t="s"/>
      <c r="R51" s="508" t="s"/>
      <c r="S51" s="508" t="s"/>
      <c r="T51" s="508" t="s"/>
      <c r="U51" s="508" t="s"/>
      <c r="V51" s="508" t="s"/>
      <c r="W51" s="508" t="s"/>
      <c r="X51" s="508" t="s"/>
      <c r="Y51" s="508" t="s"/>
    </row>
    <row r="52" spans="1:25">
      <c r="A52" s="680" t="s"/>
      <c r="B52" s="837" t="s"/>
      <c r="C52" s="837" t="s"/>
      <c r="D52" s="838" t="s"/>
      <c r="E52" s="837" t="s"/>
      <c r="F52" s="839" t="s"/>
      <c r="G52" s="839" t="s"/>
      <c r="H52" s="840" t="s"/>
      <c r="I52" s="508" t="s"/>
      <c r="J52" s="508" t="s"/>
      <c r="K52" s="508" t="s"/>
      <c r="L52" s="508" t="s"/>
      <c r="M52" s="508" t="s"/>
      <c r="N52" s="508" t="s"/>
      <c r="O52" s="508" t="s"/>
      <c r="P52" s="508" t="s"/>
      <c r="Q52" s="508" t="s"/>
      <c r="R52" s="508" t="s"/>
      <c r="S52" s="508" t="s"/>
      <c r="T52" s="508" t="s"/>
      <c r="U52" s="508" t="s"/>
      <c r="V52" s="508" t="s"/>
      <c r="W52" s="508" t="s"/>
      <c r="X52" s="508" t="s"/>
      <c r="Y52" s="508" t="s"/>
    </row>
    <row r="53" spans="1:25">
      <c r="A53" s="680" t="s"/>
      <c r="B53" s="837" t="s"/>
      <c r="C53" s="837" t="s"/>
      <c r="D53" s="838" t="s"/>
      <c r="E53" s="837" t="s"/>
      <c r="F53" s="839" t="s"/>
      <c r="G53" s="839" t="s"/>
      <c r="H53" s="840" t="s"/>
      <c r="I53" s="508" t="s"/>
      <c r="J53" s="508" t="s"/>
      <c r="K53" s="508" t="s"/>
      <c r="L53" s="508" t="s"/>
      <c r="M53" s="508" t="s"/>
      <c r="N53" s="508" t="s"/>
      <c r="O53" s="508" t="s"/>
      <c r="P53" s="508" t="s"/>
      <c r="Q53" s="508" t="s"/>
      <c r="R53" s="508" t="s"/>
      <c r="S53" s="508" t="s"/>
      <c r="T53" s="508" t="s"/>
      <c r="U53" s="508" t="s"/>
      <c r="V53" s="508" t="s"/>
      <c r="W53" s="508" t="s"/>
      <c r="X53" s="508" t="s"/>
      <c r="Y53" s="508" t="s"/>
    </row>
    <row r="54" spans="1:25">
      <c r="A54" s="680" t="s"/>
      <c r="B54" s="837" t="s"/>
      <c r="C54" s="837" t="s"/>
      <c r="D54" s="838" t="s"/>
      <c r="E54" s="837" t="s"/>
      <c r="F54" s="839" t="s"/>
      <c r="G54" s="839" t="s"/>
      <c r="H54" s="840" t="s"/>
      <c r="I54" s="508" t="s"/>
      <c r="J54" s="508" t="s"/>
      <c r="K54" s="508" t="s"/>
      <c r="L54" s="508" t="s"/>
      <c r="M54" s="508" t="s"/>
      <c r="N54" s="508" t="s"/>
      <c r="O54" s="508" t="s"/>
      <c r="P54" s="508" t="s"/>
      <c r="Q54" s="508" t="s"/>
      <c r="R54" s="508" t="s"/>
      <c r="S54" s="508" t="s"/>
      <c r="T54" s="508" t="s"/>
      <c r="U54" s="508" t="s"/>
      <c r="V54" s="508" t="s"/>
      <c r="W54" s="508" t="s"/>
      <c r="X54" s="508" t="s"/>
      <c r="Y54" s="508" t="s"/>
    </row>
    <row r="55" spans="1:25">
      <c r="A55" s="680" t="s"/>
      <c r="B55" s="837" t="s"/>
      <c r="C55" s="837" t="s"/>
      <c r="D55" s="838" t="s"/>
      <c r="E55" s="837" t="s"/>
      <c r="F55" s="839" t="s"/>
      <c r="G55" s="839" t="s"/>
      <c r="H55" s="840" t="s"/>
      <c r="I55" s="508" t="s"/>
      <c r="J55" s="508" t="s"/>
      <c r="K55" s="508" t="s"/>
      <c r="L55" s="508" t="s"/>
      <c r="M55" s="508" t="s"/>
      <c r="N55" s="508" t="s"/>
      <c r="O55" s="508" t="s"/>
      <c r="P55" s="508" t="s"/>
      <c r="Q55" s="508" t="s"/>
      <c r="R55" s="508" t="s"/>
      <c r="S55" s="508" t="s"/>
      <c r="T55" s="508" t="s"/>
      <c r="U55" s="508" t="s"/>
      <c r="V55" s="508" t="s"/>
      <c r="W55" s="508" t="s"/>
      <c r="X55" s="508" t="s"/>
      <c r="Y55" s="508" t="s"/>
    </row>
    <row r="56" spans="1:25">
      <c r="A56" s="680" t="s"/>
      <c r="B56" s="837" t="s"/>
      <c r="C56" s="837" t="s"/>
      <c r="D56" s="838" t="s"/>
      <c r="E56" s="837" t="s"/>
      <c r="F56" s="839" t="s"/>
      <c r="G56" s="839" t="s"/>
      <c r="H56" s="840" t="s"/>
      <c r="I56" s="508" t="s"/>
      <c r="J56" s="508" t="s"/>
      <c r="K56" s="508" t="s"/>
      <c r="L56" s="508" t="s"/>
      <c r="M56" s="508" t="s"/>
      <c r="N56" s="508" t="s"/>
      <c r="O56" s="508" t="s"/>
      <c r="P56" s="508" t="s"/>
      <c r="Q56" s="508" t="s"/>
      <c r="R56" s="508" t="s"/>
      <c r="S56" s="508" t="s"/>
      <c r="T56" s="508" t="s"/>
      <c r="U56" s="508" t="s"/>
      <c r="V56" s="508" t="s"/>
      <c r="W56" s="508" t="s"/>
      <c r="X56" s="508" t="s"/>
      <c r="Y56" s="508" t="s"/>
    </row>
    <row r="57" spans="1:25">
      <c r="A57" s="680" t="s"/>
      <c r="B57" s="837" t="s"/>
      <c r="C57" s="837" t="s"/>
      <c r="D57" s="838" t="s"/>
      <c r="E57" s="837" t="s"/>
      <c r="F57" s="839" t="s"/>
      <c r="G57" s="839" t="s"/>
      <c r="H57" s="840" t="s"/>
      <c r="I57" s="508" t="s"/>
      <c r="J57" s="508" t="s"/>
      <c r="K57" s="508" t="s"/>
      <c r="L57" s="508" t="s"/>
      <c r="M57" s="508" t="s"/>
      <c r="N57" s="508" t="s"/>
      <c r="O57" s="508" t="s"/>
      <c r="P57" s="508" t="s"/>
      <c r="Q57" s="508" t="s"/>
      <c r="R57" s="508" t="s"/>
      <c r="S57" s="508" t="s"/>
      <c r="T57" s="508" t="s"/>
      <c r="U57" s="508" t="s"/>
      <c r="V57" s="508" t="s"/>
      <c r="W57" s="508" t="s"/>
      <c r="X57" s="508" t="s"/>
      <c r="Y57" s="508" t="s"/>
    </row>
    <row r="58" spans="1:25">
      <c r="A58" s="680" t="s"/>
      <c r="B58" s="837" t="s"/>
      <c r="C58" s="837" t="s"/>
      <c r="D58" s="838" t="s"/>
      <c r="E58" s="837" t="s"/>
      <c r="F58" s="839" t="s"/>
      <c r="G58" s="839" t="s"/>
      <c r="H58" s="840" t="s"/>
      <c r="I58" s="508" t="s"/>
      <c r="J58" s="508" t="s"/>
      <c r="K58" s="508" t="s"/>
      <c r="L58" s="508" t="s"/>
      <c r="M58" s="508" t="s"/>
      <c r="N58" s="508" t="s"/>
      <c r="O58" s="508" t="s"/>
      <c r="P58" s="508" t="s"/>
      <c r="Q58" s="508" t="s"/>
      <c r="R58" s="508" t="s"/>
      <c r="S58" s="508" t="s"/>
      <c r="T58" s="508" t="s"/>
      <c r="U58" s="508" t="s"/>
      <c r="V58" s="508" t="s"/>
      <c r="W58" s="508" t="s"/>
      <c r="X58" s="508" t="s"/>
      <c r="Y58" s="508" t="s"/>
    </row>
    <row r="59" spans="1:25">
      <c r="A59" s="680" t="s"/>
      <c r="B59" s="837" t="s"/>
      <c r="C59" s="837" t="s"/>
      <c r="D59" s="838" t="s"/>
      <c r="E59" s="837" t="s"/>
      <c r="F59" s="839" t="s"/>
      <c r="G59" s="839" t="s"/>
      <c r="H59" s="840" t="s"/>
      <c r="I59" s="508" t="s"/>
      <c r="J59" s="508" t="s"/>
      <c r="K59" s="508" t="s"/>
      <c r="L59" s="508" t="s"/>
      <c r="M59" s="508" t="s"/>
      <c r="N59" s="508" t="s"/>
      <c r="O59" s="508" t="s"/>
      <c r="P59" s="508" t="s"/>
      <c r="Q59" s="508" t="s"/>
      <c r="R59" s="508" t="s"/>
      <c r="S59" s="508" t="s"/>
      <c r="T59" s="508" t="s"/>
      <c r="U59" s="508" t="s"/>
      <c r="V59" s="508" t="s"/>
      <c r="W59" s="508" t="s"/>
      <c r="X59" s="508" t="s"/>
      <c r="Y59" s="508" t="s"/>
    </row>
    <row r="60" spans="1:25">
      <c r="A60" s="680" t="s"/>
      <c r="B60" s="837" t="s"/>
      <c r="C60" s="837" t="s"/>
      <c r="D60" s="838" t="s"/>
      <c r="E60" s="837" t="s"/>
      <c r="F60" s="839" t="s"/>
      <c r="G60" s="839" t="s"/>
      <c r="H60" s="840" t="s"/>
      <c r="I60" s="508" t="s"/>
      <c r="J60" s="508" t="s"/>
      <c r="K60" s="508" t="s"/>
      <c r="L60" s="508" t="s"/>
      <c r="M60" s="508" t="s"/>
      <c r="N60" s="508" t="s"/>
      <c r="O60" s="508" t="s"/>
      <c r="P60" s="508" t="s"/>
      <c r="Q60" s="508" t="s"/>
      <c r="R60" s="508" t="s"/>
      <c r="S60" s="508" t="s"/>
      <c r="T60" s="508" t="s"/>
      <c r="U60" s="508" t="s"/>
      <c r="V60" s="508" t="s"/>
      <c r="W60" s="508" t="s"/>
      <c r="X60" s="508" t="s"/>
      <c r="Y60" s="508" t="s"/>
    </row>
    <row r="61" spans="1:25">
      <c r="A61" s="680" t="s"/>
      <c r="B61" s="837" t="s"/>
      <c r="C61" s="837" t="s"/>
      <c r="D61" s="838" t="s"/>
      <c r="E61" s="837" t="s"/>
      <c r="F61" s="839" t="s"/>
      <c r="G61" s="839" t="s"/>
      <c r="H61" s="840" t="s"/>
      <c r="I61" s="508" t="s"/>
      <c r="J61" s="508" t="s"/>
      <c r="K61" s="508" t="s"/>
      <c r="L61" s="508" t="s"/>
      <c r="M61" s="508" t="s"/>
      <c r="N61" s="508" t="s"/>
      <c r="O61" s="508" t="s"/>
      <c r="P61" s="508" t="s"/>
      <c r="Q61" s="508" t="s"/>
      <c r="R61" s="508" t="s"/>
      <c r="S61" s="508" t="s"/>
      <c r="T61" s="508" t="s"/>
      <c r="U61" s="508" t="s"/>
      <c r="V61" s="508" t="s"/>
      <c r="W61" s="508" t="s"/>
      <c r="X61" s="508" t="s"/>
      <c r="Y61" s="508" t="s"/>
    </row>
    <row r="62" spans="1:25">
      <c r="A62" s="680" t="s"/>
      <c r="B62" s="837" t="s"/>
      <c r="C62" s="837" t="s"/>
      <c r="D62" s="838" t="s"/>
      <c r="E62" s="837" t="s"/>
      <c r="F62" s="839" t="s"/>
      <c r="G62" s="839" t="s"/>
      <c r="H62" s="840" t="s"/>
      <c r="I62" s="508" t="s"/>
      <c r="J62" s="508" t="s"/>
      <c r="K62" s="508" t="s"/>
      <c r="L62" s="508" t="s"/>
      <c r="M62" s="508" t="s"/>
      <c r="N62" s="508" t="s"/>
      <c r="O62" s="508" t="s"/>
      <c r="P62" s="508" t="s"/>
      <c r="Q62" s="508" t="s"/>
      <c r="R62" s="508" t="s"/>
      <c r="S62" s="508" t="s"/>
      <c r="T62" s="508" t="s"/>
      <c r="U62" s="508" t="s"/>
      <c r="V62" s="508" t="s"/>
      <c r="W62" s="508" t="s"/>
      <c r="X62" s="508" t="s"/>
      <c r="Y62" s="508" t="s"/>
    </row>
    <row r="63" spans="1:25">
      <c r="A63" s="680" t="s"/>
      <c r="B63" s="837" t="s"/>
      <c r="C63" s="837" t="s"/>
      <c r="D63" s="838" t="s"/>
      <c r="E63" s="837" t="s"/>
      <c r="F63" s="839" t="s"/>
      <c r="G63" s="839" t="s"/>
      <c r="H63" s="840" t="s"/>
      <c r="I63" s="508" t="s"/>
      <c r="J63" s="508" t="s"/>
      <c r="K63" s="508" t="s"/>
      <c r="L63" s="508" t="s"/>
      <c r="M63" s="508" t="s"/>
      <c r="N63" s="508" t="s"/>
      <c r="O63" s="508" t="s"/>
      <c r="P63" s="508" t="s"/>
      <c r="Q63" s="508" t="s"/>
      <c r="R63" s="508" t="s"/>
      <c r="S63" s="508" t="s"/>
      <c r="T63" s="508" t="s"/>
      <c r="U63" s="508" t="s"/>
      <c r="V63" s="508" t="s"/>
      <c r="W63" s="508" t="s"/>
      <c r="X63" s="508" t="s"/>
      <c r="Y63" s="508" t="s"/>
    </row>
    <row r="64" spans="1:25">
      <c r="A64" s="680" t="s"/>
      <c r="B64" s="837" t="s"/>
      <c r="C64" s="837" t="s"/>
      <c r="D64" s="838" t="s"/>
      <c r="E64" s="837" t="s"/>
      <c r="F64" s="839" t="s"/>
      <c r="G64" s="839" t="s"/>
      <c r="H64" s="840" t="s"/>
      <c r="I64" s="508" t="s"/>
      <c r="J64" s="508" t="s"/>
      <c r="K64" s="508" t="s"/>
      <c r="L64" s="508" t="s"/>
      <c r="M64" s="508" t="s"/>
      <c r="N64" s="508" t="s"/>
      <c r="O64" s="508" t="s"/>
      <c r="P64" s="508" t="s"/>
      <c r="Q64" s="508" t="s"/>
      <c r="R64" s="508" t="s"/>
      <c r="S64" s="508" t="s"/>
      <c r="T64" s="508" t="s"/>
      <c r="U64" s="508" t="s"/>
      <c r="V64" s="508" t="s"/>
      <c r="W64" s="508" t="s"/>
      <c r="X64" s="508" t="s"/>
      <c r="Y64" s="508" t="s"/>
    </row>
    <row r="65" spans="1:25">
      <c r="A65" s="680" t="s"/>
      <c r="B65" s="837" t="s"/>
      <c r="C65" s="837" t="s"/>
      <c r="D65" s="838" t="s"/>
      <c r="E65" s="837" t="s"/>
      <c r="F65" s="839" t="s"/>
      <c r="G65" s="839" t="s"/>
      <c r="H65" s="840" t="s"/>
      <c r="I65" s="508" t="s"/>
      <c r="J65" s="508" t="s"/>
      <c r="K65" s="508" t="s"/>
      <c r="L65" s="508" t="s"/>
      <c r="M65" s="508" t="s"/>
      <c r="N65" s="508" t="s"/>
      <c r="O65" s="508" t="s"/>
      <c r="P65" s="508" t="s"/>
      <c r="Q65" s="508" t="s"/>
      <c r="R65" s="508" t="s"/>
      <c r="S65" s="508" t="s"/>
      <c r="T65" s="508" t="s"/>
      <c r="U65" s="508" t="s"/>
      <c r="V65" s="508" t="s"/>
      <c r="W65" s="508" t="s"/>
      <c r="X65" s="508" t="s"/>
      <c r="Y65" s="508" t="s"/>
    </row>
    <row r="66" spans="1:25">
      <c r="A66" s="680" t="s"/>
      <c r="B66" s="837" t="s"/>
      <c r="C66" s="837" t="s"/>
      <c r="D66" s="838" t="s"/>
      <c r="E66" s="837" t="s"/>
      <c r="F66" s="839" t="s"/>
      <c r="G66" s="839" t="s"/>
      <c r="H66" s="840" t="s"/>
      <c r="I66" s="508" t="s"/>
      <c r="J66" s="508" t="s"/>
      <c r="K66" s="508" t="s"/>
      <c r="L66" s="508" t="s"/>
      <c r="M66" s="508" t="s"/>
      <c r="N66" s="508" t="s"/>
      <c r="O66" s="508" t="s"/>
      <c r="P66" s="508" t="s"/>
      <c r="Q66" s="508" t="s"/>
      <c r="R66" s="508" t="s"/>
      <c r="S66" s="508" t="s"/>
      <c r="T66" s="508" t="s"/>
      <c r="U66" s="508" t="s"/>
      <c r="V66" s="508" t="s"/>
      <c r="W66" s="508" t="s"/>
      <c r="X66" s="508" t="s"/>
      <c r="Y66" s="508" t="s"/>
    </row>
    <row r="67" spans="1:25">
      <c r="A67" s="680" t="s"/>
      <c r="B67" s="837" t="s"/>
      <c r="C67" s="837" t="s"/>
      <c r="D67" s="838" t="s"/>
      <c r="E67" s="837" t="s"/>
      <c r="F67" s="839" t="s"/>
      <c r="G67" s="839" t="s"/>
      <c r="H67" s="840" t="s"/>
      <c r="I67" s="508" t="s"/>
      <c r="J67" s="508" t="s"/>
      <c r="K67" s="508" t="s"/>
      <c r="L67" s="508" t="s"/>
      <c r="M67" s="508" t="s"/>
      <c r="N67" s="508" t="s"/>
      <c r="O67" s="508" t="s"/>
      <c r="P67" s="508" t="s"/>
      <c r="Q67" s="508" t="s"/>
      <c r="R67" s="508" t="s"/>
      <c r="S67" s="508" t="s"/>
      <c r="T67" s="508" t="s"/>
      <c r="U67" s="508" t="s"/>
      <c r="V67" s="508" t="s"/>
      <c r="W67" s="508" t="s"/>
      <c r="X67" s="508" t="s"/>
      <c r="Y67" s="508" t="s"/>
    </row>
    <row r="68" spans="1:25">
      <c r="A68" s="680" t="s"/>
      <c r="B68" s="837" t="s"/>
      <c r="C68" s="837" t="s"/>
      <c r="D68" s="838" t="s"/>
      <c r="E68" s="837" t="s"/>
      <c r="F68" s="839" t="s"/>
      <c r="G68" s="839" t="s"/>
      <c r="H68" s="840" t="s"/>
      <c r="I68" s="508" t="s"/>
      <c r="J68" s="508" t="s"/>
      <c r="K68" s="508" t="s"/>
      <c r="L68" s="508" t="s"/>
      <c r="M68" s="508" t="s"/>
      <c r="N68" s="508" t="s"/>
      <c r="O68" s="508" t="s"/>
      <c r="P68" s="508" t="s"/>
      <c r="Q68" s="508" t="s"/>
      <c r="R68" s="508" t="s"/>
      <c r="S68" s="508" t="s"/>
      <c r="T68" s="508" t="s"/>
      <c r="U68" s="508" t="s"/>
      <c r="V68" s="508" t="s"/>
      <c r="W68" s="508" t="s"/>
      <c r="X68" s="508" t="s"/>
      <c r="Y68" s="508" t="s"/>
    </row>
    <row r="69" spans="1:25">
      <c r="A69" s="680" t="s"/>
      <c r="B69" s="837" t="s"/>
      <c r="C69" s="837" t="s"/>
      <c r="D69" s="838" t="s"/>
      <c r="E69" s="837" t="s"/>
      <c r="F69" s="839" t="s"/>
      <c r="G69" s="839" t="s"/>
      <c r="H69" s="840" t="s"/>
      <c r="I69" s="508" t="s"/>
      <c r="J69" s="508" t="s"/>
      <c r="K69" s="508" t="s"/>
      <c r="L69" s="508" t="s"/>
      <c r="M69" s="508" t="s"/>
      <c r="N69" s="508" t="s"/>
      <c r="O69" s="508" t="s"/>
      <c r="P69" s="508" t="s"/>
      <c r="Q69" s="508" t="s"/>
      <c r="R69" s="508" t="s"/>
      <c r="S69" s="508" t="s"/>
      <c r="T69" s="508" t="s"/>
      <c r="U69" s="508" t="s"/>
      <c r="V69" s="508" t="s"/>
      <c r="W69" s="508" t="s"/>
      <c r="X69" s="508" t="s"/>
      <c r="Y69" s="508" t="s"/>
    </row>
    <row r="70" spans="1:25">
      <c r="A70" s="680" t="s"/>
      <c r="B70" s="837" t="s"/>
      <c r="C70" s="837" t="s"/>
      <c r="D70" s="838" t="s"/>
      <c r="E70" s="837" t="s"/>
      <c r="F70" s="839" t="s"/>
      <c r="G70" s="839" t="s"/>
      <c r="H70" s="840" t="s"/>
      <c r="I70" s="508" t="s"/>
      <c r="J70" s="508" t="s"/>
      <c r="K70" s="508" t="s"/>
      <c r="L70" s="508" t="s"/>
      <c r="M70" s="508" t="s"/>
      <c r="N70" s="508" t="s"/>
      <c r="O70" s="508" t="s"/>
      <c r="P70" s="508" t="s"/>
      <c r="Q70" s="508" t="s"/>
      <c r="R70" s="508" t="s"/>
      <c r="S70" s="508" t="s"/>
      <c r="T70" s="508" t="s"/>
      <c r="U70" s="508" t="s"/>
      <c r="V70" s="508" t="s"/>
      <c r="W70" s="508" t="s"/>
      <c r="X70" s="508" t="s"/>
      <c r="Y70" s="508" t="s"/>
    </row>
    <row r="71" spans="1:25">
      <c r="A71" s="680" t="s"/>
      <c r="B71" s="837" t="s"/>
      <c r="C71" s="837" t="s"/>
      <c r="D71" s="838" t="s"/>
      <c r="E71" s="837" t="s"/>
      <c r="F71" s="839" t="s"/>
      <c r="G71" s="839" t="s"/>
      <c r="H71" s="840" t="s"/>
      <c r="I71" s="508" t="s"/>
      <c r="J71" s="508" t="s"/>
      <c r="K71" s="508" t="s"/>
      <c r="L71" s="508" t="s"/>
      <c r="M71" s="508" t="s"/>
      <c r="N71" s="508" t="s"/>
      <c r="O71" s="508" t="s"/>
      <c r="P71" s="508" t="s"/>
      <c r="Q71" s="508" t="s"/>
      <c r="R71" s="508" t="s"/>
      <c r="S71" s="508" t="s"/>
      <c r="T71" s="508" t="s"/>
      <c r="U71" s="508" t="s"/>
      <c r="V71" s="508" t="s"/>
      <c r="W71" s="508" t="s"/>
      <c r="X71" s="508" t="s"/>
      <c r="Y71" s="508" t="s"/>
    </row>
    <row r="72" spans="1:25">
      <c r="A72" s="680" t="s"/>
      <c r="B72" s="837" t="s"/>
      <c r="C72" s="837" t="s"/>
      <c r="D72" s="838" t="s"/>
      <c r="E72" s="837" t="s"/>
      <c r="F72" s="839" t="s"/>
      <c r="G72" s="839" t="s"/>
      <c r="H72" s="840" t="s"/>
      <c r="I72" s="508" t="s"/>
      <c r="J72" s="508" t="s"/>
      <c r="K72" s="508" t="s"/>
      <c r="L72" s="508" t="s"/>
      <c r="M72" s="508" t="s"/>
      <c r="N72" s="508" t="s"/>
      <c r="O72" s="508" t="s"/>
      <c r="P72" s="508" t="s"/>
      <c r="Q72" s="508" t="s"/>
      <c r="R72" s="508" t="s"/>
      <c r="S72" s="508" t="s"/>
      <c r="T72" s="508" t="s"/>
      <c r="U72" s="508" t="s"/>
      <c r="V72" s="508" t="s"/>
      <c r="W72" s="508" t="s"/>
      <c r="X72" s="508" t="s"/>
      <c r="Y72" s="508" t="s"/>
    </row>
    <row r="73" spans="1:25">
      <c r="A73" s="680" t="s"/>
      <c r="B73" s="837" t="s"/>
      <c r="C73" s="837" t="s"/>
      <c r="D73" s="838" t="s"/>
      <c r="E73" s="837" t="s"/>
      <c r="F73" s="839" t="s"/>
      <c r="G73" s="839" t="s"/>
      <c r="H73" s="840" t="s"/>
      <c r="I73" s="508" t="s"/>
      <c r="J73" s="508" t="s"/>
      <c r="K73" s="508" t="s"/>
      <c r="L73" s="508" t="s"/>
      <c r="M73" s="508" t="s"/>
      <c r="N73" s="508" t="s"/>
      <c r="O73" s="508" t="s"/>
      <c r="P73" s="508" t="s"/>
      <c r="Q73" s="508" t="s"/>
      <c r="R73" s="508" t="s"/>
      <c r="S73" s="508" t="s"/>
      <c r="T73" s="508" t="s"/>
      <c r="U73" s="508" t="s"/>
      <c r="V73" s="508" t="s"/>
      <c r="W73" s="508" t="s"/>
      <c r="X73" s="508" t="s"/>
      <c r="Y73" s="508" t="s"/>
    </row>
    <row r="74" spans="1:25">
      <c r="A74" s="680" t="s"/>
      <c r="B74" s="837" t="s"/>
      <c r="C74" s="837" t="s"/>
      <c r="D74" s="838" t="s"/>
      <c r="E74" s="837" t="s"/>
      <c r="F74" s="839" t="s"/>
      <c r="G74" s="839" t="s"/>
      <c r="H74" s="840" t="s"/>
      <c r="I74" s="508" t="s"/>
      <c r="J74" s="508" t="s"/>
      <c r="K74" s="508" t="s"/>
      <c r="L74" s="508" t="s"/>
      <c r="M74" s="508" t="s"/>
      <c r="N74" s="508" t="s"/>
      <c r="O74" s="508" t="s"/>
      <c r="P74" s="508" t="s"/>
      <c r="Q74" s="508" t="s"/>
      <c r="R74" s="508" t="s"/>
      <c r="S74" s="508" t="s"/>
      <c r="T74" s="508" t="s"/>
      <c r="U74" s="508" t="s"/>
      <c r="V74" s="508" t="s"/>
      <c r="W74" s="508" t="s"/>
      <c r="X74" s="508" t="s"/>
      <c r="Y74" s="508" t="s"/>
    </row>
    <row r="75" spans="1:25">
      <c r="A75" s="680" t="s"/>
      <c r="B75" s="837" t="s"/>
      <c r="C75" s="837" t="s"/>
      <c r="D75" s="838" t="s"/>
      <c r="E75" s="837" t="s"/>
      <c r="F75" s="839" t="s"/>
      <c r="G75" s="839" t="s"/>
      <c r="H75" s="840" t="s"/>
      <c r="I75" s="508" t="s"/>
      <c r="J75" s="508" t="s"/>
      <c r="K75" s="508" t="s"/>
      <c r="L75" s="508" t="s"/>
      <c r="M75" s="508" t="s"/>
      <c r="N75" s="508" t="s"/>
      <c r="O75" s="508" t="s"/>
      <c r="P75" s="508" t="s"/>
      <c r="Q75" s="508" t="s"/>
      <c r="R75" s="508" t="s"/>
      <c r="S75" s="508" t="s"/>
      <c r="T75" s="508" t="s"/>
      <c r="U75" s="508" t="s"/>
      <c r="V75" s="508" t="s"/>
      <c r="W75" s="508" t="s"/>
      <c r="X75" s="508" t="s"/>
      <c r="Y75" s="508" t="s"/>
    </row>
    <row r="76" spans="1:25">
      <c r="A76" s="680" t="s"/>
      <c r="B76" s="837" t="s"/>
      <c r="C76" s="837" t="s"/>
      <c r="D76" s="838" t="s"/>
      <c r="E76" s="837" t="s"/>
      <c r="F76" s="839" t="s"/>
      <c r="G76" s="839" t="s"/>
      <c r="H76" s="840" t="s"/>
      <c r="I76" s="508" t="s"/>
      <c r="J76" s="508" t="s"/>
      <c r="K76" s="508" t="s"/>
      <c r="L76" s="508" t="s"/>
      <c r="M76" s="508" t="s"/>
      <c r="N76" s="508" t="s"/>
      <c r="O76" s="508" t="s"/>
      <c r="P76" s="508" t="s"/>
      <c r="Q76" s="508" t="s"/>
      <c r="R76" s="508" t="s"/>
      <c r="S76" s="508" t="s"/>
      <c r="T76" s="508" t="s"/>
      <c r="U76" s="508" t="s"/>
      <c r="V76" s="508" t="s"/>
      <c r="W76" s="508" t="s"/>
      <c r="X76" s="508" t="s"/>
      <c r="Y76" s="508" t="s"/>
    </row>
    <row r="77" spans="1:25">
      <c r="A77" s="680" t="s"/>
      <c r="B77" s="837" t="s"/>
      <c r="C77" s="837" t="s"/>
      <c r="D77" s="838" t="s"/>
      <c r="E77" s="837" t="s"/>
      <c r="F77" s="839" t="s"/>
      <c r="G77" s="839" t="s"/>
      <c r="H77" s="840" t="s"/>
      <c r="I77" s="508" t="s"/>
      <c r="J77" s="508" t="s"/>
      <c r="K77" s="508" t="s"/>
      <c r="L77" s="508" t="s"/>
      <c r="M77" s="508" t="s"/>
      <c r="N77" s="508" t="s"/>
      <c r="O77" s="508" t="s"/>
      <c r="P77" s="508" t="s"/>
      <c r="Q77" s="508" t="s"/>
      <c r="R77" s="508" t="s"/>
      <c r="S77" s="508" t="s"/>
      <c r="T77" s="508" t="s"/>
      <c r="U77" s="508" t="s"/>
      <c r="V77" s="508" t="s"/>
      <c r="W77" s="508" t="s"/>
      <c r="X77" s="508" t="s"/>
      <c r="Y77" s="508" t="s"/>
    </row>
    <row r="78" spans="1:25">
      <c r="A78" s="680" t="s"/>
      <c r="B78" s="837" t="s"/>
      <c r="C78" s="837" t="s"/>
      <c r="D78" s="838" t="s"/>
      <c r="E78" s="837" t="s"/>
      <c r="F78" s="839" t="s"/>
      <c r="G78" s="839" t="s"/>
      <c r="H78" s="840" t="s"/>
      <c r="I78" s="508" t="s"/>
      <c r="J78" s="508" t="s"/>
      <c r="K78" s="508" t="s"/>
      <c r="L78" s="508" t="s"/>
      <c r="M78" s="508" t="s"/>
      <c r="N78" s="508" t="s"/>
      <c r="O78" s="508" t="s"/>
      <c r="P78" s="508" t="s"/>
      <c r="Q78" s="508" t="s"/>
      <c r="R78" s="508" t="s"/>
      <c r="S78" s="508" t="s"/>
      <c r="T78" s="508" t="s"/>
      <c r="U78" s="508" t="s"/>
      <c r="V78" s="508" t="s"/>
      <c r="W78" s="508" t="s"/>
      <c r="X78" s="508" t="s"/>
      <c r="Y78" s="508" t="s"/>
    </row>
    <row r="79" spans="1:25">
      <c r="A79" s="680" t="s"/>
      <c r="B79" s="837" t="s"/>
      <c r="C79" s="837" t="s"/>
      <c r="D79" s="838" t="s"/>
      <c r="E79" s="837" t="s"/>
      <c r="F79" s="839" t="s"/>
      <c r="G79" s="839" t="s"/>
      <c r="H79" s="840" t="s"/>
      <c r="I79" s="508" t="s"/>
      <c r="J79" s="508" t="s"/>
      <c r="K79" s="508" t="s"/>
      <c r="L79" s="508" t="s"/>
      <c r="M79" s="508" t="s"/>
      <c r="N79" s="508" t="s"/>
      <c r="O79" s="508" t="s"/>
      <c r="P79" s="508" t="s"/>
      <c r="Q79" s="508" t="s"/>
      <c r="R79" s="508" t="s"/>
      <c r="S79" s="508" t="s"/>
      <c r="T79" s="508" t="s"/>
      <c r="U79" s="508" t="s"/>
      <c r="V79" s="508" t="s"/>
      <c r="W79" s="508" t="s"/>
      <c r="X79" s="508" t="s"/>
      <c r="Y79" s="508" t="s"/>
    </row>
    <row r="80" spans="1:25">
      <c r="A80" s="680" t="s"/>
      <c r="B80" s="837" t="s"/>
      <c r="C80" s="837" t="s"/>
      <c r="D80" s="838" t="s"/>
      <c r="E80" s="837" t="s"/>
      <c r="F80" s="839" t="s"/>
      <c r="G80" s="839" t="s"/>
      <c r="H80" s="840" t="s"/>
      <c r="I80" s="508" t="s"/>
      <c r="J80" s="508" t="s"/>
      <c r="K80" s="508" t="s"/>
      <c r="L80" s="508" t="s"/>
      <c r="M80" s="508" t="s"/>
      <c r="N80" s="508" t="s"/>
      <c r="O80" s="508" t="s"/>
      <c r="P80" s="508" t="s"/>
      <c r="Q80" s="508" t="s"/>
      <c r="R80" s="508" t="s"/>
      <c r="S80" s="508" t="s"/>
      <c r="T80" s="508" t="s"/>
      <c r="U80" s="508" t="s"/>
      <c r="V80" s="508" t="s"/>
      <c r="W80" s="508" t="s"/>
      <c r="X80" s="508" t="s"/>
      <c r="Y80" s="508" t="s"/>
    </row>
    <row r="81" spans="1:25">
      <c r="A81" s="680" t="s"/>
      <c r="B81" s="837" t="s"/>
      <c r="C81" s="837" t="s"/>
      <c r="D81" s="838" t="s"/>
      <c r="E81" s="837" t="s"/>
      <c r="F81" s="839" t="s"/>
      <c r="G81" s="839" t="s"/>
      <c r="H81" s="840" t="s"/>
      <c r="I81" s="508" t="s"/>
      <c r="J81" s="508" t="s"/>
      <c r="K81" s="508" t="s"/>
      <c r="L81" s="508" t="s"/>
      <c r="M81" s="508" t="s"/>
      <c r="N81" s="508" t="s"/>
      <c r="O81" s="508" t="s"/>
      <c r="P81" s="508" t="s"/>
      <c r="Q81" s="508" t="s"/>
      <c r="R81" s="508" t="s"/>
      <c r="S81" s="508" t="s"/>
      <c r="T81" s="508" t="s"/>
      <c r="U81" s="508" t="s"/>
      <c r="V81" s="508" t="s"/>
      <c r="W81" s="508" t="s"/>
      <c r="X81" s="508" t="s"/>
      <c r="Y81" s="508" t="s"/>
    </row>
    <row r="82" spans="1:25">
      <c r="A82" s="680" t="s"/>
      <c r="B82" s="837" t="s"/>
      <c r="C82" s="837" t="s"/>
      <c r="D82" s="838" t="s"/>
      <c r="E82" s="837" t="s"/>
      <c r="F82" s="839" t="s"/>
      <c r="G82" s="839" t="s"/>
      <c r="H82" s="840" t="s"/>
      <c r="I82" s="508" t="s"/>
      <c r="J82" s="508" t="s"/>
      <c r="K82" s="508" t="s"/>
      <c r="L82" s="508" t="s"/>
      <c r="M82" s="508" t="s"/>
      <c r="N82" s="508" t="s"/>
      <c r="O82" s="508" t="s"/>
      <c r="P82" s="508" t="s"/>
      <c r="Q82" s="508" t="s"/>
      <c r="R82" s="508" t="s"/>
      <c r="S82" s="508" t="s"/>
      <c r="T82" s="508" t="s"/>
      <c r="U82" s="508" t="s"/>
      <c r="V82" s="508" t="s"/>
      <c r="W82" s="508" t="s"/>
      <c r="X82" s="508" t="s"/>
      <c r="Y82" s="508" t="s"/>
    </row>
    <row r="83" spans="1:25">
      <c r="A83" s="680" t="s"/>
      <c r="B83" s="837" t="s"/>
      <c r="C83" s="837" t="s"/>
      <c r="D83" s="838" t="s"/>
      <c r="E83" s="837" t="s"/>
      <c r="F83" s="839" t="s"/>
      <c r="G83" s="839" t="s"/>
      <c r="H83" s="840" t="s"/>
      <c r="I83" s="508" t="s"/>
      <c r="J83" s="508" t="s"/>
      <c r="K83" s="508" t="s"/>
      <c r="L83" s="508" t="s"/>
      <c r="M83" s="508" t="s"/>
      <c r="N83" s="508" t="s"/>
      <c r="O83" s="508" t="s"/>
      <c r="P83" s="508" t="s"/>
      <c r="Q83" s="508" t="s"/>
      <c r="R83" s="508" t="s"/>
      <c r="S83" s="508" t="s"/>
      <c r="T83" s="508" t="s"/>
      <c r="U83" s="508" t="s"/>
      <c r="V83" s="508" t="s"/>
      <c r="W83" s="508" t="s"/>
      <c r="X83" s="508" t="s"/>
      <c r="Y83" s="508" t="s"/>
    </row>
    <row r="84" spans="1:25">
      <c r="A84" s="680" t="s"/>
      <c r="B84" s="837" t="s"/>
      <c r="C84" s="837" t="s"/>
      <c r="D84" s="838" t="s"/>
      <c r="E84" s="837" t="s"/>
      <c r="F84" s="839" t="s"/>
      <c r="G84" s="839" t="s"/>
      <c r="H84" s="840" t="s"/>
      <c r="I84" s="508" t="s"/>
      <c r="J84" s="508" t="s"/>
      <c r="K84" s="508" t="s"/>
      <c r="L84" s="508" t="s"/>
      <c r="M84" s="508" t="s"/>
      <c r="N84" s="508" t="s"/>
      <c r="O84" s="508" t="s"/>
      <c r="P84" s="508" t="s"/>
      <c r="Q84" s="508" t="s"/>
      <c r="R84" s="508" t="s"/>
      <c r="S84" s="508" t="s"/>
      <c r="T84" s="508" t="s"/>
      <c r="U84" s="508" t="s"/>
      <c r="V84" s="508" t="s"/>
      <c r="W84" s="508" t="s"/>
      <c r="X84" s="508" t="s"/>
      <c r="Y84" s="508" t="s"/>
    </row>
    <row r="85" spans="1:25">
      <c r="A85" s="680" t="s"/>
      <c r="B85" s="837" t="s"/>
      <c r="C85" s="837" t="s"/>
      <c r="D85" s="838" t="s"/>
      <c r="E85" s="837" t="s"/>
      <c r="F85" s="839" t="s"/>
      <c r="G85" s="839" t="s"/>
      <c r="H85" s="840" t="s"/>
      <c r="I85" s="508" t="s"/>
      <c r="J85" s="508" t="s"/>
      <c r="K85" s="508" t="s"/>
      <c r="L85" s="508" t="s"/>
      <c r="M85" s="508" t="s"/>
      <c r="N85" s="508" t="s"/>
      <c r="O85" s="508" t="s"/>
      <c r="P85" s="508" t="s"/>
      <c r="Q85" s="508" t="s"/>
      <c r="R85" s="508" t="s"/>
      <c r="S85" s="508" t="s"/>
      <c r="T85" s="508" t="s"/>
      <c r="U85" s="508" t="s"/>
      <c r="V85" s="508" t="s"/>
      <c r="W85" s="508" t="s"/>
      <c r="X85" s="508" t="s"/>
      <c r="Y85" s="508" t="s"/>
    </row>
    <row r="86" spans="1:25">
      <c r="A86" s="680" t="s"/>
      <c r="B86" s="837" t="s"/>
      <c r="C86" s="837" t="s"/>
      <c r="D86" s="838" t="s"/>
      <c r="E86" s="837" t="s"/>
      <c r="F86" s="839" t="s"/>
      <c r="G86" s="839" t="s"/>
      <c r="H86" s="840" t="s"/>
      <c r="I86" s="508" t="s"/>
      <c r="J86" s="508" t="s"/>
      <c r="K86" s="508" t="s"/>
      <c r="L86" s="508" t="s"/>
      <c r="M86" s="508" t="s"/>
      <c r="N86" s="508" t="s"/>
      <c r="O86" s="508" t="s"/>
      <c r="P86" s="508" t="s"/>
      <c r="Q86" s="508" t="s"/>
      <c r="R86" s="508" t="s"/>
      <c r="S86" s="508" t="s"/>
      <c r="T86" s="508" t="s"/>
      <c r="U86" s="508" t="s"/>
      <c r="V86" s="508" t="s"/>
      <c r="W86" s="508" t="s"/>
      <c r="X86" s="508" t="s"/>
      <c r="Y86" s="508" t="s"/>
    </row>
    <row r="87" spans="1:25">
      <c r="A87" s="680" t="s"/>
      <c r="B87" s="837" t="s"/>
      <c r="C87" s="837" t="s"/>
      <c r="D87" s="838" t="s"/>
      <c r="E87" s="837" t="s"/>
      <c r="F87" s="839" t="s"/>
      <c r="G87" s="839" t="s"/>
      <c r="H87" s="840" t="s"/>
      <c r="I87" s="508" t="s"/>
      <c r="J87" s="508" t="s"/>
      <c r="K87" s="508" t="s"/>
      <c r="L87" s="508" t="s"/>
      <c r="M87" s="508" t="s"/>
      <c r="N87" s="508" t="s"/>
      <c r="O87" s="508" t="s"/>
      <c r="P87" s="508" t="s"/>
      <c r="Q87" s="508" t="s"/>
      <c r="R87" s="508" t="s"/>
      <c r="S87" s="508" t="s"/>
      <c r="T87" s="508" t="s"/>
      <c r="U87" s="508" t="s"/>
      <c r="V87" s="508" t="s"/>
      <c r="W87" s="508" t="s"/>
      <c r="X87" s="508" t="s"/>
      <c r="Y87" s="508" t="s"/>
    </row>
    <row r="88" spans="1:25">
      <c r="A88" s="680" t="s"/>
      <c r="B88" s="837" t="s"/>
      <c r="C88" s="837" t="s"/>
      <c r="D88" s="838" t="s"/>
      <c r="E88" s="837" t="s"/>
      <c r="F88" s="839" t="s"/>
      <c r="G88" s="839" t="s"/>
      <c r="H88" s="840" t="s"/>
      <c r="I88" s="508" t="s"/>
      <c r="J88" s="508" t="s"/>
      <c r="K88" s="508" t="s"/>
      <c r="L88" s="508" t="s"/>
      <c r="M88" s="508" t="s"/>
      <c r="N88" s="508" t="s"/>
      <c r="O88" s="508" t="s"/>
      <c r="P88" s="508" t="s"/>
      <c r="Q88" s="508" t="s"/>
      <c r="R88" s="508" t="s"/>
      <c r="S88" s="508" t="s"/>
      <c r="T88" s="508" t="s"/>
      <c r="U88" s="508" t="s"/>
      <c r="V88" s="508" t="s"/>
      <c r="W88" s="508" t="s"/>
      <c r="X88" s="508" t="s"/>
      <c r="Y88" s="508" t="s"/>
    </row>
    <row r="89" spans="1:25">
      <c r="A89" s="680" t="s"/>
      <c r="B89" s="837" t="s"/>
      <c r="C89" s="837" t="s"/>
      <c r="D89" s="838" t="s"/>
      <c r="E89" s="837" t="s"/>
      <c r="F89" s="839" t="s"/>
      <c r="G89" s="839" t="s"/>
      <c r="H89" s="840" t="s"/>
      <c r="I89" s="508" t="s"/>
      <c r="J89" s="508" t="s"/>
      <c r="K89" s="508" t="s"/>
      <c r="L89" s="508" t="s"/>
      <c r="M89" s="508" t="s"/>
      <c r="N89" s="508" t="s"/>
      <c r="O89" s="508" t="s"/>
      <c r="P89" s="508" t="s"/>
      <c r="Q89" s="508" t="s"/>
      <c r="R89" s="508" t="s"/>
      <c r="S89" s="508" t="s"/>
      <c r="T89" s="508" t="s"/>
      <c r="U89" s="508" t="s"/>
      <c r="V89" s="508" t="s"/>
      <c r="W89" s="508" t="s"/>
      <c r="X89" s="508" t="s"/>
      <c r="Y89" s="508" t="s"/>
    </row>
    <row r="90" spans="1:25">
      <c r="A90" s="680" t="s"/>
      <c r="B90" s="837" t="s"/>
      <c r="C90" s="837" t="s"/>
      <c r="D90" s="838" t="s"/>
      <c r="E90" s="837" t="s"/>
      <c r="F90" s="839" t="s"/>
      <c r="G90" s="839" t="s"/>
      <c r="H90" s="840" t="s"/>
      <c r="I90" s="508" t="s"/>
      <c r="J90" s="508" t="s"/>
      <c r="K90" s="508" t="s"/>
      <c r="L90" s="508" t="s"/>
      <c r="M90" s="508" t="s"/>
      <c r="N90" s="508" t="s"/>
      <c r="O90" s="508" t="s"/>
      <c r="P90" s="508" t="s"/>
      <c r="Q90" s="508" t="s"/>
      <c r="R90" s="508" t="s"/>
      <c r="S90" s="508" t="s"/>
      <c r="T90" s="508" t="s"/>
      <c r="U90" s="508" t="s"/>
      <c r="V90" s="508" t="s"/>
      <c r="W90" s="508" t="s"/>
      <c r="X90" s="508" t="s"/>
      <c r="Y90" s="508" t="s"/>
    </row>
    <row r="91" spans="1:25">
      <c r="A91" s="680" t="s"/>
      <c r="B91" s="837" t="s"/>
      <c r="C91" s="837" t="s"/>
      <c r="D91" s="838" t="s"/>
      <c r="E91" s="837" t="s"/>
      <c r="F91" s="839" t="s"/>
      <c r="G91" s="839" t="s"/>
      <c r="H91" s="840" t="s"/>
      <c r="I91" s="508" t="s"/>
      <c r="J91" s="508" t="s"/>
      <c r="K91" s="508" t="s"/>
      <c r="L91" s="508" t="s"/>
      <c r="M91" s="508" t="s"/>
      <c r="N91" s="508" t="s"/>
      <c r="O91" s="508" t="s"/>
      <c r="P91" s="508" t="s"/>
      <c r="Q91" s="508" t="s"/>
      <c r="R91" s="508" t="s"/>
      <c r="S91" s="508" t="s"/>
      <c r="T91" s="508" t="s"/>
      <c r="U91" s="508" t="s"/>
      <c r="V91" s="508" t="s"/>
      <c r="W91" s="508" t="s"/>
      <c r="X91" s="508" t="s"/>
      <c r="Y91" s="508" t="s"/>
    </row>
    <row r="92" spans="1:25">
      <c r="A92" s="680" t="s"/>
      <c r="B92" s="837" t="s"/>
      <c r="C92" s="837" t="s"/>
      <c r="D92" s="838" t="s"/>
      <c r="E92" s="837" t="s"/>
      <c r="F92" s="839" t="s"/>
      <c r="G92" s="839" t="s"/>
      <c r="H92" s="840" t="s"/>
      <c r="I92" s="508" t="s"/>
      <c r="J92" s="508" t="s"/>
      <c r="K92" s="508" t="s"/>
      <c r="L92" s="508" t="s"/>
      <c r="M92" s="508" t="s"/>
      <c r="N92" s="508" t="s"/>
      <c r="O92" s="508" t="s"/>
      <c r="P92" s="508" t="s"/>
      <c r="Q92" s="508" t="s"/>
      <c r="R92" s="508" t="s"/>
      <c r="S92" s="508" t="s"/>
      <c r="T92" s="508" t="s"/>
      <c r="U92" s="508" t="s"/>
      <c r="V92" s="508" t="s"/>
      <c r="W92" s="508" t="s"/>
      <c r="X92" s="508" t="s"/>
      <c r="Y92" s="508" t="s"/>
    </row>
    <row r="93" spans="1:25">
      <c r="A93" s="680" t="s"/>
      <c r="B93" s="837" t="s"/>
      <c r="C93" s="837" t="s"/>
      <c r="D93" s="838" t="s"/>
      <c r="E93" s="837" t="s"/>
      <c r="F93" s="839" t="s"/>
      <c r="G93" s="839" t="s"/>
      <c r="H93" s="840" t="s"/>
      <c r="I93" s="508" t="s"/>
      <c r="J93" s="508" t="s"/>
      <c r="K93" s="508" t="s"/>
      <c r="L93" s="508" t="s"/>
      <c r="M93" s="508" t="s"/>
      <c r="N93" s="508" t="s"/>
      <c r="O93" s="508" t="s"/>
      <c r="P93" s="508" t="s"/>
      <c r="Q93" s="508" t="s"/>
      <c r="R93" s="508" t="s"/>
      <c r="S93" s="508" t="s"/>
      <c r="T93" s="508" t="s"/>
      <c r="U93" s="508" t="s"/>
      <c r="V93" s="508" t="s"/>
      <c r="W93" s="508" t="s"/>
      <c r="X93" s="508" t="s"/>
      <c r="Y93" s="508" t="s"/>
    </row>
    <row r="94" spans="1:25">
      <c r="A94" s="680" t="s"/>
      <c r="B94" s="837" t="s"/>
      <c r="C94" s="837" t="s"/>
      <c r="D94" s="838" t="s"/>
      <c r="E94" s="837" t="s"/>
      <c r="F94" s="839" t="s"/>
      <c r="G94" s="839" t="s"/>
      <c r="H94" s="840" t="s"/>
      <c r="I94" s="508" t="s"/>
      <c r="J94" s="508" t="s"/>
      <c r="K94" s="508" t="s"/>
      <c r="L94" s="508" t="s"/>
      <c r="M94" s="508" t="s"/>
      <c r="N94" s="508" t="s"/>
      <c r="O94" s="508" t="s"/>
      <c r="P94" s="508" t="s"/>
      <c r="Q94" s="508" t="s"/>
      <c r="R94" s="508" t="s"/>
      <c r="S94" s="508" t="s"/>
      <c r="T94" s="508" t="s"/>
      <c r="U94" s="508" t="s"/>
      <c r="V94" s="508" t="s"/>
      <c r="W94" s="508" t="s"/>
      <c r="X94" s="508" t="s"/>
      <c r="Y94" s="508" t="s"/>
    </row>
    <row r="95" spans="1:25">
      <c r="A95" s="680" t="s"/>
      <c r="B95" s="837" t="s"/>
      <c r="C95" s="837" t="s"/>
      <c r="D95" s="838" t="s"/>
      <c r="E95" s="837" t="s"/>
      <c r="F95" s="839" t="s"/>
      <c r="G95" s="839" t="s"/>
      <c r="H95" s="840" t="s"/>
      <c r="I95" s="508" t="s"/>
      <c r="J95" s="508" t="s"/>
      <c r="K95" s="508" t="s"/>
      <c r="L95" s="508" t="s"/>
      <c r="M95" s="508" t="s"/>
      <c r="N95" s="508" t="s"/>
      <c r="O95" s="508" t="s"/>
      <c r="P95" s="508" t="s"/>
      <c r="Q95" s="508" t="s"/>
      <c r="R95" s="508" t="s"/>
      <c r="S95" s="508" t="s"/>
      <c r="T95" s="508" t="s"/>
      <c r="U95" s="508" t="s"/>
      <c r="V95" s="508" t="s"/>
      <c r="W95" s="508" t="s"/>
      <c r="X95" s="508" t="s"/>
      <c r="Y95" s="508" t="s"/>
    </row>
    <row r="96" spans="1:25">
      <c r="A96" s="680" t="s"/>
      <c r="B96" s="837" t="s"/>
      <c r="C96" s="837" t="s"/>
      <c r="D96" s="838" t="s"/>
      <c r="E96" s="837" t="s"/>
      <c r="F96" s="839" t="s"/>
      <c r="G96" s="839" t="s"/>
      <c r="H96" s="840" t="s"/>
      <c r="I96" s="508" t="s"/>
      <c r="J96" s="508" t="s"/>
      <c r="K96" s="508" t="s"/>
      <c r="L96" s="508" t="s"/>
      <c r="M96" s="508" t="s"/>
      <c r="N96" s="508" t="s"/>
      <c r="O96" s="508" t="s"/>
      <c r="P96" s="508" t="s"/>
      <c r="Q96" s="508" t="s"/>
      <c r="R96" s="508" t="s"/>
      <c r="S96" s="508" t="s"/>
      <c r="T96" s="508" t="s"/>
      <c r="U96" s="508" t="s"/>
      <c r="V96" s="508" t="s"/>
      <c r="W96" s="508" t="s"/>
      <c r="X96" s="508" t="s"/>
      <c r="Y96" s="508" t="s"/>
    </row>
    <row r="97" spans="1:25">
      <c r="A97" s="680" t="s"/>
      <c r="B97" s="837" t="s"/>
      <c r="C97" s="837" t="s"/>
      <c r="D97" s="838" t="s"/>
      <c r="E97" s="837" t="s"/>
      <c r="F97" s="839" t="s"/>
      <c r="G97" s="839" t="s"/>
      <c r="H97" s="840" t="s"/>
      <c r="I97" s="508" t="s"/>
      <c r="J97" s="508" t="s"/>
      <c r="K97" s="508" t="s"/>
      <c r="L97" s="508" t="s"/>
      <c r="M97" s="508" t="s"/>
      <c r="N97" s="508" t="s"/>
      <c r="O97" s="508" t="s"/>
      <c r="P97" s="508" t="s"/>
      <c r="Q97" s="508" t="s"/>
      <c r="R97" s="508" t="s"/>
      <c r="S97" s="508" t="s"/>
      <c r="T97" s="508" t="s"/>
      <c r="U97" s="508" t="s"/>
      <c r="V97" s="508" t="s"/>
      <c r="W97" s="508" t="s"/>
      <c r="X97" s="508" t="s"/>
      <c r="Y97" s="508" t="s"/>
    </row>
    <row r="98" spans="1:25">
      <c r="A98" s="680" t="s"/>
      <c r="B98" s="837" t="s"/>
      <c r="C98" s="837" t="s"/>
      <c r="D98" s="838" t="s"/>
      <c r="E98" s="837" t="s"/>
      <c r="F98" s="839" t="s"/>
      <c r="G98" s="839" t="s"/>
      <c r="H98" s="840" t="s"/>
      <c r="I98" s="508" t="s"/>
      <c r="J98" s="508" t="s"/>
      <c r="K98" s="508" t="s"/>
      <c r="L98" s="508" t="s"/>
      <c r="M98" s="508" t="s"/>
      <c r="N98" s="508" t="s"/>
      <c r="O98" s="508" t="s"/>
      <c r="P98" s="508" t="s"/>
      <c r="Q98" s="508" t="s"/>
      <c r="R98" s="508" t="s"/>
      <c r="S98" s="508" t="s"/>
      <c r="T98" s="508" t="s"/>
      <c r="U98" s="508" t="s"/>
      <c r="V98" s="508" t="s"/>
      <c r="W98" s="508" t="s"/>
      <c r="X98" s="508" t="s"/>
      <c r="Y98" s="508" t="s"/>
    </row>
    <row r="99" spans="1:25">
      <c r="A99" s="680" t="s"/>
      <c r="B99" s="837" t="s"/>
      <c r="C99" s="837" t="s"/>
      <c r="D99" s="838" t="s"/>
      <c r="E99" s="837" t="s"/>
      <c r="F99" s="839" t="s"/>
      <c r="G99" s="839" t="s"/>
      <c r="H99" s="840" t="s"/>
      <c r="I99" s="508" t="s"/>
      <c r="J99" s="508" t="s"/>
      <c r="K99" s="508" t="s"/>
      <c r="L99" s="508" t="s"/>
      <c r="M99" s="508" t="s"/>
      <c r="N99" s="508" t="s"/>
      <c r="O99" s="508" t="s"/>
      <c r="P99" s="508" t="s"/>
      <c r="Q99" s="508" t="s"/>
      <c r="R99" s="508" t="s"/>
      <c r="S99" s="508" t="s"/>
      <c r="T99" s="508" t="s"/>
      <c r="U99" s="508" t="s"/>
      <c r="V99" s="508" t="s"/>
      <c r="W99" s="508" t="s"/>
      <c r="X99" s="508" t="s"/>
      <c r="Y99" s="508" t="s"/>
    </row>
    <row r="100" spans="1:25">
      <c r="A100" s="680" t="s"/>
      <c r="B100" s="837" t="s"/>
      <c r="C100" s="837" t="s"/>
      <c r="D100" s="838" t="s"/>
      <c r="E100" s="837" t="s"/>
      <c r="F100" s="839" t="s"/>
      <c r="G100" s="839" t="s"/>
      <c r="H100" s="840" t="s"/>
      <c r="I100" s="508" t="s"/>
      <c r="J100" s="508" t="s"/>
      <c r="K100" s="508" t="s"/>
      <c r="L100" s="508" t="s"/>
      <c r="M100" s="508" t="s"/>
      <c r="N100" s="508" t="s"/>
      <c r="O100" s="508" t="s"/>
      <c r="P100" s="508" t="s"/>
      <c r="Q100" s="508" t="s"/>
      <c r="R100" s="508" t="s"/>
      <c r="S100" s="508" t="s"/>
      <c r="T100" s="508" t="s"/>
      <c r="U100" s="508" t="s"/>
      <c r="V100" s="508" t="s"/>
      <c r="W100" s="508" t="s"/>
      <c r="X100" s="508" t="s"/>
      <c r="Y100" s="508" t="s"/>
    </row>
    <row r="101" spans="1:25">
      <c r="A101" s="680" t="s"/>
      <c r="B101" s="837" t="s"/>
      <c r="C101" s="837" t="s"/>
      <c r="D101" s="838" t="s"/>
      <c r="E101" s="837" t="s"/>
      <c r="F101" s="839" t="s"/>
      <c r="G101" s="839" t="s"/>
      <c r="H101" s="840" t="s"/>
      <c r="I101" s="508" t="s"/>
      <c r="J101" s="508" t="s"/>
      <c r="K101" s="508" t="s"/>
      <c r="L101" s="508" t="s"/>
      <c r="M101" s="508" t="s"/>
      <c r="N101" s="508" t="s"/>
      <c r="O101" s="508" t="s"/>
      <c r="P101" s="508" t="s"/>
      <c r="Q101" s="508" t="s"/>
      <c r="R101" s="508" t="s"/>
      <c r="S101" s="508" t="s"/>
      <c r="T101" s="508" t="s"/>
      <c r="U101" s="508" t="s"/>
      <c r="V101" s="508" t="s"/>
      <c r="W101" s="508" t="s"/>
      <c r="X101" s="508" t="s"/>
      <c r="Y101" s="508" t="s"/>
    </row>
    <row r="102" spans="1:25">
      <c r="A102" s="680" t="s"/>
      <c r="B102" s="837" t="s"/>
      <c r="C102" s="837" t="s"/>
      <c r="D102" s="838" t="s"/>
      <c r="E102" s="837" t="s"/>
      <c r="F102" s="839" t="s"/>
      <c r="G102" s="839" t="s"/>
      <c r="H102" s="840" t="s"/>
      <c r="I102" s="508" t="s"/>
      <c r="J102" s="508" t="s"/>
      <c r="K102" s="508" t="s"/>
      <c r="L102" s="508" t="s"/>
      <c r="M102" s="508" t="s"/>
      <c r="N102" s="508" t="s"/>
      <c r="O102" s="508" t="s"/>
      <c r="P102" s="508" t="s"/>
      <c r="Q102" s="508" t="s"/>
      <c r="R102" s="508" t="s"/>
      <c r="S102" s="508" t="s"/>
      <c r="T102" s="508" t="s"/>
      <c r="U102" s="508" t="s"/>
      <c r="V102" s="508" t="s"/>
      <c r="W102" s="508" t="s"/>
      <c r="X102" s="508" t="s"/>
      <c r="Y102" s="508" t="s"/>
    </row>
    <row r="103" spans="1:25">
      <c r="A103" s="680" t="s"/>
      <c r="B103" s="837" t="s"/>
      <c r="C103" s="837" t="s"/>
      <c r="D103" s="838" t="s"/>
      <c r="E103" s="837" t="s"/>
      <c r="F103" s="839" t="s"/>
      <c r="G103" s="839" t="s"/>
      <c r="H103" s="840" t="s"/>
      <c r="I103" s="508" t="s"/>
      <c r="J103" s="508" t="s"/>
      <c r="K103" s="508" t="s"/>
      <c r="L103" s="508" t="s"/>
      <c r="M103" s="508" t="s"/>
      <c r="N103" s="508" t="s"/>
      <c r="O103" s="508" t="s"/>
      <c r="P103" s="508" t="s"/>
      <c r="Q103" s="508" t="s"/>
      <c r="R103" s="508" t="s"/>
      <c r="S103" s="508" t="s"/>
      <c r="T103" s="508" t="s"/>
      <c r="U103" s="508" t="s"/>
      <c r="V103" s="508" t="s"/>
      <c r="W103" s="508" t="s"/>
      <c r="X103" s="508" t="s"/>
      <c r="Y103" s="508" t="s"/>
    </row>
    <row r="104" spans="1:25">
      <c r="A104" s="680" t="s"/>
      <c r="B104" s="837" t="s"/>
      <c r="C104" s="837" t="s"/>
      <c r="D104" s="838" t="s"/>
      <c r="E104" s="837" t="s"/>
      <c r="F104" s="839" t="s"/>
      <c r="G104" s="839" t="s"/>
      <c r="H104" s="840" t="s"/>
      <c r="I104" s="508" t="s"/>
      <c r="J104" s="508" t="s"/>
      <c r="K104" s="508" t="s"/>
      <c r="L104" s="508" t="s"/>
      <c r="M104" s="508" t="s"/>
      <c r="N104" s="508" t="s"/>
      <c r="O104" s="508" t="s"/>
      <c r="P104" s="508" t="s"/>
      <c r="Q104" s="508" t="s"/>
      <c r="R104" s="508" t="s"/>
      <c r="S104" s="508" t="s"/>
      <c r="T104" s="508" t="s"/>
      <c r="U104" s="508" t="s"/>
      <c r="V104" s="508" t="s"/>
      <c r="W104" s="508" t="s"/>
      <c r="X104" s="508" t="s"/>
      <c r="Y104" s="508" t="s"/>
    </row>
    <row r="105" spans="1:25">
      <c r="A105" s="680" t="s"/>
      <c r="B105" s="837" t="s"/>
      <c r="C105" s="837" t="s"/>
      <c r="D105" s="838" t="s"/>
      <c r="E105" s="837" t="s"/>
      <c r="F105" s="839" t="s"/>
      <c r="G105" s="839" t="s"/>
      <c r="H105" s="840" t="s"/>
      <c r="I105" s="508" t="s"/>
      <c r="J105" s="508" t="s"/>
      <c r="K105" s="508" t="s"/>
      <c r="L105" s="508" t="s"/>
      <c r="M105" s="508" t="s"/>
      <c r="N105" s="508" t="s"/>
      <c r="O105" s="508" t="s"/>
      <c r="P105" s="508" t="s"/>
      <c r="Q105" s="508" t="s"/>
      <c r="R105" s="508" t="s"/>
      <c r="S105" s="508" t="s"/>
      <c r="T105" s="508" t="s"/>
      <c r="U105" s="508" t="s"/>
      <c r="V105" s="508" t="s"/>
      <c r="W105" s="508" t="s"/>
      <c r="X105" s="508" t="s"/>
      <c r="Y105" s="508" t="s"/>
    </row>
    <row r="106" spans="1:25">
      <c r="A106" s="680" t="s"/>
      <c r="B106" s="837" t="s"/>
      <c r="C106" s="837" t="s"/>
      <c r="D106" s="838" t="s"/>
      <c r="E106" s="837" t="s"/>
      <c r="F106" s="839" t="s"/>
      <c r="G106" s="839" t="s"/>
      <c r="H106" s="840" t="s"/>
      <c r="I106" s="508" t="s"/>
      <c r="J106" s="508" t="s"/>
      <c r="K106" s="508" t="s"/>
      <c r="L106" s="508" t="s"/>
      <c r="M106" s="508" t="s"/>
      <c r="N106" s="508" t="s"/>
      <c r="O106" s="508" t="s"/>
      <c r="P106" s="508" t="s"/>
      <c r="Q106" s="508" t="s"/>
      <c r="R106" s="508" t="s"/>
      <c r="S106" s="508" t="s"/>
      <c r="T106" s="508" t="s"/>
      <c r="U106" s="508" t="s"/>
      <c r="V106" s="508" t="s"/>
      <c r="W106" s="508" t="s"/>
      <c r="X106" s="508" t="s"/>
      <c r="Y106" s="508" t="s"/>
    </row>
    <row r="107" spans="1:25">
      <c r="A107" s="680" t="s"/>
      <c r="B107" s="837" t="s"/>
      <c r="C107" s="837" t="s"/>
      <c r="D107" s="838" t="s"/>
      <c r="E107" s="837" t="s"/>
      <c r="F107" s="839" t="s"/>
      <c r="G107" s="839" t="s"/>
      <c r="H107" s="840" t="s"/>
      <c r="I107" s="508" t="s"/>
      <c r="J107" s="508" t="s"/>
      <c r="K107" s="508" t="s"/>
      <c r="L107" s="508" t="s"/>
      <c r="M107" s="508" t="s"/>
      <c r="N107" s="508" t="s"/>
      <c r="O107" s="508" t="s"/>
      <c r="P107" s="508" t="s"/>
      <c r="Q107" s="508" t="s"/>
      <c r="R107" s="508" t="s"/>
      <c r="S107" s="508" t="s"/>
      <c r="T107" s="508" t="s"/>
      <c r="U107" s="508" t="s"/>
      <c r="V107" s="508" t="s"/>
      <c r="W107" s="508" t="s"/>
      <c r="X107" s="508" t="s"/>
      <c r="Y107" s="508" t="s"/>
    </row>
    <row r="108" spans="1:25">
      <c r="A108" s="680" t="s"/>
      <c r="B108" s="837" t="s"/>
      <c r="C108" s="837" t="s"/>
      <c r="D108" s="838" t="s"/>
      <c r="E108" s="837" t="s"/>
      <c r="F108" s="839" t="s"/>
      <c r="G108" s="839" t="s"/>
      <c r="H108" s="840" t="s"/>
      <c r="I108" s="508" t="s"/>
      <c r="J108" s="508" t="s"/>
      <c r="K108" s="508" t="s"/>
      <c r="L108" s="508" t="s"/>
      <c r="M108" s="508" t="s"/>
      <c r="N108" s="508" t="s"/>
      <c r="O108" s="508" t="s"/>
      <c r="P108" s="508" t="s"/>
      <c r="Q108" s="508" t="s"/>
      <c r="R108" s="508" t="s"/>
      <c r="S108" s="508" t="s"/>
      <c r="T108" s="508" t="s"/>
      <c r="U108" s="508" t="s"/>
      <c r="V108" s="508" t="s"/>
      <c r="W108" s="508" t="s"/>
      <c r="X108" s="508" t="s"/>
      <c r="Y108" s="508" t="s"/>
    </row>
    <row r="109" spans="1:25">
      <c r="A109" s="680" t="s"/>
      <c r="B109" s="837" t="s"/>
      <c r="C109" s="837" t="s"/>
      <c r="D109" s="838" t="s"/>
      <c r="E109" s="837" t="s"/>
      <c r="F109" s="839" t="s"/>
      <c r="G109" s="839" t="s"/>
      <c r="H109" s="840" t="s"/>
      <c r="I109" s="508" t="s"/>
      <c r="J109" s="508" t="s"/>
      <c r="K109" s="508" t="s"/>
      <c r="L109" s="508" t="s"/>
      <c r="M109" s="508" t="s"/>
      <c r="N109" s="508" t="s"/>
      <c r="O109" s="508" t="s"/>
      <c r="P109" s="508" t="s"/>
      <c r="Q109" s="508" t="s"/>
      <c r="R109" s="508" t="s"/>
      <c r="S109" s="508" t="s"/>
      <c r="T109" s="508" t="s"/>
      <c r="U109" s="508" t="s"/>
      <c r="V109" s="508" t="s"/>
      <c r="W109" s="508" t="s"/>
      <c r="X109" s="508" t="s"/>
      <c r="Y109" s="508" t="s"/>
    </row>
    <row r="110" spans="1:25">
      <c r="A110" s="680" t="s"/>
      <c r="B110" s="837" t="s"/>
      <c r="C110" s="837" t="s"/>
      <c r="D110" s="838" t="s"/>
      <c r="E110" s="837" t="s"/>
      <c r="F110" s="839" t="s"/>
      <c r="G110" s="839" t="s"/>
      <c r="H110" s="840" t="s"/>
      <c r="I110" s="508" t="s"/>
      <c r="J110" s="508" t="s"/>
      <c r="K110" s="508" t="s"/>
      <c r="L110" s="508" t="s"/>
      <c r="M110" s="508" t="s"/>
      <c r="N110" s="508" t="s"/>
      <c r="O110" s="508" t="s"/>
      <c r="P110" s="508" t="s"/>
      <c r="Q110" s="508" t="s"/>
      <c r="R110" s="508" t="s"/>
      <c r="S110" s="508" t="s"/>
      <c r="T110" s="508" t="s"/>
      <c r="U110" s="508" t="s"/>
      <c r="V110" s="508" t="s"/>
      <c r="W110" s="508" t="s"/>
      <c r="X110" s="508" t="s"/>
      <c r="Y110" s="508" t="s"/>
    </row>
    <row r="111" spans="1:25">
      <c r="A111" s="680" t="s"/>
      <c r="B111" s="837" t="s"/>
      <c r="C111" s="837" t="s"/>
      <c r="D111" s="838" t="s"/>
      <c r="E111" s="837" t="s"/>
      <c r="F111" s="839" t="s"/>
      <c r="G111" s="839" t="s"/>
      <c r="H111" s="840" t="s"/>
      <c r="I111" s="508" t="s"/>
      <c r="J111" s="508" t="s"/>
      <c r="K111" s="508" t="s"/>
      <c r="L111" s="508" t="s"/>
      <c r="M111" s="508" t="s"/>
      <c r="N111" s="508" t="s"/>
      <c r="O111" s="508" t="s"/>
      <c r="P111" s="508" t="s"/>
      <c r="Q111" s="508" t="s"/>
      <c r="R111" s="508" t="s"/>
      <c r="S111" s="508" t="s"/>
      <c r="T111" s="508" t="s"/>
      <c r="U111" s="508" t="s"/>
      <c r="V111" s="508" t="s"/>
      <c r="W111" s="508" t="s"/>
      <c r="X111" s="508" t="s"/>
      <c r="Y111" s="508" t="s"/>
    </row>
    <row r="112" spans="1:25">
      <c r="A112" s="680" t="s"/>
      <c r="B112" s="837" t="s"/>
      <c r="C112" s="837" t="s"/>
      <c r="D112" s="838" t="s"/>
      <c r="E112" s="837" t="s"/>
      <c r="F112" s="839" t="s"/>
      <c r="G112" s="839" t="s"/>
      <c r="H112" s="840" t="s"/>
      <c r="I112" s="508" t="s"/>
      <c r="J112" s="508" t="s"/>
      <c r="K112" s="508" t="s"/>
      <c r="L112" s="508" t="s"/>
      <c r="M112" s="508" t="s"/>
      <c r="N112" s="508" t="s"/>
      <c r="O112" s="508" t="s"/>
      <c r="P112" s="508" t="s"/>
      <c r="Q112" s="508" t="s"/>
      <c r="R112" s="508" t="s"/>
      <c r="S112" s="508" t="s"/>
      <c r="T112" s="508" t="s"/>
      <c r="U112" s="508" t="s"/>
      <c r="V112" s="508" t="s"/>
      <c r="W112" s="508" t="s"/>
      <c r="X112" s="508" t="s"/>
      <c r="Y112" s="508" t="s"/>
    </row>
    <row r="113" spans="1:25">
      <c r="A113" s="680" t="s"/>
      <c r="B113" s="837" t="s"/>
      <c r="C113" s="837" t="s"/>
      <c r="D113" s="838" t="s"/>
      <c r="E113" s="837" t="s"/>
      <c r="F113" s="839" t="s"/>
      <c r="G113" s="839" t="s"/>
      <c r="H113" s="840" t="s"/>
      <c r="I113" s="508" t="s"/>
      <c r="J113" s="508" t="s"/>
      <c r="K113" s="508" t="s"/>
      <c r="L113" s="508" t="s"/>
      <c r="M113" s="508" t="s"/>
      <c r="N113" s="508" t="s"/>
      <c r="O113" s="508" t="s"/>
      <c r="P113" s="508" t="s"/>
      <c r="Q113" s="508" t="s"/>
      <c r="R113" s="508" t="s"/>
      <c r="S113" s="508" t="s"/>
      <c r="T113" s="508" t="s"/>
      <c r="U113" s="508" t="s"/>
      <c r="V113" s="508" t="s"/>
      <c r="W113" s="508" t="s"/>
      <c r="X113" s="508" t="s"/>
      <c r="Y113" s="508" t="s"/>
    </row>
    <row r="114" spans="1:25">
      <c r="A114" s="680" t="s"/>
      <c r="B114" s="837" t="s"/>
      <c r="C114" s="837" t="s"/>
      <c r="D114" s="838" t="s"/>
      <c r="E114" s="837" t="s"/>
      <c r="F114" s="839" t="s"/>
      <c r="G114" s="839" t="s"/>
      <c r="H114" s="840" t="s"/>
      <c r="I114" s="508" t="s"/>
      <c r="J114" s="508" t="s"/>
      <c r="K114" s="508" t="s"/>
      <c r="L114" s="508" t="s"/>
      <c r="M114" s="508" t="s"/>
      <c r="N114" s="508" t="s"/>
      <c r="O114" s="508" t="s"/>
      <c r="P114" s="508" t="s"/>
      <c r="Q114" s="508" t="s"/>
      <c r="R114" s="508" t="s"/>
      <c r="S114" s="508" t="s"/>
      <c r="T114" s="508" t="s"/>
      <c r="U114" s="508" t="s"/>
      <c r="V114" s="508" t="s"/>
      <c r="W114" s="508" t="s"/>
      <c r="X114" s="508" t="s"/>
      <c r="Y114" s="508" t="s"/>
    </row>
    <row r="115" spans="1:25">
      <c r="A115" s="680" t="s"/>
      <c r="B115" s="837" t="s"/>
      <c r="C115" s="837" t="s"/>
      <c r="D115" s="838" t="s"/>
      <c r="E115" s="837" t="s"/>
      <c r="F115" s="839" t="s"/>
      <c r="G115" s="839" t="s"/>
      <c r="H115" s="840" t="s"/>
      <c r="I115" s="508" t="s"/>
      <c r="J115" s="508" t="s"/>
      <c r="K115" s="508" t="s"/>
      <c r="L115" s="508" t="s"/>
      <c r="M115" s="508" t="s"/>
      <c r="N115" s="508" t="s"/>
      <c r="O115" s="508" t="s"/>
      <c r="P115" s="508" t="s"/>
      <c r="Q115" s="508" t="s"/>
      <c r="R115" s="508" t="s"/>
      <c r="S115" s="508" t="s"/>
      <c r="T115" s="508" t="s"/>
      <c r="U115" s="508" t="s"/>
      <c r="V115" s="508" t="s"/>
      <c r="W115" s="508" t="s"/>
      <c r="X115" s="508" t="s"/>
      <c r="Y115" s="508" t="s"/>
    </row>
    <row r="116" spans="1:25">
      <c r="A116" s="680" t="s"/>
      <c r="B116" s="837" t="s"/>
      <c r="C116" s="837" t="s"/>
      <c r="D116" s="838" t="s"/>
      <c r="E116" s="837" t="s"/>
      <c r="F116" s="839" t="s"/>
      <c r="G116" s="839" t="s"/>
      <c r="H116" s="840" t="s"/>
      <c r="I116" s="508" t="s"/>
      <c r="J116" s="508" t="s"/>
      <c r="K116" s="508" t="s"/>
      <c r="L116" s="508" t="s"/>
      <c r="M116" s="508" t="s"/>
      <c r="N116" s="508" t="s"/>
      <c r="O116" s="508" t="s"/>
      <c r="P116" s="508" t="s"/>
      <c r="Q116" s="508" t="s"/>
      <c r="R116" s="508" t="s"/>
      <c r="S116" s="508" t="s"/>
      <c r="T116" s="508" t="s"/>
      <c r="U116" s="508" t="s"/>
      <c r="V116" s="508" t="s"/>
      <c r="W116" s="508" t="s"/>
      <c r="X116" s="508" t="s"/>
      <c r="Y116" s="508" t="s"/>
    </row>
    <row r="117" spans="1:25">
      <c r="A117" s="680" t="s"/>
      <c r="B117" s="837" t="s"/>
      <c r="C117" s="837" t="s"/>
      <c r="D117" s="838" t="s"/>
      <c r="E117" s="837" t="s"/>
      <c r="F117" s="839" t="s"/>
      <c r="G117" s="839" t="s"/>
      <c r="H117" s="840" t="s"/>
      <c r="I117" s="508" t="s"/>
      <c r="J117" s="508" t="s"/>
      <c r="K117" s="508" t="s"/>
      <c r="L117" s="508" t="s"/>
      <c r="M117" s="508" t="s"/>
      <c r="N117" s="508" t="s"/>
      <c r="O117" s="508" t="s"/>
      <c r="P117" s="508" t="s"/>
      <c r="Q117" s="508" t="s"/>
      <c r="R117" s="508" t="s"/>
      <c r="S117" s="508" t="s"/>
      <c r="T117" s="508" t="s"/>
      <c r="U117" s="508" t="s"/>
      <c r="V117" s="508" t="s"/>
      <c r="W117" s="508" t="s"/>
      <c r="X117" s="508" t="s"/>
      <c r="Y117" s="508" t="s"/>
    </row>
    <row r="118" spans="1:25">
      <c r="A118" s="680" t="s"/>
      <c r="B118" s="837" t="s"/>
      <c r="C118" s="837" t="s"/>
      <c r="D118" s="838" t="s"/>
      <c r="E118" s="837" t="s"/>
      <c r="F118" s="839" t="s"/>
      <c r="G118" s="839" t="s"/>
      <c r="H118" s="840" t="s"/>
      <c r="I118" s="508" t="s"/>
      <c r="J118" s="508" t="s"/>
      <c r="K118" s="508" t="s"/>
      <c r="L118" s="508" t="s"/>
      <c r="M118" s="508" t="s"/>
      <c r="N118" s="508" t="s"/>
      <c r="O118" s="508" t="s"/>
      <c r="P118" s="508" t="s"/>
      <c r="Q118" s="508" t="s"/>
      <c r="R118" s="508" t="s"/>
      <c r="S118" s="508" t="s"/>
      <c r="T118" s="508" t="s"/>
      <c r="U118" s="508" t="s"/>
      <c r="V118" s="508" t="s"/>
      <c r="W118" s="508" t="s"/>
      <c r="X118" s="508" t="s"/>
      <c r="Y118" s="508" t="s"/>
    </row>
    <row r="119" spans="1:25">
      <c r="A119" s="680" t="s"/>
      <c r="B119" s="837" t="s"/>
      <c r="C119" s="837" t="s"/>
      <c r="D119" s="838" t="s"/>
      <c r="E119" s="837" t="s"/>
      <c r="F119" s="839" t="s"/>
      <c r="G119" s="839" t="s"/>
      <c r="H119" s="840" t="s"/>
      <c r="I119" s="508" t="s"/>
      <c r="J119" s="508" t="s"/>
      <c r="K119" s="508" t="s"/>
      <c r="L119" s="508" t="s"/>
      <c r="M119" s="508" t="s"/>
      <c r="N119" s="508" t="s"/>
      <c r="O119" s="508" t="s"/>
      <c r="P119" s="508" t="s"/>
      <c r="Q119" s="508" t="s"/>
      <c r="R119" s="508" t="s"/>
      <c r="S119" s="508" t="s"/>
      <c r="T119" s="508" t="s"/>
      <c r="U119" s="508" t="s"/>
      <c r="V119" s="508" t="s"/>
      <c r="W119" s="508" t="s"/>
      <c r="X119" s="508" t="s"/>
      <c r="Y119" s="508" t="s"/>
    </row>
    <row r="120" spans="1:25">
      <c r="A120" s="680" t="s"/>
      <c r="B120" s="837" t="s"/>
      <c r="C120" s="837" t="s"/>
      <c r="D120" s="838" t="s"/>
      <c r="E120" s="837" t="s"/>
      <c r="F120" s="839" t="s"/>
      <c r="G120" s="839" t="s"/>
      <c r="H120" s="840" t="s"/>
      <c r="I120" s="508" t="s"/>
      <c r="J120" s="508" t="s"/>
      <c r="K120" s="508" t="s"/>
      <c r="L120" s="508" t="s"/>
      <c r="M120" s="508" t="s"/>
      <c r="N120" s="508" t="s"/>
      <c r="O120" s="508" t="s"/>
      <c r="P120" s="508" t="s"/>
      <c r="Q120" s="508" t="s"/>
      <c r="R120" s="508" t="s"/>
      <c r="S120" s="508" t="s"/>
      <c r="T120" s="508" t="s"/>
      <c r="U120" s="508" t="s"/>
      <c r="V120" s="508" t="s"/>
      <c r="W120" s="508" t="s"/>
      <c r="X120" s="508" t="s"/>
      <c r="Y120" s="508" t="s"/>
    </row>
    <row r="121" spans="1:25">
      <c r="A121" s="680" t="s"/>
      <c r="B121" s="837" t="s"/>
      <c r="C121" s="837" t="s"/>
      <c r="D121" s="838" t="s"/>
      <c r="E121" s="837" t="s"/>
      <c r="F121" s="839" t="s"/>
      <c r="G121" s="839" t="s"/>
      <c r="H121" s="840" t="s"/>
      <c r="I121" s="508" t="s"/>
      <c r="J121" s="508" t="s"/>
      <c r="K121" s="508" t="s"/>
      <c r="L121" s="508" t="s"/>
      <c r="M121" s="508" t="s"/>
      <c r="N121" s="508" t="s"/>
      <c r="O121" s="508" t="s"/>
      <c r="P121" s="508" t="s"/>
      <c r="Q121" s="508" t="s"/>
      <c r="R121" s="508" t="s"/>
      <c r="S121" s="508" t="s"/>
      <c r="T121" s="508" t="s"/>
      <c r="U121" s="508" t="s"/>
      <c r="V121" s="508" t="s"/>
      <c r="W121" s="508" t="s"/>
      <c r="X121" s="508" t="s"/>
      <c r="Y121" s="508" t="s"/>
    </row>
    <row r="122" spans="1:25">
      <c r="A122" s="680" t="s"/>
      <c r="B122" s="837" t="s"/>
      <c r="C122" s="837" t="s"/>
      <c r="D122" s="838" t="s"/>
      <c r="E122" s="837" t="s"/>
      <c r="F122" s="839" t="s"/>
      <c r="G122" s="839" t="s"/>
      <c r="H122" s="840" t="s"/>
      <c r="I122" s="508" t="s"/>
      <c r="J122" s="508" t="s"/>
      <c r="K122" s="508" t="s"/>
      <c r="L122" s="508" t="s"/>
      <c r="M122" s="508" t="s"/>
      <c r="N122" s="508" t="s"/>
      <c r="O122" s="508" t="s"/>
      <c r="P122" s="508" t="s"/>
      <c r="Q122" s="508" t="s"/>
      <c r="R122" s="508" t="s"/>
      <c r="S122" s="508" t="s"/>
      <c r="T122" s="508" t="s"/>
      <c r="U122" s="508" t="s"/>
      <c r="V122" s="508" t="s"/>
      <c r="W122" s="508" t="s"/>
      <c r="X122" s="508" t="s"/>
      <c r="Y122" s="508" t="s"/>
    </row>
    <row r="123" spans="1:25">
      <c r="A123" s="680" t="s"/>
      <c r="B123" s="837" t="s"/>
      <c r="C123" s="837" t="s"/>
      <c r="D123" s="838" t="s"/>
      <c r="E123" s="837" t="s"/>
      <c r="F123" s="839" t="s"/>
      <c r="G123" s="839" t="s"/>
      <c r="H123" s="840" t="s"/>
      <c r="I123" s="508" t="s"/>
      <c r="J123" s="508" t="s"/>
      <c r="K123" s="508" t="s"/>
      <c r="L123" s="508" t="s"/>
      <c r="M123" s="508" t="s"/>
      <c r="N123" s="508" t="s"/>
      <c r="O123" s="508" t="s"/>
      <c r="P123" s="508" t="s"/>
      <c r="Q123" s="508" t="s"/>
      <c r="R123" s="508" t="s"/>
      <c r="S123" s="508" t="s"/>
      <c r="T123" s="508" t="s"/>
      <c r="U123" s="508" t="s"/>
      <c r="V123" s="508" t="s"/>
      <c r="W123" s="508" t="s"/>
      <c r="X123" s="508" t="s"/>
      <c r="Y123" s="508" t="s"/>
    </row>
    <row r="124" spans="1:25">
      <c r="A124" s="680" t="s"/>
      <c r="B124" s="837" t="s"/>
      <c r="C124" s="837" t="s"/>
      <c r="D124" s="838" t="s"/>
      <c r="E124" s="837" t="s"/>
      <c r="F124" s="839" t="s"/>
      <c r="G124" s="839" t="s"/>
      <c r="H124" s="840" t="s"/>
      <c r="I124" s="508" t="s"/>
      <c r="J124" s="508" t="s"/>
      <c r="K124" s="508" t="s"/>
      <c r="L124" s="508" t="s"/>
      <c r="M124" s="508" t="s"/>
      <c r="N124" s="508" t="s"/>
      <c r="O124" s="508" t="s"/>
      <c r="P124" s="508" t="s"/>
      <c r="Q124" s="508" t="s"/>
      <c r="R124" s="508" t="s"/>
      <c r="S124" s="508" t="s"/>
      <c r="T124" s="508" t="s"/>
      <c r="U124" s="508" t="s"/>
      <c r="V124" s="508" t="s"/>
      <c r="W124" s="508" t="s"/>
      <c r="X124" s="508" t="s"/>
      <c r="Y124" s="508" t="s"/>
    </row>
    <row r="125" spans="1:25">
      <c r="A125" s="680" t="s"/>
      <c r="B125" s="837" t="s"/>
      <c r="C125" s="837" t="s"/>
      <c r="D125" s="838" t="s"/>
      <c r="E125" s="837" t="s"/>
      <c r="F125" s="839" t="s"/>
      <c r="G125" s="839" t="s"/>
      <c r="H125" s="840" t="s"/>
      <c r="I125" s="508" t="s"/>
      <c r="J125" s="508" t="s"/>
      <c r="K125" s="508" t="s"/>
      <c r="L125" s="508" t="s"/>
      <c r="M125" s="508" t="s"/>
      <c r="N125" s="508" t="s"/>
      <c r="O125" s="508" t="s"/>
      <c r="P125" s="508" t="s"/>
      <c r="Q125" s="508" t="s"/>
      <c r="R125" s="508" t="s"/>
      <c r="S125" s="508" t="s"/>
      <c r="T125" s="508" t="s"/>
      <c r="U125" s="508" t="s"/>
      <c r="V125" s="508" t="s"/>
      <c r="W125" s="508" t="s"/>
      <c r="X125" s="508" t="s"/>
      <c r="Y125" s="508" t="s"/>
    </row>
    <row r="126" spans="1:25">
      <c r="A126" s="680" t="s"/>
      <c r="B126" s="837" t="s"/>
      <c r="C126" s="837" t="s"/>
      <c r="D126" s="838" t="s"/>
      <c r="E126" s="837" t="s"/>
      <c r="F126" s="839" t="s"/>
      <c r="G126" s="839" t="s"/>
      <c r="H126" s="840" t="s"/>
      <c r="I126" s="508" t="s"/>
      <c r="J126" s="508" t="s"/>
      <c r="K126" s="508" t="s"/>
      <c r="L126" s="508" t="s"/>
      <c r="M126" s="508" t="s"/>
      <c r="N126" s="508" t="s"/>
      <c r="O126" s="508" t="s"/>
      <c r="P126" s="508" t="s"/>
      <c r="Q126" s="508" t="s"/>
      <c r="R126" s="508" t="s"/>
      <c r="S126" s="508" t="s"/>
      <c r="T126" s="508" t="s"/>
      <c r="U126" s="508" t="s"/>
      <c r="V126" s="508" t="s"/>
      <c r="W126" s="508" t="s"/>
      <c r="X126" s="508" t="s"/>
      <c r="Y126" s="508" t="s"/>
    </row>
    <row r="127" spans="1:25">
      <c r="A127" s="680" t="s"/>
      <c r="B127" s="837" t="s"/>
      <c r="C127" s="837" t="s"/>
      <c r="D127" s="838" t="s"/>
      <c r="E127" s="837" t="s"/>
      <c r="F127" s="839" t="s"/>
      <c r="G127" s="839" t="s"/>
      <c r="H127" s="840" t="s"/>
      <c r="I127" s="508" t="s"/>
      <c r="J127" s="508" t="s"/>
      <c r="K127" s="508" t="s"/>
      <c r="L127" s="508" t="s"/>
      <c r="M127" s="508" t="s"/>
      <c r="N127" s="508" t="s"/>
      <c r="O127" s="508" t="s"/>
      <c r="P127" s="508" t="s"/>
      <c r="Q127" s="508" t="s"/>
      <c r="R127" s="508" t="s"/>
      <c r="S127" s="508" t="s"/>
      <c r="T127" s="508" t="s"/>
      <c r="U127" s="508" t="s"/>
      <c r="V127" s="508" t="s"/>
      <c r="W127" s="508" t="s"/>
      <c r="X127" s="508" t="s"/>
      <c r="Y127" s="508" t="s"/>
    </row>
    <row r="128" spans="1:25">
      <c r="A128" s="680" t="s"/>
      <c r="B128" s="837" t="s"/>
      <c r="C128" s="837" t="s"/>
      <c r="D128" s="838" t="s"/>
      <c r="E128" s="837" t="s"/>
      <c r="F128" s="839" t="s"/>
      <c r="G128" s="839" t="s"/>
      <c r="H128" s="840" t="s"/>
      <c r="I128" s="508" t="s"/>
      <c r="J128" s="508" t="s"/>
      <c r="K128" s="508" t="s"/>
      <c r="L128" s="508" t="s"/>
      <c r="M128" s="508" t="s"/>
      <c r="N128" s="508" t="s"/>
      <c r="O128" s="508" t="s"/>
      <c r="P128" s="508" t="s"/>
      <c r="Q128" s="508" t="s"/>
      <c r="R128" s="508" t="s"/>
      <c r="S128" s="508" t="s"/>
      <c r="T128" s="508" t="s"/>
      <c r="U128" s="508" t="s"/>
      <c r="V128" s="508" t="s"/>
      <c r="W128" s="508" t="s"/>
      <c r="X128" s="508" t="s"/>
      <c r="Y128" s="508" t="s"/>
    </row>
    <row r="129" spans="1:25">
      <c r="A129" s="680" t="s"/>
      <c r="B129" s="837" t="s"/>
      <c r="C129" s="837" t="s"/>
      <c r="D129" s="838" t="s"/>
      <c r="E129" s="837" t="s"/>
      <c r="F129" s="839" t="s"/>
      <c r="G129" s="839" t="s"/>
      <c r="H129" s="840" t="s"/>
      <c r="I129" s="508" t="s"/>
      <c r="J129" s="508" t="s"/>
      <c r="K129" s="508" t="s"/>
      <c r="L129" s="508" t="s"/>
      <c r="M129" s="508" t="s"/>
      <c r="N129" s="508" t="s"/>
      <c r="O129" s="508" t="s"/>
      <c r="P129" s="508" t="s"/>
      <c r="Q129" s="508" t="s"/>
      <c r="R129" s="508" t="s"/>
      <c r="S129" s="508" t="s"/>
      <c r="T129" s="508" t="s"/>
      <c r="U129" s="508" t="s"/>
      <c r="V129" s="508" t="s"/>
      <c r="W129" s="508" t="s"/>
      <c r="X129" s="508" t="s"/>
      <c r="Y129" s="508" t="s"/>
    </row>
    <row r="130" spans="1:25">
      <c r="A130" s="680" t="s"/>
      <c r="B130" s="837" t="s"/>
      <c r="C130" s="837" t="s"/>
      <c r="D130" s="838" t="s"/>
      <c r="E130" s="837" t="s"/>
      <c r="F130" s="839" t="s"/>
      <c r="G130" s="839" t="s"/>
      <c r="H130" s="840" t="s"/>
      <c r="I130" s="508" t="s"/>
      <c r="J130" s="508" t="s"/>
      <c r="K130" s="508" t="s"/>
      <c r="L130" s="508" t="s"/>
      <c r="M130" s="508" t="s"/>
      <c r="N130" s="508" t="s"/>
      <c r="O130" s="508" t="s"/>
      <c r="P130" s="508" t="s"/>
      <c r="Q130" s="508" t="s"/>
      <c r="R130" s="508" t="s"/>
      <c r="S130" s="508" t="s"/>
      <c r="T130" s="508" t="s"/>
      <c r="U130" s="508" t="s"/>
      <c r="V130" s="508" t="s"/>
      <c r="W130" s="508" t="s"/>
      <c r="X130" s="508" t="s"/>
      <c r="Y130" s="508" t="s"/>
    </row>
    <row r="131" spans="1:25">
      <c r="A131" s="680" t="s"/>
      <c r="B131" s="837" t="s"/>
      <c r="C131" s="837" t="s"/>
      <c r="D131" s="838" t="s"/>
      <c r="E131" s="837" t="s"/>
      <c r="F131" s="839" t="s"/>
      <c r="G131" s="839" t="s"/>
      <c r="H131" s="840" t="s"/>
      <c r="I131" s="508" t="s"/>
      <c r="J131" s="508" t="s"/>
      <c r="K131" s="508" t="s"/>
      <c r="L131" s="508" t="s"/>
      <c r="M131" s="508" t="s"/>
      <c r="N131" s="508" t="s"/>
      <c r="O131" s="508" t="s"/>
      <c r="P131" s="508" t="s"/>
      <c r="Q131" s="508" t="s"/>
      <c r="R131" s="508" t="s"/>
      <c r="S131" s="508" t="s"/>
      <c r="T131" s="508" t="s"/>
      <c r="U131" s="508" t="s"/>
      <c r="V131" s="508" t="s"/>
      <c r="W131" s="508" t="s"/>
      <c r="X131" s="508" t="s"/>
      <c r="Y131" s="508" t="s"/>
    </row>
    <row r="132" spans="1:25">
      <c r="A132" s="680" t="s"/>
      <c r="B132" s="837" t="s"/>
      <c r="C132" s="837" t="s"/>
      <c r="D132" s="838" t="s"/>
      <c r="E132" s="837" t="s"/>
      <c r="F132" s="839" t="s"/>
      <c r="G132" s="839" t="s"/>
      <c r="H132" s="840" t="s"/>
      <c r="I132" s="508" t="s"/>
      <c r="J132" s="508" t="s"/>
      <c r="K132" s="508" t="s"/>
      <c r="L132" s="508" t="s"/>
      <c r="M132" s="508" t="s"/>
      <c r="N132" s="508" t="s"/>
      <c r="O132" s="508" t="s"/>
      <c r="P132" s="508" t="s"/>
      <c r="Q132" s="508" t="s"/>
      <c r="R132" s="508" t="s"/>
      <c r="S132" s="508" t="s"/>
      <c r="T132" s="508" t="s"/>
      <c r="U132" s="508" t="s"/>
      <c r="V132" s="508" t="s"/>
      <c r="W132" s="508" t="s"/>
      <c r="X132" s="508" t="s"/>
      <c r="Y132" s="508" t="s"/>
    </row>
    <row r="133" spans="1:25">
      <c r="A133" s="680" t="s"/>
      <c r="B133" s="837" t="s"/>
      <c r="C133" s="837" t="s"/>
      <c r="D133" s="838" t="s"/>
      <c r="E133" s="837" t="s"/>
      <c r="F133" s="839" t="s"/>
      <c r="G133" s="839" t="s"/>
      <c r="H133" s="840" t="s"/>
      <c r="I133" s="508" t="s"/>
      <c r="J133" s="508" t="s"/>
      <c r="K133" s="508" t="s"/>
      <c r="L133" s="508" t="s"/>
      <c r="M133" s="508" t="s"/>
      <c r="N133" s="508" t="s"/>
      <c r="O133" s="508" t="s"/>
      <c r="P133" s="508" t="s"/>
      <c r="Q133" s="508" t="s"/>
      <c r="R133" s="508" t="s"/>
      <c r="S133" s="508" t="s"/>
      <c r="T133" s="508" t="s"/>
      <c r="U133" s="508" t="s"/>
      <c r="V133" s="508" t="s"/>
      <c r="W133" s="508" t="s"/>
      <c r="X133" s="508" t="s"/>
      <c r="Y133" s="508" t="s"/>
    </row>
    <row r="134" spans="1:25">
      <c r="A134" s="680" t="s"/>
      <c r="B134" s="837" t="s"/>
      <c r="C134" s="837" t="s"/>
      <c r="D134" s="838" t="s"/>
      <c r="E134" s="837" t="s"/>
      <c r="F134" s="839" t="s"/>
      <c r="G134" s="839" t="s"/>
      <c r="H134" s="840" t="s"/>
      <c r="I134" s="508" t="s"/>
      <c r="J134" s="508" t="s"/>
      <c r="K134" s="508" t="s"/>
      <c r="L134" s="508" t="s"/>
      <c r="M134" s="508" t="s"/>
      <c r="N134" s="508" t="s"/>
      <c r="O134" s="508" t="s"/>
      <c r="P134" s="508" t="s"/>
      <c r="Q134" s="508" t="s"/>
      <c r="R134" s="508" t="s"/>
      <c r="S134" s="508" t="s"/>
      <c r="T134" s="508" t="s"/>
      <c r="U134" s="508" t="s"/>
      <c r="V134" s="508" t="s"/>
      <c r="W134" s="508" t="s"/>
      <c r="X134" s="508" t="s"/>
      <c r="Y134" s="508" t="s"/>
    </row>
    <row r="135" spans="1:25">
      <c r="A135" s="680" t="s"/>
      <c r="B135" s="837" t="s"/>
      <c r="C135" s="837" t="s"/>
      <c r="D135" s="838" t="s"/>
      <c r="E135" s="837" t="s"/>
      <c r="F135" s="839" t="s"/>
      <c r="G135" s="839" t="s"/>
      <c r="H135" s="840" t="s"/>
      <c r="I135" s="508" t="s"/>
      <c r="J135" s="508" t="s"/>
      <c r="K135" s="508" t="s"/>
      <c r="L135" s="508" t="s"/>
      <c r="M135" s="508" t="s"/>
      <c r="N135" s="508" t="s"/>
      <c r="O135" s="508" t="s"/>
      <c r="P135" s="508" t="s"/>
      <c r="Q135" s="508" t="s"/>
      <c r="R135" s="508" t="s"/>
      <c r="S135" s="508" t="s"/>
      <c r="T135" s="508" t="s"/>
      <c r="U135" s="508" t="s"/>
      <c r="V135" s="508" t="s"/>
      <c r="W135" s="508" t="s"/>
      <c r="X135" s="508" t="s"/>
      <c r="Y135" s="508" t="s"/>
    </row>
    <row r="136" spans="1:25">
      <c r="A136" s="680" t="s"/>
      <c r="B136" s="837" t="s"/>
      <c r="C136" s="837" t="s"/>
      <c r="D136" s="838" t="s"/>
      <c r="E136" s="837" t="s"/>
      <c r="F136" s="839" t="s"/>
      <c r="G136" s="839" t="s"/>
      <c r="H136" s="840" t="s"/>
      <c r="I136" s="508" t="s"/>
      <c r="J136" s="508" t="s"/>
      <c r="K136" s="508" t="s"/>
      <c r="L136" s="508" t="s"/>
      <c r="M136" s="508" t="s"/>
      <c r="N136" s="508" t="s"/>
      <c r="O136" s="508" t="s"/>
      <c r="P136" s="508" t="s"/>
      <c r="Q136" s="508" t="s"/>
      <c r="R136" s="508" t="s"/>
      <c r="S136" s="508" t="s"/>
      <c r="T136" s="508" t="s"/>
      <c r="U136" s="508" t="s"/>
      <c r="V136" s="508" t="s"/>
      <c r="W136" s="508" t="s"/>
      <c r="X136" s="508" t="s"/>
      <c r="Y136" s="508" t="s"/>
    </row>
    <row r="137" spans="1:25">
      <c r="A137" s="680" t="s"/>
      <c r="B137" s="837" t="s"/>
      <c r="C137" s="837" t="s"/>
      <c r="D137" s="838" t="s"/>
      <c r="E137" s="837" t="s"/>
      <c r="F137" s="839" t="s"/>
      <c r="G137" s="839" t="s"/>
      <c r="H137" s="840" t="s"/>
      <c r="I137" s="508" t="s"/>
      <c r="J137" s="508" t="s"/>
      <c r="K137" s="508" t="s"/>
      <c r="L137" s="508" t="s"/>
      <c r="M137" s="508" t="s"/>
      <c r="N137" s="508" t="s"/>
      <c r="O137" s="508" t="s"/>
      <c r="P137" s="508" t="s"/>
      <c r="Q137" s="508" t="s"/>
      <c r="R137" s="508" t="s"/>
      <c r="S137" s="508" t="s"/>
      <c r="T137" s="508" t="s"/>
      <c r="U137" s="508" t="s"/>
      <c r="V137" s="508" t="s"/>
      <c r="W137" s="508" t="s"/>
      <c r="X137" s="508" t="s"/>
      <c r="Y137" s="508" t="s"/>
    </row>
    <row r="138" spans="1:25">
      <c r="A138" s="680" t="s"/>
      <c r="B138" s="837" t="s"/>
      <c r="C138" s="837" t="s"/>
      <c r="D138" s="838" t="s"/>
      <c r="E138" s="837" t="s"/>
      <c r="F138" s="839" t="s"/>
      <c r="G138" s="839" t="s"/>
      <c r="H138" s="840" t="s"/>
      <c r="I138" s="508" t="s"/>
      <c r="J138" s="508" t="s"/>
      <c r="K138" s="508" t="s"/>
      <c r="L138" s="508" t="s"/>
      <c r="M138" s="508" t="s"/>
      <c r="N138" s="508" t="s"/>
      <c r="O138" s="508" t="s"/>
      <c r="P138" s="508" t="s"/>
      <c r="Q138" s="508" t="s"/>
      <c r="R138" s="508" t="s"/>
      <c r="S138" s="508" t="s"/>
      <c r="T138" s="508" t="s"/>
      <c r="U138" s="508" t="s"/>
      <c r="V138" s="508" t="s"/>
      <c r="W138" s="508" t="s"/>
      <c r="X138" s="508" t="s"/>
      <c r="Y138" s="508" t="s"/>
    </row>
    <row r="139" spans="1:25">
      <c r="A139" s="680" t="s"/>
      <c r="B139" s="837" t="s"/>
      <c r="C139" s="837" t="s"/>
      <c r="D139" s="838" t="s"/>
      <c r="E139" s="837" t="s"/>
      <c r="F139" s="839" t="s"/>
      <c r="G139" s="839" t="s"/>
      <c r="H139" s="840" t="s"/>
      <c r="I139" s="508" t="s"/>
      <c r="J139" s="508" t="s"/>
      <c r="K139" s="508" t="s"/>
      <c r="L139" s="508" t="s"/>
      <c r="M139" s="508" t="s"/>
      <c r="N139" s="508" t="s"/>
      <c r="O139" s="508" t="s"/>
      <c r="P139" s="508" t="s"/>
      <c r="Q139" s="508" t="s"/>
      <c r="R139" s="508" t="s"/>
      <c r="S139" s="508" t="s"/>
      <c r="T139" s="508" t="s"/>
      <c r="U139" s="508" t="s"/>
      <c r="V139" s="508" t="s"/>
      <c r="W139" s="508" t="s"/>
      <c r="X139" s="508" t="s"/>
      <c r="Y139" s="508" t="s"/>
    </row>
    <row r="140" spans="1:25">
      <c r="A140" s="680" t="s"/>
      <c r="B140" s="837" t="s"/>
      <c r="C140" s="837" t="s"/>
      <c r="D140" s="838" t="s"/>
      <c r="E140" s="837" t="s"/>
      <c r="F140" s="839" t="s"/>
      <c r="G140" s="839" t="s"/>
      <c r="H140" s="840" t="s"/>
      <c r="I140" s="508" t="s"/>
      <c r="J140" s="508" t="s"/>
      <c r="K140" s="508" t="s"/>
      <c r="L140" s="508" t="s"/>
      <c r="M140" s="508" t="s"/>
      <c r="N140" s="508" t="s"/>
      <c r="O140" s="508" t="s"/>
      <c r="P140" s="508" t="s"/>
      <c r="Q140" s="508" t="s"/>
      <c r="R140" s="508" t="s"/>
      <c r="S140" s="508" t="s"/>
      <c r="T140" s="508" t="s"/>
      <c r="U140" s="508" t="s"/>
      <c r="V140" s="508" t="s"/>
      <c r="W140" s="508" t="s"/>
      <c r="X140" s="508" t="s"/>
      <c r="Y140" s="508" t="s"/>
    </row>
    <row r="141" spans="1:25">
      <c r="A141" s="680" t="s"/>
      <c r="B141" s="837" t="s"/>
      <c r="C141" s="837" t="s"/>
      <c r="D141" s="838" t="s"/>
      <c r="E141" s="837" t="s"/>
      <c r="F141" s="839" t="s"/>
      <c r="G141" s="839" t="s"/>
      <c r="H141" s="840" t="s"/>
      <c r="I141" s="508" t="s"/>
      <c r="J141" s="508" t="s"/>
      <c r="K141" s="508" t="s"/>
      <c r="L141" s="508" t="s"/>
      <c r="M141" s="508" t="s"/>
      <c r="N141" s="508" t="s"/>
      <c r="O141" s="508" t="s"/>
      <c r="P141" s="508" t="s"/>
      <c r="Q141" s="508" t="s"/>
      <c r="R141" s="508" t="s"/>
      <c r="S141" s="508" t="s"/>
      <c r="T141" s="508" t="s"/>
      <c r="U141" s="508" t="s"/>
      <c r="V141" s="508" t="s"/>
      <c r="W141" s="508" t="s"/>
      <c r="X141" s="508" t="s"/>
      <c r="Y141" s="508" t="s"/>
    </row>
    <row r="142" spans="1:25">
      <c r="A142" s="680" t="s"/>
      <c r="B142" s="837" t="s"/>
      <c r="C142" s="837" t="s"/>
      <c r="D142" s="838" t="s"/>
      <c r="E142" s="837" t="s"/>
      <c r="F142" s="839" t="s"/>
      <c r="G142" s="839" t="s"/>
      <c r="H142" s="840" t="s"/>
      <c r="I142" s="508" t="s"/>
      <c r="J142" s="508" t="s"/>
      <c r="K142" s="508" t="s"/>
      <c r="L142" s="508" t="s"/>
      <c r="M142" s="508" t="s"/>
      <c r="N142" s="508" t="s"/>
      <c r="O142" s="508" t="s"/>
      <c r="P142" s="508" t="s"/>
      <c r="Q142" s="508" t="s"/>
      <c r="R142" s="508" t="s"/>
      <c r="S142" s="508" t="s"/>
      <c r="T142" s="508" t="s"/>
      <c r="U142" s="508" t="s"/>
      <c r="V142" s="508" t="s"/>
      <c r="W142" s="508" t="s"/>
      <c r="X142" s="508" t="s"/>
      <c r="Y142" s="508" t="s"/>
    </row>
    <row r="143" spans="1:25">
      <c r="A143" s="680" t="s"/>
      <c r="B143" s="837" t="s"/>
      <c r="C143" s="837" t="s"/>
      <c r="D143" s="838" t="s"/>
      <c r="E143" s="837" t="s"/>
      <c r="F143" s="839" t="s"/>
      <c r="G143" s="839" t="s"/>
      <c r="H143" s="840" t="s"/>
      <c r="I143" s="508" t="s"/>
      <c r="J143" s="508" t="s"/>
      <c r="K143" s="508" t="s"/>
      <c r="L143" s="508" t="s"/>
      <c r="M143" s="508" t="s"/>
      <c r="N143" s="508" t="s"/>
      <c r="O143" s="508" t="s"/>
      <c r="P143" s="508" t="s"/>
      <c r="Q143" s="508" t="s"/>
      <c r="R143" s="508" t="s"/>
      <c r="S143" s="508" t="s"/>
      <c r="T143" s="508" t="s"/>
      <c r="U143" s="508" t="s"/>
      <c r="V143" s="508" t="s"/>
      <c r="W143" s="508" t="s"/>
      <c r="X143" s="508" t="s"/>
      <c r="Y143" s="508" t="s"/>
    </row>
    <row r="144" spans="1:25">
      <c r="A144" s="680" t="s"/>
      <c r="B144" s="837" t="s"/>
      <c r="C144" s="837" t="s"/>
      <c r="D144" s="838" t="s"/>
      <c r="E144" s="837" t="s"/>
      <c r="F144" s="839" t="s"/>
      <c r="G144" s="839" t="s"/>
      <c r="H144" s="840" t="s"/>
      <c r="I144" s="508" t="s"/>
      <c r="J144" s="508" t="s"/>
      <c r="K144" s="508" t="s"/>
      <c r="L144" s="508" t="s"/>
      <c r="M144" s="508" t="s"/>
      <c r="N144" s="508" t="s"/>
      <c r="O144" s="508" t="s"/>
      <c r="P144" s="508" t="s"/>
      <c r="Q144" s="508" t="s"/>
      <c r="R144" s="508" t="s"/>
      <c r="S144" s="508" t="s"/>
      <c r="T144" s="508" t="s"/>
      <c r="U144" s="508" t="s"/>
      <c r="V144" s="508" t="s"/>
      <c r="W144" s="508" t="s"/>
      <c r="X144" s="508" t="s"/>
      <c r="Y144" s="508" t="s"/>
    </row>
    <row r="145" spans="1:25">
      <c r="A145" s="680" t="s"/>
      <c r="B145" s="837" t="s"/>
      <c r="C145" s="837" t="s"/>
      <c r="D145" s="838" t="s"/>
      <c r="E145" s="837" t="s"/>
      <c r="F145" s="839" t="s"/>
      <c r="G145" s="839" t="s"/>
      <c r="H145" s="840" t="s"/>
      <c r="I145" s="508" t="s"/>
      <c r="J145" s="508" t="s"/>
      <c r="K145" s="508" t="s"/>
      <c r="L145" s="508" t="s"/>
      <c r="M145" s="508" t="s"/>
      <c r="N145" s="508" t="s"/>
      <c r="O145" s="508" t="s"/>
      <c r="P145" s="508" t="s"/>
      <c r="Q145" s="508" t="s"/>
      <c r="R145" s="508" t="s"/>
      <c r="S145" s="508" t="s"/>
      <c r="T145" s="508" t="s"/>
      <c r="U145" s="508" t="s"/>
      <c r="V145" s="508" t="s"/>
      <c r="W145" s="508" t="s"/>
      <c r="X145" s="508" t="s"/>
      <c r="Y145" s="508" t="s"/>
    </row>
    <row r="146" spans="1:25">
      <c r="A146" s="680" t="s"/>
      <c r="B146" s="837" t="s"/>
      <c r="C146" s="837" t="s"/>
      <c r="D146" s="838" t="s"/>
      <c r="E146" s="837" t="s"/>
      <c r="F146" s="839" t="s"/>
      <c r="G146" s="839" t="s"/>
      <c r="H146" s="840" t="s"/>
      <c r="I146" s="508" t="s"/>
      <c r="J146" s="508" t="s"/>
      <c r="K146" s="508" t="s"/>
      <c r="L146" s="508" t="s"/>
      <c r="M146" s="508" t="s"/>
      <c r="N146" s="508" t="s"/>
      <c r="O146" s="508" t="s"/>
      <c r="P146" s="508" t="s"/>
      <c r="Q146" s="508" t="s"/>
      <c r="R146" s="508" t="s"/>
      <c r="S146" s="508" t="s"/>
      <c r="T146" s="508" t="s"/>
      <c r="U146" s="508" t="s"/>
      <c r="V146" s="508" t="s"/>
      <c r="W146" s="508" t="s"/>
      <c r="X146" s="508" t="s"/>
      <c r="Y146" s="508" t="s"/>
    </row>
    <row r="147" spans="1:25">
      <c r="A147" s="680" t="s"/>
      <c r="B147" s="837" t="s"/>
      <c r="C147" s="837" t="s"/>
      <c r="D147" s="838" t="s"/>
      <c r="E147" s="837" t="s"/>
      <c r="F147" s="839" t="s"/>
      <c r="G147" s="839" t="s"/>
      <c r="H147" s="840" t="s"/>
      <c r="I147" s="508" t="s"/>
      <c r="J147" s="508" t="s"/>
      <c r="K147" s="508" t="s"/>
      <c r="L147" s="508" t="s"/>
      <c r="M147" s="508" t="s"/>
      <c r="N147" s="508" t="s"/>
      <c r="O147" s="508" t="s"/>
      <c r="P147" s="508" t="s"/>
      <c r="Q147" s="508" t="s"/>
      <c r="R147" s="508" t="s"/>
      <c r="S147" s="508" t="s"/>
      <c r="T147" s="508" t="s"/>
      <c r="U147" s="508" t="s"/>
      <c r="V147" s="508" t="s"/>
      <c r="W147" s="508" t="s"/>
      <c r="X147" s="508" t="s"/>
      <c r="Y147" s="508" t="s"/>
    </row>
    <row r="148" spans="1:25">
      <c r="A148" s="680" t="s"/>
      <c r="B148" s="837" t="s"/>
      <c r="C148" s="837" t="s"/>
      <c r="D148" s="838" t="s"/>
      <c r="E148" s="837" t="s"/>
      <c r="F148" s="839" t="s"/>
      <c r="G148" s="839" t="s"/>
      <c r="H148" s="840" t="s"/>
      <c r="I148" s="508" t="s"/>
      <c r="J148" s="508" t="s"/>
      <c r="K148" s="508" t="s"/>
      <c r="L148" s="508" t="s"/>
      <c r="M148" s="508" t="s"/>
      <c r="N148" s="508" t="s"/>
      <c r="O148" s="508" t="s"/>
      <c r="P148" s="508" t="s"/>
      <c r="Q148" s="508" t="s"/>
      <c r="R148" s="508" t="s"/>
      <c r="S148" s="508" t="s"/>
      <c r="T148" s="508" t="s"/>
      <c r="U148" s="508" t="s"/>
      <c r="V148" s="508" t="s"/>
      <c r="W148" s="508" t="s"/>
      <c r="X148" s="508" t="s"/>
      <c r="Y148" s="508" t="s"/>
    </row>
    <row r="149" spans="1:25">
      <c r="A149" s="680" t="s"/>
      <c r="B149" s="837" t="s"/>
      <c r="C149" s="837" t="s"/>
      <c r="D149" s="838" t="s"/>
      <c r="E149" s="837" t="s"/>
      <c r="F149" s="839" t="s"/>
      <c r="G149" s="839" t="s"/>
      <c r="H149" s="840" t="s"/>
      <c r="I149" s="508" t="s"/>
      <c r="J149" s="508" t="s"/>
      <c r="K149" s="508" t="s"/>
      <c r="L149" s="508" t="s"/>
      <c r="M149" s="508" t="s"/>
      <c r="N149" s="508" t="s"/>
      <c r="O149" s="508" t="s"/>
      <c r="P149" s="508" t="s"/>
      <c r="Q149" s="508" t="s"/>
      <c r="R149" s="508" t="s"/>
      <c r="S149" s="508" t="s"/>
      <c r="T149" s="508" t="s"/>
      <c r="U149" s="508" t="s"/>
      <c r="V149" s="508" t="s"/>
      <c r="W149" s="508" t="s"/>
      <c r="X149" s="508" t="s"/>
      <c r="Y149" s="508" t="s"/>
    </row>
    <row r="150" spans="1:25">
      <c r="A150" s="680" t="s"/>
      <c r="B150" s="837" t="s"/>
      <c r="C150" s="837" t="s"/>
      <c r="D150" s="838" t="s"/>
      <c r="E150" s="837" t="s"/>
      <c r="F150" s="839" t="s"/>
      <c r="G150" s="839" t="s"/>
      <c r="H150" s="840" t="s"/>
      <c r="I150" s="508" t="s"/>
      <c r="J150" s="508" t="s"/>
      <c r="K150" s="508" t="s"/>
      <c r="L150" s="508" t="s"/>
      <c r="M150" s="508" t="s"/>
      <c r="N150" s="508" t="s"/>
      <c r="O150" s="508" t="s"/>
      <c r="P150" s="508" t="s"/>
      <c r="Q150" s="508" t="s"/>
      <c r="R150" s="508" t="s"/>
      <c r="S150" s="508" t="s"/>
      <c r="T150" s="508" t="s"/>
      <c r="U150" s="508" t="s"/>
      <c r="V150" s="508" t="s"/>
      <c r="W150" s="508" t="s"/>
      <c r="X150" s="508" t="s"/>
      <c r="Y150" s="508" t="s"/>
    </row>
    <row r="151" spans="1:25">
      <c r="A151" s="680" t="s"/>
      <c r="B151" s="837" t="s"/>
      <c r="C151" s="837" t="s"/>
      <c r="D151" s="838" t="s"/>
      <c r="E151" s="837" t="s"/>
      <c r="F151" s="839" t="s"/>
      <c r="G151" s="839" t="s"/>
      <c r="H151" s="840" t="s"/>
      <c r="I151" s="508" t="s"/>
      <c r="J151" s="508" t="s"/>
      <c r="K151" s="508" t="s"/>
      <c r="L151" s="508" t="s"/>
      <c r="M151" s="508" t="s"/>
      <c r="N151" s="508" t="s"/>
      <c r="O151" s="508" t="s"/>
      <c r="P151" s="508" t="s"/>
      <c r="Q151" s="508" t="s"/>
      <c r="R151" s="508" t="s"/>
      <c r="S151" s="508" t="s"/>
      <c r="T151" s="508" t="s"/>
      <c r="U151" s="508" t="s"/>
      <c r="V151" s="508" t="s"/>
      <c r="W151" s="508" t="s"/>
      <c r="X151" s="508" t="s"/>
      <c r="Y151" s="508" t="s"/>
    </row>
    <row r="152" spans="1:25">
      <c r="A152" s="680" t="s"/>
      <c r="B152" s="837" t="s"/>
      <c r="C152" s="837" t="s"/>
      <c r="D152" s="838" t="s"/>
      <c r="E152" s="837" t="s"/>
      <c r="F152" s="839" t="s"/>
      <c r="G152" s="839" t="s"/>
      <c r="H152" s="840" t="s"/>
      <c r="I152" s="508" t="s"/>
      <c r="J152" s="508" t="s"/>
      <c r="K152" s="508" t="s"/>
      <c r="L152" s="508" t="s"/>
      <c r="M152" s="508" t="s"/>
      <c r="N152" s="508" t="s"/>
      <c r="O152" s="508" t="s"/>
      <c r="P152" s="508" t="s"/>
      <c r="Q152" s="508" t="s"/>
      <c r="R152" s="508" t="s"/>
      <c r="S152" s="508" t="s"/>
      <c r="T152" s="508" t="s"/>
      <c r="U152" s="508" t="s"/>
      <c r="V152" s="508" t="s"/>
      <c r="W152" s="508" t="s"/>
      <c r="X152" s="508" t="s"/>
      <c r="Y152" s="508" t="s"/>
    </row>
    <row r="153" spans="1:25">
      <c r="A153" s="680" t="s"/>
      <c r="B153" s="837" t="s"/>
      <c r="C153" s="837" t="s"/>
      <c r="D153" s="838" t="s"/>
      <c r="E153" s="837" t="s"/>
      <c r="F153" s="839" t="s"/>
      <c r="G153" s="839" t="s"/>
      <c r="H153" s="840" t="s"/>
      <c r="I153" s="508" t="s"/>
      <c r="J153" s="508" t="s"/>
      <c r="K153" s="508" t="s"/>
      <c r="L153" s="508" t="s"/>
      <c r="M153" s="508" t="s"/>
      <c r="N153" s="508" t="s"/>
      <c r="O153" s="508" t="s"/>
      <c r="P153" s="508" t="s"/>
      <c r="Q153" s="508" t="s"/>
      <c r="R153" s="508" t="s"/>
      <c r="S153" s="508" t="s"/>
      <c r="T153" s="508" t="s"/>
      <c r="U153" s="508" t="s"/>
      <c r="V153" s="508" t="s"/>
      <c r="W153" s="508" t="s"/>
      <c r="X153" s="508" t="s"/>
      <c r="Y153" s="508" t="s"/>
    </row>
    <row r="154" spans="1:25">
      <c r="A154" s="680" t="s"/>
      <c r="B154" s="837" t="s"/>
      <c r="C154" s="837" t="s"/>
      <c r="D154" s="838" t="s"/>
      <c r="E154" s="837" t="s"/>
      <c r="F154" s="839" t="s"/>
      <c r="G154" s="839" t="s"/>
      <c r="H154" s="840" t="s"/>
      <c r="I154" s="508" t="s"/>
      <c r="J154" s="508" t="s"/>
      <c r="K154" s="508" t="s"/>
      <c r="L154" s="508" t="s"/>
      <c r="M154" s="508" t="s"/>
      <c r="N154" s="508" t="s"/>
      <c r="O154" s="508" t="s"/>
      <c r="P154" s="508" t="s"/>
      <c r="Q154" s="508" t="s"/>
      <c r="R154" s="508" t="s"/>
      <c r="S154" s="508" t="s"/>
      <c r="T154" s="508" t="s"/>
      <c r="U154" s="508" t="s"/>
      <c r="V154" s="508" t="s"/>
      <c r="W154" s="508" t="s"/>
      <c r="X154" s="508" t="s"/>
      <c r="Y154" s="508" t="s"/>
    </row>
    <row r="155" spans="1:25">
      <c r="A155" s="680" t="s"/>
      <c r="B155" s="837" t="s"/>
      <c r="C155" s="837" t="s"/>
      <c r="D155" s="838" t="s"/>
      <c r="E155" s="837" t="s"/>
      <c r="F155" s="839" t="s"/>
      <c r="G155" s="839" t="s"/>
      <c r="H155" s="840" t="s"/>
      <c r="I155" s="508" t="s"/>
      <c r="J155" s="508" t="s"/>
      <c r="K155" s="508" t="s"/>
      <c r="L155" s="508" t="s"/>
      <c r="M155" s="508" t="s"/>
      <c r="N155" s="508" t="s"/>
      <c r="O155" s="508" t="s"/>
      <c r="P155" s="508" t="s"/>
      <c r="Q155" s="508" t="s"/>
      <c r="R155" s="508" t="s"/>
      <c r="S155" s="508" t="s"/>
      <c r="T155" s="508" t="s"/>
      <c r="U155" s="508" t="s"/>
      <c r="V155" s="508" t="s"/>
      <c r="W155" s="508" t="s"/>
      <c r="X155" s="508" t="s"/>
      <c r="Y155" s="508" t="s"/>
    </row>
    <row r="156" spans="1:25">
      <c r="A156" s="680" t="s"/>
      <c r="B156" s="837" t="s"/>
      <c r="C156" s="837" t="s"/>
      <c r="D156" s="838" t="s"/>
      <c r="E156" s="837" t="s"/>
      <c r="F156" s="839" t="s"/>
      <c r="G156" s="839" t="s"/>
      <c r="H156" s="840" t="s"/>
      <c r="I156" s="508" t="s"/>
      <c r="J156" s="508" t="s"/>
      <c r="K156" s="508" t="s"/>
      <c r="L156" s="508" t="s"/>
      <c r="M156" s="508" t="s"/>
      <c r="N156" s="508" t="s"/>
      <c r="O156" s="508" t="s"/>
      <c r="P156" s="508" t="s"/>
      <c r="Q156" s="508" t="s"/>
      <c r="R156" s="508" t="s"/>
      <c r="S156" s="508" t="s"/>
      <c r="T156" s="508" t="s"/>
      <c r="U156" s="508" t="s"/>
      <c r="V156" s="508" t="s"/>
      <c r="W156" s="508" t="s"/>
      <c r="X156" s="508" t="s"/>
      <c r="Y156" s="508" t="s"/>
    </row>
    <row r="157" spans="1:25">
      <c r="A157" s="680" t="s"/>
      <c r="B157" s="837" t="s"/>
      <c r="C157" s="837" t="s"/>
      <c r="D157" s="838" t="s"/>
      <c r="E157" s="837" t="s"/>
      <c r="F157" s="839" t="s"/>
      <c r="G157" s="839" t="s"/>
      <c r="H157" s="840" t="s"/>
      <c r="I157" s="508" t="s"/>
      <c r="J157" s="508" t="s"/>
      <c r="K157" s="508" t="s"/>
      <c r="L157" s="508" t="s"/>
      <c r="M157" s="508" t="s"/>
      <c r="N157" s="508" t="s"/>
      <c r="O157" s="508" t="s"/>
      <c r="P157" s="508" t="s"/>
      <c r="Q157" s="508" t="s"/>
      <c r="R157" s="508" t="s"/>
      <c r="S157" s="508" t="s"/>
      <c r="T157" s="508" t="s"/>
      <c r="U157" s="508" t="s"/>
      <c r="V157" s="508" t="s"/>
      <c r="W157" s="508" t="s"/>
      <c r="X157" s="508" t="s"/>
      <c r="Y157" s="508" t="s"/>
    </row>
    <row r="158" spans="1:25">
      <c r="A158" s="680" t="s"/>
      <c r="B158" s="837" t="s"/>
      <c r="C158" s="837" t="s"/>
      <c r="D158" s="838" t="s"/>
      <c r="E158" s="837" t="s"/>
      <c r="F158" s="839" t="s"/>
      <c r="G158" s="839" t="s"/>
      <c r="H158" s="840" t="s"/>
      <c r="I158" s="508" t="s"/>
      <c r="J158" s="508" t="s"/>
      <c r="K158" s="508" t="s"/>
      <c r="L158" s="508" t="s"/>
      <c r="M158" s="508" t="s"/>
      <c r="N158" s="508" t="s"/>
      <c r="O158" s="508" t="s"/>
      <c r="P158" s="508" t="s"/>
      <c r="Q158" s="508" t="s"/>
      <c r="R158" s="508" t="s"/>
      <c r="S158" s="508" t="s"/>
      <c r="T158" s="508" t="s"/>
      <c r="U158" s="508" t="s"/>
      <c r="V158" s="508" t="s"/>
      <c r="W158" s="508" t="s"/>
      <c r="X158" s="508" t="s"/>
      <c r="Y158" s="508" t="s"/>
    </row>
    <row r="159" spans="1:25">
      <c r="A159" s="680" t="s"/>
      <c r="B159" s="837" t="s"/>
      <c r="C159" s="837" t="s"/>
      <c r="D159" s="838" t="s"/>
      <c r="E159" s="837" t="s"/>
      <c r="F159" s="839" t="s"/>
      <c r="G159" s="839" t="s"/>
      <c r="H159" s="840" t="s"/>
      <c r="I159" s="508" t="s"/>
      <c r="J159" s="508" t="s"/>
      <c r="K159" s="508" t="s"/>
      <c r="L159" s="508" t="s"/>
      <c r="M159" s="508" t="s"/>
      <c r="N159" s="508" t="s"/>
      <c r="O159" s="508" t="s"/>
      <c r="P159" s="508" t="s"/>
      <c r="Q159" s="508" t="s"/>
      <c r="R159" s="508" t="s"/>
      <c r="S159" s="508" t="s"/>
      <c r="T159" s="508" t="s"/>
      <c r="U159" s="508" t="s"/>
      <c r="V159" s="508" t="s"/>
      <c r="W159" s="508" t="s"/>
      <c r="X159" s="508" t="s"/>
      <c r="Y159" s="508" t="s"/>
    </row>
    <row r="160" spans="1:25">
      <c r="A160" s="680" t="s"/>
      <c r="B160" s="837" t="s"/>
      <c r="C160" s="837" t="s"/>
      <c r="D160" s="838" t="s"/>
      <c r="E160" s="837" t="s"/>
      <c r="F160" s="839" t="s"/>
      <c r="G160" s="839" t="s"/>
      <c r="H160" s="840" t="s"/>
      <c r="I160" s="508" t="s"/>
      <c r="J160" s="508" t="s"/>
      <c r="K160" s="508" t="s"/>
      <c r="L160" s="508" t="s"/>
      <c r="M160" s="508" t="s"/>
      <c r="N160" s="508" t="s"/>
      <c r="O160" s="508" t="s"/>
      <c r="P160" s="508" t="s"/>
      <c r="Q160" s="508" t="s"/>
      <c r="R160" s="508" t="s"/>
      <c r="S160" s="508" t="s"/>
      <c r="T160" s="508" t="s"/>
      <c r="U160" s="508" t="s"/>
      <c r="V160" s="508" t="s"/>
      <c r="W160" s="508" t="s"/>
      <c r="X160" s="508" t="s"/>
      <c r="Y160" s="508" t="s"/>
    </row>
    <row r="161" spans="1:25">
      <c r="A161" s="680" t="s"/>
      <c r="B161" s="837" t="s"/>
      <c r="C161" s="837" t="s"/>
      <c r="D161" s="838" t="s"/>
      <c r="E161" s="837" t="s"/>
      <c r="F161" s="839" t="s"/>
      <c r="G161" s="839" t="s"/>
      <c r="H161" s="840" t="s"/>
      <c r="I161" s="508" t="s"/>
      <c r="J161" s="508" t="s"/>
      <c r="K161" s="508" t="s"/>
      <c r="L161" s="508" t="s"/>
      <c r="M161" s="508" t="s"/>
      <c r="N161" s="508" t="s"/>
      <c r="O161" s="508" t="s"/>
      <c r="P161" s="508" t="s"/>
      <c r="Q161" s="508" t="s"/>
      <c r="R161" s="508" t="s"/>
      <c r="S161" s="508" t="s"/>
      <c r="T161" s="508" t="s"/>
      <c r="U161" s="508" t="s"/>
      <c r="V161" s="508" t="s"/>
      <c r="W161" s="508" t="s"/>
      <c r="X161" s="508" t="s"/>
      <c r="Y161" s="508" t="s"/>
    </row>
    <row r="162" spans="1:25">
      <c r="A162" s="680" t="s"/>
      <c r="B162" s="837" t="s"/>
      <c r="C162" s="837" t="s"/>
      <c r="D162" s="838" t="s"/>
      <c r="E162" s="837" t="s"/>
      <c r="F162" s="839" t="s"/>
      <c r="G162" s="839" t="s"/>
      <c r="H162" s="840" t="s"/>
      <c r="I162" s="508" t="s"/>
      <c r="J162" s="508" t="s"/>
      <c r="K162" s="508" t="s"/>
      <c r="L162" s="508" t="s"/>
      <c r="M162" s="508" t="s"/>
      <c r="N162" s="508" t="s"/>
      <c r="O162" s="508" t="s"/>
      <c r="P162" s="508" t="s"/>
      <c r="Q162" s="508" t="s"/>
      <c r="R162" s="508" t="s"/>
      <c r="S162" s="508" t="s"/>
      <c r="T162" s="508" t="s"/>
      <c r="U162" s="508" t="s"/>
      <c r="V162" s="508" t="s"/>
      <c r="W162" s="508" t="s"/>
      <c r="X162" s="508" t="s"/>
      <c r="Y162" s="508" t="s"/>
    </row>
    <row r="163" spans="1:25">
      <c r="A163" s="680" t="s"/>
      <c r="B163" s="837" t="s"/>
      <c r="C163" s="837" t="s"/>
      <c r="D163" s="838" t="s"/>
      <c r="E163" s="837" t="s"/>
      <c r="F163" s="839" t="s"/>
      <c r="G163" s="839" t="s"/>
      <c r="H163" s="840" t="s"/>
      <c r="I163" s="508" t="s"/>
      <c r="J163" s="508" t="s"/>
      <c r="K163" s="508" t="s"/>
      <c r="L163" s="508" t="s"/>
      <c r="M163" s="508" t="s"/>
      <c r="N163" s="508" t="s"/>
      <c r="O163" s="508" t="s"/>
      <c r="P163" s="508" t="s"/>
      <c r="Q163" s="508" t="s"/>
      <c r="R163" s="508" t="s"/>
      <c r="S163" s="508" t="s"/>
      <c r="T163" s="508" t="s"/>
      <c r="U163" s="508" t="s"/>
      <c r="V163" s="508" t="s"/>
      <c r="W163" s="508" t="s"/>
      <c r="X163" s="508" t="s"/>
      <c r="Y163" s="508" t="s"/>
    </row>
    <row r="164" spans="1:25">
      <c r="A164" s="680" t="s"/>
      <c r="B164" s="837" t="s"/>
      <c r="C164" s="837" t="s"/>
      <c r="D164" s="838" t="s"/>
      <c r="E164" s="837" t="s"/>
      <c r="F164" s="839" t="s"/>
      <c r="G164" s="839" t="s"/>
      <c r="H164" s="840" t="s"/>
      <c r="I164" s="508" t="s"/>
      <c r="J164" s="508" t="s"/>
      <c r="K164" s="508" t="s"/>
      <c r="L164" s="508" t="s"/>
      <c r="M164" s="508" t="s"/>
      <c r="N164" s="508" t="s"/>
      <c r="O164" s="508" t="s"/>
      <c r="P164" s="508" t="s"/>
      <c r="Q164" s="508" t="s"/>
      <c r="R164" s="508" t="s"/>
      <c r="S164" s="508" t="s"/>
      <c r="T164" s="508" t="s"/>
      <c r="U164" s="508" t="s"/>
      <c r="V164" s="508" t="s"/>
      <c r="W164" s="508" t="s"/>
      <c r="X164" s="508" t="s"/>
      <c r="Y164" s="508" t="s"/>
    </row>
    <row r="165" spans="1:25">
      <c r="A165" s="680" t="s"/>
      <c r="B165" s="837" t="s"/>
      <c r="C165" s="837" t="s"/>
      <c r="D165" s="838" t="s"/>
      <c r="E165" s="837" t="s"/>
      <c r="F165" s="839" t="s"/>
      <c r="G165" s="839" t="s"/>
      <c r="H165" s="840" t="s"/>
      <c r="I165" s="508" t="s"/>
      <c r="J165" s="508" t="s"/>
      <c r="K165" s="508" t="s"/>
      <c r="L165" s="508" t="s"/>
      <c r="M165" s="508" t="s"/>
      <c r="N165" s="508" t="s"/>
      <c r="O165" s="508" t="s"/>
      <c r="P165" s="508" t="s"/>
      <c r="Q165" s="508" t="s"/>
      <c r="R165" s="508" t="s"/>
      <c r="S165" s="508" t="s"/>
      <c r="T165" s="508" t="s"/>
      <c r="U165" s="508" t="s"/>
      <c r="V165" s="508" t="s"/>
      <c r="W165" s="508" t="s"/>
      <c r="X165" s="508" t="s"/>
      <c r="Y165" s="508" t="s"/>
    </row>
    <row r="166" spans="1:25">
      <c r="A166" s="680" t="s"/>
      <c r="B166" s="837" t="s"/>
      <c r="C166" s="837" t="s"/>
      <c r="D166" s="838" t="s"/>
      <c r="E166" s="837" t="s"/>
      <c r="F166" s="839" t="s"/>
      <c r="G166" s="839" t="s"/>
      <c r="H166" s="840" t="s"/>
      <c r="I166" s="508" t="s"/>
      <c r="J166" s="508" t="s"/>
      <c r="K166" s="508" t="s"/>
      <c r="L166" s="508" t="s"/>
      <c r="M166" s="508" t="s"/>
      <c r="N166" s="508" t="s"/>
      <c r="O166" s="508" t="s"/>
      <c r="P166" s="508" t="s"/>
      <c r="Q166" s="508" t="s"/>
      <c r="R166" s="508" t="s"/>
      <c r="S166" s="508" t="s"/>
      <c r="T166" s="508" t="s"/>
      <c r="U166" s="508" t="s"/>
      <c r="V166" s="508" t="s"/>
      <c r="W166" s="508" t="s"/>
      <c r="X166" s="508" t="s"/>
      <c r="Y166" s="508" t="s"/>
    </row>
    <row r="167" spans="1:25">
      <c r="A167" s="680" t="s"/>
      <c r="B167" s="837" t="s"/>
      <c r="C167" s="837" t="s"/>
      <c r="D167" s="838" t="s"/>
      <c r="E167" s="837" t="s"/>
      <c r="F167" s="839" t="s"/>
      <c r="G167" s="839" t="s"/>
      <c r="H167" s="840" t="s"/>
      <c r="I167" s="508" t="s"/>
      <c r="J167" s="508" t="s"/>
      <c r="K167" s="508" t="s"/>
      <c r="L167" s="508" t="s"/>
      <c r="M167" s="508" t="s"/>
      <c r="N167" s="508" t="s"/>
      <c r="O167" s="508" t="s"/>
      <c r="P167" s="508" t="s"/>
      <c r="Q167" s="508" t="s"/>
      <c r="R167" s="508" t="s"/>
      <c r="S167" s="508" t="s"/>
      <c r="T167" s="508" t="s"/>
      <c r="U167" s="508" t="s"/>
      <c r="V167" s="508" t="s"/>
      <c r="W167" s="508" t="s"/>
      <c r="X167" s="508" t="s"/>
      <c r="Y167" s="508" t="s"/>
    </row>
    <row r="168" spans="1:25">
      <c r="A168" s="680" t="s"/>
      <c r="B168" s="837" t="s"/>
      <c r="C168" s="837" t="s"/>
      <c r="D168" s="838" t="s"/>
      <c r="E168" s="837" t="s"/>
      <c r="F168" s="839" t="s"/>
      <c r="G168" s="839" t="s"/>
      <c r="H168" s="840" t="s"/>
      <c r="I168" s="508" t="s"/>
      <c r="J168" s="508" t="s"/>
      <c r="K168" s="508" t="s"/>
      <c r="L168" s="508" t="s"/>
      <c r="M168" s="508" t="s"/>
      <c r="N168" s="508" t="s"/>
      <c r="O168" s="508" t="s"/>
      <c r="P168" s="508" t="s"/>
      <c r="Q168" s="508" t="s"/>
      <c r="R168" s="508" t="s"/>
      <c r="S168" s="508" t="s"/>
      <c r="T168" s="508" t="s"/>
      <c r="U168" s="508" t="s"/>
      <c r="V168" s="508" t="s"/>
      <c r="W168" s="508" t="s"/>
      <c r="X168" s="508" t="s"/>
      <c r="Y168" s="508" t="s"/>
    </row>
    <row r="169" spans="1:25">
      <c r="A169" s="680" t="s"/>
      <c r="B169" s="837" t="s"/>
      <c r="C169" s="837" t="s"/>
      <c r="D169" s="838" t="s"/>
      <c r="E169" s="837" t="s"/>
      <c r="F169" s="839" t="s"/>
      <c r="G169" s="839" t="s"/>
      <c r="H169" s="840" t="s"/>
      <c r="I169" s="508" t="s"/>
      <c r="J169" s="508" t="s"/>
      <c r="K169" s="508" t="s"/>
      <c r="L169" s="508" t="s"/>
      <c r="M169" s="508" t="s"/>
      <c r="N169" s="508" t="s"/>
      <c r="O169" s="508" t="s"/>
      <c r="P169" s="508" t="s"/>
      <c r="Q169" s="508" t="s"/>
      <c r="R169" s="508" t="s"/>
      <c r="S169" s="508" t="s"/>
      <c r="T169" s="508" t="s"/>
      <c r="U169" s="508" t="s"/>
      <c r="V169" s="508" t="s"/>
      <c r="W169" s="508" t="s"/>
      <c r="X169" s="508" t="s"/>
      <c r="Y169" s="508" t="s"/>
    </row>
    <row r="170" spans="1:25">
      <c r="A170" s="680" t="s"/>
      <c r="B170" s="837" t="s"/>
      <c r="C170" s="837" t="s"/>
      <c r="D170" s="838" t="s"/>
      <c r="E170" s="837" t="s"/>
      <c r="F170" s="839" t="s"/>
      <c r="G170" s="839" t="s"/>
      <c r="H170" s="840" t="s"/>
      <c r="I170" s="508" t="s"/>
      <c r="J170" s="508" t="s"/>
      <c r="K170" s="508" t="s"/>
      <c r="L170" s="508" t="s"/>
      <c r="M170" s="508" t="s"/>
      <c r="N170" s="508" t="s"/>
      <c r="O170" s="508" t="s"/>
      <c r="P170" s="508" t="s"/>
      <c r="Q170" s="508" t="s"/>
      <c r="R170" s="508" t="s"/>
      <c r="S170" s="508" t="s"/>
      <c r="T170" s="508" t="s"/>
      <c r="U170" s="508" t="s"/>
      <c r="V170" s="508" t="s"/>
      <c r="W170" s="508" t="s"/>
      <c r="X170" s="508" t="s"/>
      <c r="Y170" s="508" t="s"/>
    </row>
    <row r="171" spans="1:25">
      <c r="A171" s="680" t="s"/>
      <c r="B171" s="837" t="s"/>
      <c r="C171" s="837" t="s"/>
      <c r="D171" s="838" t="s"/>
      <c r="E171" s="837" t="s"/>
      <c r="F171" s="839" t="s"/>
      <c r="G171" s="839" t="s"/>
      <c r="H171" s="840" t="s"/>
      <c r="I171" s="508" t="s"/>
      <c r="J171" s="508" t="s"/>
      <c r="K171" s="508" t="s"/>
      <c r="L171" s="508" t="s"/>
      <c r="M171" s="508" t="s"/>
      <c r="N171" s="508" t="s"/>
      <c r="O171" s="508" t="s"/>
      <c r="P171" s="508" t="s"/>
      <c r="Q171" s="508" t="s"/>
      <c r="R171" s="508" t="s"/>
      <c r="S171" s="508" t="s"/>
      <c r="T171" s="508" t="s"/>
      <c r="U171" s="508" t="s"/>
      <c r="V171" s="508" t="s"/>
      <c r="W171" s="508" t="s"/>
      <c r="X171" s="508" t="s"/>
      <c r="Y171" s="508" t="s"/>
    </row>
    <row r="172" spans="1:25">
      <c r="A172" s="680" t="s"/>
      <c r="B172" s="837" t="s"/>
      <c r="C172" s="837" t="s"/>
      <c r="D172" s="838" t="s"/>
      <c r="E172" s="837" t="s"/>
      <c r="F172" s="839" t="s"/>
      <c r="G172" s="839" t="s"/>
      <c r="H172" s="840" t="s"/>
      <c r="I172" s="508" t="s"/>
      <c r="J172" s="508" t="s"/>
      <c r="K172" s="508" t="s"/>
      <c r="L172" s="508" t="s"/>
      <c r="M172" s="508" t="s"/>
      <c r="N172" s="508" t="s"/>
      <c r="O172" s="508" t="s"/>
      <c r="P172" s="508" t="s"/>
      <c r="Q172" s="508" t="s"/>
      <c r="R172" s="508" t="s"/>
      <c r="S172" s="508" t="s"/>
      <c r="T172" s="508" t="s"/>
      <c r="U172" s="508" t="s"/>
      <c r="V172" s="508" t="s"/>
      <c r="W172" s="508" t="s"/>
      <c r="X172" s="508" t="s"/>
      <c r="Y172" s="508" t="s"/>
    </row>
    <row r="173" spans="1:25">
      <c r="A173" s="680" t="s"/>
      <c r="B173" s="837" t="s"/>
      <c r="C173" s="837" t="s"/>
      <c r="D173" s="838" t="s"/>
      <c r="E173" s="837" t="s"/>
      <c r="F173" s="839" t="s"/>
      <c r="G173" s="839" t="s"/>
      <c r="H173" s="840" t="s"/>
      <c r="I173" s="508" t="s"/>
      <c r="J173" s="508" t="s"/>
      <c r="K173" s="508" t="s"/>
      <c r="L173" s="508" t="s"/>
      <c r="M173" s="508" t="s"/>
      <c r="N173" s="508" t="s"/>
      <c r="O173" s="508" t="s"/>
      <c r="P173" s="508" t="s"/>
      <c r="Q173" s="508" t="s"/>
      <c r="R173" s="508" t="s"/>
      <c r="S173" s="508" t="s"/>
      <c r="T173" s="508" t="s"/>
      <c r="U173" s="508" t="s"/>
      <c r="V173" s="508" t="s"/>
      <c r="W173" s="508" t="s"/>
      <c r="X173" s="508" t="s"/>
      <c r="Y173" s="508" t="s"/>
    </row>
    <row r="174" spans="1:25">
      <c r="A174" s="680" t="s"/>
      <c r="B174" s="837" t="s"/>
      <c r="C174" s="837" t="s"/>
      <c r="D174" s="838" t="s"/>
      <c r="E174" s="837" t="s"/>
      <c r="F174" s="839" t="s"/>
      <c r="G174" s="839" t="s"/>
      <c r="H174" s="840" t="s"/>
      <c r="I174" s="508" t="s"/>
      <c r="J174" s="508" t="s"/>
      <c r="K174" s="508" t="s"/>
      <c r="L174" s="508" t="s"/>
      <c r="M174" s="508" t="s"/>
      <c r="N174" s="508" t="s"/>
      <c r="O174" s="508" t="s"/>
      <c r="P174" s="508" t="s"/>
      <c r="Q174" s="508" t="s"/>
      <c r="R174" s="508" t="s"/>
      <c r="S174" s="508" t="s"/>
      <c r="T174" s="508" t="s"/>
      <c r="U174" s="508" t="s"/>
      <c r="V174" s="508" t="s"/>
      <c r="W174" s="508" t="s"/>
      <c r="X174" s="508" t="s"/>
      <c r="Y174" s="508" t="s"/>
    </row>
    <row r="175" spans="1:25">
      <c r="A175" s="680" t="s"/>
      <c r="B175" s="837" t="s"/>
      <c r="C175" s="837" t="s"/>
      <c r="D175" s="838" t="s"/>
      <c r="E175" s="837" t="s"/>
      <c r="F175" s="839" t="s"/>
      <c r="G175" s="839" t="s"/>
      <c r="H175" s="840" t="s"/>
      <c r="I175" s="508" t="s"/>
      <c r="J175" s="508" t="s"/>
      <c r="K175" s="508" t="s"/>
      <c r="L175" s="508" t="s"/>
      <c r="M175" s="508" t="s"/>
      <c r="N175" s="508" t="s"/>
      <c r="O175" s="508" t="s"/>
      <c r="P175" s="508" t="s"/>
      <c r="Q175" s="508" t="s"/>
      <c r="R175" s="508" t="s"/>
      <c r="S175" s="508" t="s"/>
      <c r="T175" s="508" t="s"/>
      <c r="U175" s="508" t="s"/>
      <c r="V175" s="508" t="s"/>
      <c r="W175" s="508" t="s"/>
      <c r="X175" s="508" t="s"/>
      <c r="Y175" s="508" t="s"/>
    </row>
    <row r="176" spans="1:25">
      <c r="A176" s="680" t="s"/>
      <c r="B176" s="837" t="s"/>
      <c r="C176" s="837" t="s"/>
      <c r="D176" s="838" t="s"/>
      <c r="E176" s="837" t="s"/>
      <c r="F176" s="839" t="s"/>
      <c r="G176" s="839" t="s"/>
      <c r="H176" s="840" t="s"/>
      <c r="I176" s="508" t="s"/>
      <c r="J176" s="508" t="s"/>
      <c r="K176" s="508" t="s"/>
      <c r="L176" s="508" t="s"/>
      <c r="M176" s="508" t="s"/>
      <c r="N176" s="508" t="s"/>
      <c r="O176" s="508" t="s"/>
      <c r="P176" s="508" t="s"/>
      <c r="Q176" s="508" t="s"/>
      <c r="R176" s="508" t="s"/>
      <c r="S176" s="508" t="s"/>
      <c r="T176" s="508" t="s"/>
      <c r="U176" s="508" t="s"/>
      <c r="V176" s="508" t="s"/>
      <c r="W176" s="508" t="s"/>
      <c r="X176" s="508" t="s"/>
      <c r="Y176" s="508" t="s"/>
    </row>
    <row r="177" spans="1:25">
      <c r="A177" s="680" t="s"/>
      <c r="B177" s="837" t="s"/>
      <c r="C177" s="837" t="s"/>
      <c r="D177" s="838" t="s"/>
      <c r="E177" s="837" t="s"/>
      <c r="F177" s="839" t="s"/>
      <c r="G177" s="839" t="s"/>
      <c r="H177" s="840" t="s"/>
      <c r="I177" s="508" t="s"/>
      <c r="J177" s="508" t="s"/>
      <c r="K177" s="508" t="s"/>
      <c r="L177" s="508" t="s"/>
      <c r="M177" s="508" t="s"/>
      <c r="N177" s="508" t="s"/>
      <c r="O177" s="508" t="s"/>
      <c r="P177" s="508" t="s"/>
      <c r="Q177" s="508" t="s"/>
      <c r="R177" s="508" t="s"/>
      <c r="S177" s="508" t="s"/>
      <c r="T177" s="508" t="s"/>
      <c r="U177" s="508" t="s"/>
      <c r="V177" s="508" t="s"/>
      <c r="W177" s="508" t="s"/>
      <c r="X177" s="508" t="s"/>
      <c r="Y177" s="508" t="s"/>
    </row>
    <row r="178" spans="1:25">
      <c r="A178" s="680" t="s"/>
      <c r="B178" s="837" t="s"/>
      <c r="C178" s="837" t="s"/>
      <c r="D178" s="838" t="s"/>
      <c r="E178" s="837" t="s"/>
      <c r="F178" s="839" t="s"/>
      <c r="G178" s="839" t="s"/>
      <c r="H178" s="840" t="s"/>
      <c r="I178" s="508" t="s"/>
      <c r="J178" s="508" t="s"/>
      <c r="K178" s="508" t="s"/>
      <c r="L178" s="508" t="s"/>
      <c r="M178" s="508" t="s"/>
      <c r="N178" s="508" t="s"/>
      <c r="O178" s="508" t="s"/>
      <c r="P178" s="508" t="s"/>
      <c r="Q178" s="508" t="s"/>
      <c r="R178" s="508" t="s"/>
      <c r="S178" s="508" t="s"/>
      <c r="T178" s="508" t="s"/>
      <c r="U178" s="508" t="s"/>
      <c r="V178" s="508" t="s"/>
      <c r="W178" s="508" t="s"/>
      <c r="X178" s="508" t="s"/>
      <c r="Y178" s="508" t="s"/>
    </row>
    <row r="179" spans="1:25">
      <c r="A179" s="680" t="s"/>
      <c r="B179" s="837" t="s"/>
      <c r="C179" s="837" t="s"/>
      <c r="D179" s="838" t="s"/>
      <c r="E179" s="837" t="s"/>
      <c r="F179" s="839" t="s"/>
      <c r="G179" s="839" t="s"/>
      <c r="H179" s="840" t="s"/>
      <c r="I179" s="508" t="s"/>
      <c r="J179" s="508" t="s"/>
      <c r="K179" s="508" t="s"/>
      <c r="L179" s="508" t="s"/>
      <c r="M179" s="508" t="s"/>
      <c r="N179" s="508" t="s"/>
      <c r="O179" s="508" t="s"/>
      <c r="P179" s="508" t="s"/>
      <c r="Q179" s="508" t="s"/>
      <c r="R179" s="508" t="s"/>
      <c r="S179" s="508" t="s"/>
      <c r="T179" s="508" t="s"/>
      <c r="U179" s="508" t="s"/>
      <c r="V179" s="508" t="s"/>
      <c r="W179" s="508" t="s"/>
      <c r="X179" s="508" t="s"/>
      <c r="Y179" s="508" t="s"/>
    </row>
    <row r="180" spans="1:25">
      <c r="A180" s="680" t="s"/>
      <c r="B180" s="837" t="s"/>
      <c r="C180" s="837" t="s"/>
      <c r="D180" s="838" t="s"/>
      <c r="E180" s="837" t="s"/>
      <c r="F180" s="839" t="s"/>
      <c r="G180" s="839" t="s"/>
      <c r="H180" s="840" t="s"/>
      <c r="I180" s="508" t="s"/>
      <c r="J180" s="508" t="s"/>
      <c r="K180" s="508" t="s"/>
      <c r="L180" s="508" t="s"/>
      <c r="M180" s="508" t="s"/>
      <c r="N180" s="508" t="s"/>
      <c r="O180" s="508" t="s"/>
      <c r="P180" s="508" t="s"/>
      <c r="Q180" s="508" t="s"/>
      <c r="R180" s="508" t="s"/>
      <c r="S180" s="508" t="s"/>
      <c r="T180" s="508" t="s"/>
      <c r="U180" s="508" t="s"/>
      <c r="V180" s="508" t="s"/>
      <c r="W180" s="508" t="s"/>
      <c r="X180" s="508" t="s"/>
      <c r="Y180" s="508" t="s"/>
    </row>
    <row r="181" spans="1:25">
      <c r="A181" s="680" t="s"/>
      <c r="B181" s="837" t="s"/>
      <c r="C181" s="837" t="s"/>
      <c r="D181" s="838" t="s"/>
      <c r="E181" s="837" t="s"/>
      <c r="F181" s="839" t="s"/>
      <c r="G181" s="839" t="s"/>
      <c r="H181" s="840" t="s"/>
      <c r="I181" s="508" t="s"/>
      <c r="J181" s="508" t="s"/>
      <c r="K181" s="508" t="s"/>
      <c r="L181" s="508" t="s"/>
      <c r="M181" s="508" t="s"/>
      <c r="N181" s="508" t="s"/>
      <c r="O181" s="508" t="s"/>
      <c r="P181" s="508" t="s"/>
      <c r="Q181" s="508" t="s"/>
      <c r="R181" s="508" t="s"/>
      <c r="S181" s="508" t="s"/>
      <c r="T181" s="508" t="s"/>
      <c r="U181" s="508" t="s"/>
      <c r="V181" s="508" t="s"/>
      <c r="W181" s="508" t="s"/>
      <c r="X181" s="508" t="s"/>
      <c r="Y181" s="508" t="s"/>
    </row>
    <row r="182" spans="1:25">
      <c r="A182" s="680" t="s"/>
      <c r="B182" s="837" t="s"/>
      <c r="C182" s="837" t="s"/>
      <c r="D182" s="838" t="s"/>
      <c r="E182" s="837" t="s"/>
      <c r="F182" s="839" t="s"/>
      <c r="G182" s="839" t="s"/>
      <c r="H182" s="840" t="s"/>
      <c r="I182" s="508" t="s"/>
      <c r="J182" s="508" t="s"/>
      <c r="K182" s="508" t="s"/>
      <c r="L182" s="508" t="s"/>
      <c r="M182" s="508" t="s"/>
      <c r="N182" s="508" t="s"/>
      <c r="O182" s="508" t="s"/>
      <c r="P182" s="508" t="s"/>
      <c r="Q182" s="508" t="s"/>
      <c r="R182" s="508" t="s"/>
      <c r="S182" s="508" t="s"/>
      <c r="T182" s="508" t="s"/>
      <c r="U182" s="508" t="s"/>
      <c r="V182" s="508" t="s"/>
      <c r="W182" s="508" t="s"/>
      <c r="X182" s="508" t="s"/>
      <c r="Y182" s="508" t="s"/>
    </row>
    <row r="183" spans="1:25">
      <c r="A183" s="680" t="s"/>
      <c r="B183" s="837" t="s"/>
      <c r="C183" s="837" t="s"/>
      <c r="D183" s="838" t="s"/>
      <c r="E183" s="837" t="s"/>
      <c r="F183" s="839" t="s"/>
      <c r="G183" s="839" t="s"/>
      <c r="H183" s="840" t="s"/>
      <c r="I183" s="508" t="s"/>
      <c r="J183" s="508" t="s"/>
      <c r="K183" s="508" t="s"/>
      <c r="L183" s="508" t="s"/>
      <c r="M183" s="508" t="s"/>
      <c r="N183" s="508" t="s"/>
      <c r="O183" s="508" t="s"/>
      <c r="P183" s="508" t="s"/>
      <c r="Q183" s="508" t="s"/>
      <c r="R183" s="508" t="s"/>
      <c r="S183" s="508" t="s"/>
      <c r="T183" s="508" t="s"/>
      <c r="U183" s="508" t="s"/>
      <c r="V183" s="508" t="s"/>
      <c r="W183" s="508" t="s"/>
      <c r="X183" s="508" t="s"/>
      <c r="Y183" s="508" t="s"/>
    </row>
    <row r="184" spans="1:25">
      <c r="A184" s="680" t="s"/>
      <c r="B184" s="837" t="s"/>
      <c r="C184" s="837" t="s"/>
      <c r="D184" s="838" t="s"/>
      <c r="E184" s="837" t="s"/>
      <c r="F184" s="839" t="s"/>
      <c r="G184" s="839" t="s"/>
      <c r="H184" s="840" t="s"/>
      <c r="I184" s="508" t="s"/>
      <c r="J184" s="508" t="s"/>
      <c r="K184" s="508" t="s"/>
      <c r="L184" s="508" t="s"/>
      <c r="M184" s="508" t="s"/>
      <c r="N184" s="508" t="s"/>
      <c r="O184" s="508" t="s"/>
      <c r="P184" s="508" t="s"/>
      <c r="Q184" s="508" t="s"/>
      <c r="R184" s="508" t="s"/>
      <c r="S184" s="508" t="s"/>
      <c r="T184" s="508" t="s"/>
      <c r="U184" s="508" t="s"/>
      <c r="V184" s="508" t="s"/>
      <c r="W184" s="508" t="s"/>
      <c r="X184" s="508" t="s"/>
      <c r="Y184" s="508" t="s"/>
    </row>
    <row r="185" spans="1:25">
      <c r="A185" s="680" t="s"/>
      <c r="B185" s="837" t="s"/>
      <c r="C185" s="837" t="s"/>
      <c r="D185" s="838" t="s"/>
      <c r="E185" s="837" t="s"/>
      <c r="F185" s="839" t="s"/>
      <c r="G185" s="839" t="s"/>
      <c r="H185" s="840" t="s"/>
      <c r="I185" s="508" t="s"/>
      <c r="J185" s="508" t="s"/>
      <c r="K185" s="508" t="s"/>
      <c r="L185" s="508" t="s"/>
      <c r="M185" s="508" t="s"/>
      <c r="N185" s="508" t="s"/>
      <c r="O185" s="508" t="s"/>
      <c r="P185" s="508" t="s"/>
      <c r="Q185" s="508" t="s"/>
      <c r="R185" s="508" t="s"/>
      <c r="S185" s="508" t="s"/>
      <c r="T185" s="508" t="s"/>
      <c r="U185" s="508" t="s"/>
      <c r="V185" s="508" t="s"/>
      <c r="W185" s="508" t="s"/>
      <c r="X185" s="508" t="s"/>
      <c r="Y185" s="508" t="s"/>
    </row>
    <row r="186" spans="1:25">
      <c r="A186" s="680" t="s"/>
      <c r="B186" s="837" t="s"/>
      <c r="C186" s="837" t="s"/>
      <c r="D186" s="838" t="s"/>
      <c r="E186" s="837" t="s"/>
      <c r="F186" s="839" t="s"/>
      <c r="G186" s="839" t="s"/>
      <c r="H186" s="840" t="s"/>
      <c r="I186" s="508" t="s"/>
      <c r="J186" s="508" t="s"/>
      <c r="K186" s="508" t="s"/>
      <c r="L186" s="508" t="s"/>
      <c r="M186" s="508" t="s"/>
      <c r="N186" s="508" t="s"/>
      <c r="O186" s="508" t="s"/>
      <c r="P186" s="508" t="s"/>
      <c r="Q186" s="508" t="s"/>
      <c r="R186" s="508" t="s"/>
      <c r="S186" s="508" t="s"/>
      <c r="T186" s="508" t="s"/>
      <c r="U186" s="508" t="s"/>
      <c r="V186" s="508" t="s"/>
      <c r="W186" s="508" t="s"/>
      <c r="X186" s="508" t="s"/>
      <c r="Y186" s="508" t="s"/>
    </row>
    <row r="187" spans="1:25">
      <c r="A187" s="680" t="s"/>
      <c r="B187" s="837" t="s"/>
      <c r="C187" s="837" t="s"/>
      <c r="D187" s="838" t="s"/>
      <c r="E187" s="837" t="s"/>
      <c r="F187" s="839" t="s"/>
      <c r="G187" s="839" t="s"/>
      <c r="H187" s="840" t="s"/>
      <c r="I187" s="508" t="s"/>
      <c r="J187" s="508" t="s"/>
      <c r="K187" s="508" t="s"/>
      <c r="L187" s="508" t="s"/>
      <c r="M187" s="508" t="s"/>
      <c r="N187" s="508" t="s"/>
      <c r="O187" s="508" t="s"/>
      <c r="P187" s="508" t="s"/>
      <c r="Q187" s="508" t="s"/>
      <c r="R187" s="508" t="s"/>
      <c r="S187" s="508" t="s"/>
      <c r="T187" s="508" t="s"/>
      <c r="U187" s="508" t="s"/>
      <c r="V187" s="508" t="s"/>
      <c r="W187" s="508" t="s"/>
      <c r="X187" s="508" t="s"/>
      <c r="Y187" s="508" t="s"/>
    </row>
    <row r="188" spans="1:25">
      <c r="A188" s="680" t="s"/>
      <c r="B188" s="837" t="s"/>
      <c r="C188" s="837" t="s"/>
      <c r="D188" s="838" t="s"/>
      <c r="E188" s="837" t="s"/>
      <c r="F188" s="839" t="s"/>
      <c r="G188" s="839" t="s"/>
      <c r="H188" s="840" t="s"/>
      <c r="I188" s="508" t="s"/>
      <c r="J188" s="508" t="s"/>
      <c r="K188" s="508" t="s"/>
      <c r="L188" s="508" t="s"/>
      <c r="M188" s="508" t="s"/>
      <c r="N188" s="508" t="s"/>
      <c r="O188" s="508" t="s"/>
      <c r="P188" s="508" t="s"/>
      <c r="Q188" s="508" t="s"/>
      <c r="R188" s="508" t="s"/>
      <c r="S188" s="508" t="s"/>
      <c r="T188" s="508" t="s"/>
      <c r="U188" s="508" t="s"/>
      <c r="V188" s="508" t="s"/>
      <c r="W188" s="508" t="s"/>
      <c r="X188" s="508" t="s"/>
      <c r="Y188" s="508" t="s"/>
    </row>
    <row r="189" spans="1:25">
      <c r="A189" s="680" t="s"/>
      <c r="B189" s="837" t="s"/>
      <c r="C189" s="837" t="s"/>
      <c r="D189" s="838" t="s"/>
      <c r="E189" s="837" t="s"/>
      <c r="F189" s="839" t="s"/>
      <c r="G189" s="839" t="s"/>
      <c r="H189" s="840" t="s"/>
      <c r="I189" s="508" t="s"/>
      <c r="J189" s="508" t="s"/>
      <c r="K189" s="508" t="s"/>
      <c r="L189" s="508" t="s"/>
      <c r="M189" s="508" t="s"/>
      <c r="N189" s="508" t="s"/>
      <c r="O189" s="508" t="s"/>
      <c r="P189" s="508" t="s"/>
      <c r="Q189" s="508" t="s"/>
      <c r="R189" s="508" t="s"/>
      <c r="S189" s="508" t="s"/>
      <c r="T189" s="508" t="s"/>
      <c r="U189" s="508" t="s"/>
      <c r="V189" s="508" t="s"/>
      <c r="W189" s="508" t="s"/>
      <c r="X189" s="508" t="s"/>
      <c r="Y189" s="508" t="s"/>
    </row>
    <row r="190" spans="1:25">
      <c r="A190" s="680" t="s"/>
      <c r="B190" s="837" t="s"/>
      <c r="C190" s="837" t="s"/>
      <c r="D190" s="838" t="s"/>
      <c r="E190" s="837" t="s"/>
      <c r="F190" s="839" t="s"/>
      <c r="G190" s="839" t="s"/>
      <c r="H190" s="840" t="s"/>
      <c r="I190" s="508" t="s"/>
      <c r="J190" s="508" t="s"/>
      <c r="K190" s="508" t="s"/>
      <c r="L190" s="508" t="s"/>
      <c r="M190" s="508" t="s"/>
      <c r="N190" s="508" t="s"/>
      <c r="O190" s="508" t="s"/>
      <c r="P190" s="508" t="s"/>
      <c r="Q190" s="508" t="s"/>
      <c r="R190" s="508" t="s"/>
      <c r="S190" s="508" t="s"/>
      <c r="T190" s="508" t="s"/>
      <c r="U190" s="508" t="s"/>
      <c r="V190" s="508" t="s"/>
      <c r="W190" s="508" t="s"/>
      <c r="X190" s="508" t="s"/>
      <c r="Y190" s="508" t="s"/>
    </row>
    <row r="191" spans="1:25">
      <c r="A191" s="680" t="s"/>
      <c r="B191" s="837" t="s"/>
      <c r="C191" s="837" t="s"/>
      <c r="D191" s="838" t="s"/>
      <c r="E191" s="837" t="s"/>
      <c r="F191" s="839" t="s"/>
      <c r="G191" s="839" t="s"/>
      <c r="H191" s="840" t="s"/>
      <c r="I191" s="508" t="s"/>
      <c r="J191" s="508" t="s"/>
      <c r="K191" s="508" t="s"/>
      <c r="L191" s="508" t="s"/>
      <c r="M191" s="508" t="s"/>
      <c r="N191" s="508" t="s"/>
      <c r="O191" s="508" t="s"/>
      <c r="P191" s="508" t="s"/>
      <c r="Q191" s="508" t="s"/>
      <c r="R191" s="508" t="s"/>
      <c r="S191" s="508" t="s"/>
      <c r="T191" s="508" t="s"/>
      <c r="U191" s="508" t="s"/>
      <c r="V191" s="508" t="s"/>
      <c r="W191" s="508" t="s"/>
      <c r="X191" s="508" t="s"/>
      <c r="Y191" s="508" t="s"/>
    </row>
    <row r="192" spans="1:25">
      <c r="A192" s="680" t="s"/>
      <c r="B192" s="837" t="s"/>
      <c r="C192" s="837" t="s"/>
      <c r="D192" s="838" t="s"/>
      <c r="E192" s="837" t="s"/>
      <c r="F192" s="839" t="s"/>
      <c r="G192" s="839" t="s"/>
      <c r="H192" s="840" t="s"/>
      <c r="I192" s="508" t="s"/>
      <c r="J192" s="508" t="s"/>
      <c r="K192" s="508" t="s"/>
      <c r="L192" s="508" t="s"/>
      <c r="M192" s="508" t="s"/>
      <c r="N192" s="508" t="s"/>
      <c r="O192" s="508" t="s"/>
      <c r="P192" s="508" t="s"/>
      <c r="Q192" s="508" t="s"/>
      <c r="R192" s="508" t="s"/>
      <c r="S192" s="508" t="s"/>
      <c r="T192" s="508" t="s"/>
      <c r="U192" s="508" t="s"/>
      <c r="V192" s="508" t="s"/>
      <c r="W192" s="508" t="s"/>
      <c r="X192" s="508" t="s"/>
      <c r="Y192" s="508" t="s"/>
    </row>
    <row r="193" spans="1:25">
      <c r="A193" s="680" t="s"/>
      <c r="B193" s="837" t="s"/>
      <c r="C193" s="837" t="s"/>
      <c r="D193" s="838" t="s"/>
      <c r="E193" s="837" t="s"/>
      <c r="F193" s="839" t="s"/>
      <c r="G193" s="839" t="s"/>
      <c r="H193" s="840" t="s"/>
      <c r="I193" s="508" t="s"/>
      <c r="J193" s="508" t="s"/>
      <c r="K193" s="508" t="s"/>
      <c r="L193" s="508" t="s"/>
      <c r="M193" s="508" t="s"/>
      <c r="N193" s="508" t="s"/>
      <c r="O193" s="508" t="s"/>
      <c r="P193" s="508" t="s"/>
      <c r="Q193" s="508" t="s"/>
      <c r="R193" s="508" t="s"/>
      <c r="S193" s="508" t="s"/>
      <c r="T193" s="508" t="s"/>
      <c r="U193" s="508" t="s"/>
      <c r="V193" s="508" t="s"/>
      <c r="W193" s="508" t="s"/>
      <c r="X193" s="508" t="s"/>
      <c r="Y193" s="508" t="s"/>
    </row>
    <row r="194" spans="1:25">
      <c r="A194" s="680" t="s"/>
      <c r="B194" s="837" t="s"/>
      <c r="C194" s="837" t="s"/>
      <c r="D194" s="838" t="s"/>
      <c r="E194" s="837" t="s"/>
      <c r="F194" s="839" t="s"/>
      <c r="G194" s="839" t="s"/>
      <c r="H194" s="840" t="s"/>
      <c r="I194" s="508" t="s"/>
      <c r="J194" s="508" t="s"/>
      <c r="K194" s="508" t="s"/>
      <c r="L194" s="508" t="s"/>
      <c r="M194" s="508" t="s"/>
      <c r="N194" s="508" t="s"/>
      <c r="O194" s="508" t="s"/>
      <c r="P194" s="508" t="s"/>
      <c r="Q194" s="508" t="s"/>
      <c r="R194" s="508" t="s"/>
      <c r="S194" s="508" t="s"/>
      <c r="T194" s="508" t="s"/>
      <c r="U194" s="508" t="s"/>
      <c r="V194" s="508" t="s"/>
      <c r="W194" s="508" t="s"/>
      <c r="X194" s="508" t="s"/>
      <c r="Y194" s="508" t="s"/>
    </row>
    <row r="195" spans="1:25">
      <c r="A195" s="680" t="s"/>
      <c r="B195" s="837" t="s"/>
      <c r="C195" s="837" t="s"/>
      <c r="D195" s="838" t="s"/>
      <c r="E195" s="837" t="s"/>
      <c r="F195" s="839" t="s"/>
      <c r="G195" s="839" t="s"/>
      <c r="H195" s="840" t="s"/>
      <c r="I195" s="508" t="s"/>
      <c r="J195" s="508" t="s"/>
      <c r="K195" s="508" t="s"/>
      <c r="L195" s="508" t="s"/>
      <c r="M195" s="508" t="s"/>
      <c r="N195" s="508" t="s"/>
      <c r="O195" s="508" t="s"/>
      <c r="P195" s="508" t="s"/>
      <c r="Q195" s="508" t="s"/>
      <c r="R195" s="508" t="s"/>
      <c r="S195" s="508" t="s"/>
      <c r="T195" s="508" t="s"/>
      <c r="U195" s="508" t="s"/>
      <c r="V195" s="508" t="s"/>
      <c r="W195" s="508" t="s"/>
      <c r="X195" s="508" t="s"/>
      <c r="Y195" s="508" t="s"/>
    </row>
    <row r="196" spans="1:25">
      <c r="A196" s="680" t="s"/>
      <c r="B196" s="837" t="s"/>
      <c r="C196" s="837" t="s"/>
      <c r="D196" s="838" t="s"/>
      <c r="E196" s="837" t="s"/>
      <c r="F196" s="839" t="s"/>
      <c r="G196" s="839" t="s"/>
      <c r="H196" s="840" t="s"/>
      <c r="I196" s="508" t="s"/>
      <c r="J196" s="508" t="s"/>
      <c r="K196" s="508" t="s"/>
      <c r="L196" s="508" t="s"/>
      <c r="M196" s="508" t="s"/>
      <c r="N196" s="508" t="s"/>
      <c r="O196" s="508" t="s"/>
      <c r="P196" s="508" t="s"/>
      <c r="Q196" s="508" t="s"/>
      <c r="R196" s="508" t="s"/>
      <c r="S196" s="508" t="s"/>
      <c r="T196" s="508" t="s"/>
      <c r="U196" s="508" t="s"/>
      <c r="V196" s="508" t="s"/>
      <c r="W196" s="508" t="s"/>
      <c r="X196" s="508" t="s"/>
      <c r="Y196" s="508" t="s"/>
    </row>
    <row r="197" spans="1:25">
      <c r="A197" s="680" t="s"/>
      <c r="B197" s="837" t="s"/>
      <c r="C197" s="837" t="s"/>
      <c r="D197" s="838" t="s"/>
      <c r="E197" s="837" t="s"/>
      <c r="F197" s="839" t="s"/>
      <c r="G197" s="839" t="s"/>
      <c r="H197" s="840" t="s"/>
      <c r="I197" s="508" t="s"/>
      <c r="J197" s="508" t="s"/>
      <c r="K197" s="508" t="s"/>
      <c r="L197" s="508" t="s"/>
      <c r="M197" s="508" t="s"/>
      <c r="N197" s="508" t="s"/>
      <c r="O197" s="508" t="s"/>
      <c r="P197" s="508" t="s"/>
      <c r="Q197" s="508" t="s"/>
      <c r="R197" s="508" t="s"/>
      <c r="S197" s="508" t="s"/>
      <c r="T197" s="508" t="s"/>
      <c r="U197" s="508" t="s"/>
      <c r="V197" s="508" t="s"/>
      <c r="W197" s="508" t="s"/>
      <c r="X197" s="508" t="s"/>
      <c r="Y197" s="508" t="s"/>
    </row>
    <row r="198" spans="1:25">
      <c r="A198" s="680" t="s"/>
      <c r="B198" s="837" t="s"/>
      <c r="C198" s="837" t="s"/>
      <c r="D198" s="838" t="s"/>
      <c r="E198" s="837" t="s"/>
      <c r="F198" s="839" t="s"/>
      <c r="G198" s="839" t="s"/>
      <c r="H198" s="840" t="s"/>
      <c r="I198" s="508" t="s"/>
      <c r="J198" s="508" t="s"/>
      <c r="K198" s="508" t="s"/>
      <c r="L198" s="508" t="s"/>
      <c r="M198" s="508" t="s"/>
      <c r="N198" s="508" t="s"/>
      <c r="O198" s="508" t="s"/>
      <c r="P198" s="508" t="s"/>
      <c r="Q198" s="508" t="s"/>
      <c r="R198" s="508" t="s"/>
      <c r="S198" s="508" t="s"/>
      <c r="T198" s="508" t="s"/>
      <c r="U198" s="508" t="s"/>
      <c r="V198" s="508" t="s"/>
      <c r="W198" s="508" t="s"/>
      <c r="X198" s="508" t="s"/>
      <c r="Y198" s="508" t="s"/>
    </row>
    <row r="199" spans="1:25">
      <c r="A199" s="680" t="s"/>
      <c r="B199" s="837" t="s"/>
      <c r="C199" s="837" t="s"/>
      <c r="D199" s="838" t="s"/>
      <c r="E199" s="837" t="s"/>
      <c r="F199" s="839" t="s"/>
      <c r="G199" s="839" t="s"/>
      <c r="H199" s="840" t="s"/>
      <c r="I199" s="508" t="s"/>
      <c r="J199" s="508" t="s"/>
      <c r="K199" s="508" t="s"/>
      <c r="L199" s="508" t="s"/>
      <c r="M199" s="508" t="s"/>
      <c r="N199" s="508" t="s"/>
      <c r="O199" s="508" t="s"/>
      <c r="P199" s="508" t="s"/>
      <c r="Q199" s="508" t="s"/>
      <c r="R199" s="508" t="s"/>
      <c r="S199" s="508" t="s"/>
      <c r="T199" s="508" t="s"/>
      <c r="U199" s="508" t="s"/>
      <c r="V199" s="508" t="s"/>
      <c r="W199" s="508" t="s"/>
      <c r="X199" s="508" t="s"/>
      <c r="Y199" s="508" t="s"/>
    </row>
    <row r="200" spans="1:25">
      <c r="A200" s="680" t="s"/>
      <c r="B200" s="837" t="s"/>
      <c r="C200" s="837" t="s"/>
      <c r="D200" s="838" t="s"/>
      <c r="E200" s="837" t="s"/>
      <c r="F200" s="839" t="s"/>
      <c r="G200" s="839" t="s"/>
      <c r="H200" s="840" t="s"/>
      <c r="I200" s="508" t="s"/>
      <c r="J200" s="508" t="s"/>
      <c r="K200" s="508" t="s"/>
      <c r="L200" s="508" t="s"/>
      <c r="M200" s="508" t="s"/>
      <c r="N200" s="508" t="s"/>
      <c r="O200" s="508" t="s"/>
      <c r="P200" s="508" t="s"/>
      <c r="Q200" s="508" t="s"/>
      <c r="R200" s="508" t="s"/>
      <c r="S200" s="508" t="s"/>
      <c r="T200" s="508" t="s"/>
      <c r="U200" s="508" t="s"/>
      <c r="V200" s="508" t="s"/>
      <c r="W200" s="508" t="s"/>
      <c r="X200" s="508" t="s"/>
      <c r="Y200" s="508" t="s"/>
    </row>
    <row r="201" spans="1:25">
      <c r="A201" s="680" t="s"/>
      <c r="B201" s="837" t="s"/>
      <c r="C201" s="837" t="s"/>
      <c r="D201" s="838" t="s"/>
      <c r="E201" s="837" t="s"/>
      <c r="F201" s="839" t="s"/>
      <c r="G201" s="839" t="s"/>
      <c r="H201" s="840" t="s"/>
      <c r="I201" s="508" t="s"/>
      <c r="J201" s="508" t="s"/>
      <c r="K201" s="508" t="s"/>
      <c r="L201" s="508" t="s"/>
      <c r="M201" s="508" t="s"/>
      <c r="N201" s="508" t="s"/>
      <c r="O201" s="508" t="s"/>
      <c r="P201" s="508" t="s"/>
      <c r="Q201" s="508" t="s"/>
      <c r="R201" s="508" t="s"/>
      <c r="S201" s="508" t="s"/>
      <c r="T201" s="508" t="s"/>
      <c r="U201" s="508" t="s"/>
      <c r="V201" s="508" t="s"/>
      <c r="W201" s="508" t="s"/>
      <c r="X201" s="508" t="s"/>
      <c r="Y201" s="508" t="s"/>
    </row>
    <row r="202" spans="1:25">
      <c r="A202" s="680" t="s"/>
      <c r="B202" s="837" t="s"/>
      <c r="C202" s="837" t="s"/>
      <c r="D202" s="838" t="s"/>
      <c r="E202" s="837" t="s"/>
      <c r="F202" s="839" t="s"/>
      <c r="G202" s="839" t="s"/>
      <c r="H202" s="840" t="s"/>
      <c r="I202" s="508" t="s"/>
      <c r="J202" s="508" t="s"/>
      <c r="K202" s="508" t="s"/>
      <c r="L202" s="508" t="s"/>
      <c r="M202" s="508" t="s"/>
      <c r="N202" s="508" t="s"/>
      <c r="O202" s="508" t="s"/>
      <c r="P202" s="508" t="s"/>
      <c r="Q202" s="508" t="s"/>
      <c r="R202" s="508" t="s"/>
      <c r="S202" s="508" t="s"/>
      <c r="T202" s="508" t="s"/>
      <c r="U202" s="508" t="s"/>
      <c r="V202" s="508" t="s"/>
      <c r="W202" s="508" t="s"/>
      <c r="X202" s="508" t="s"/>
      <c r="Y202" s="508" t="s"/>
    </row>
    <row r="203" spans="1:25">
      <c r="A203" s="680" t="s"/>
      <c r="B203" s="837" t="s"/>
      <c r="C203" s="837" t="s"/>
      <c r="D203" s="838" t="s"/>
      <c r="E203" s="837" t="s"/>
      <c r="F203" s="839" t="s"/>
      <c r="G203" s="839" t="s"/>
      <c r="H203" s="840" t="s"/>
      <c r="I203" s="508" t="s"/>
      <c r="J203" s="508" t="s"/>
      <c r="K203" s="508" t="s"/>
      <c r="L203" s="508" t="s"/>
      <c r="M203" s="508" t="s"/>
      <c r="N203" s="508" t="s"/>
      <c r="O203" s="508" t="s"/>
      <c r="P203" s="508" t="s"/>
      <c r="Q203" s="508" t="s"/>
      <c r="R203" s="508" t="s"/>
      <c r="S203" s="508" t="s"/>
      <c r="T203" s="508" t="s"/>
      <c r="U203" s="508" t="s"/>
      <c r="V203" s="508" t="s"/>
      <c r="W203" s="508" t="s"/>
      <c r="X203" s="508" t="s"/>
      <c r="Y203" s="508" t="s"/>
    </row>
    <row r="204" spans="1:25">
      <c r="A204" s="680" t="s"/>
      <c r="B204" s="837" t="s"/>
      <c r="C204" s="837" t="s"/>
      <c r="D204" s="838" t="s"/>
      <c r="E204" s="837" t="s"/>
      <c r="F204" s="839" t="s"/>
      <c r="G204" s="839" t="s"/>
      <c r="H204" s="840" t="s"/>
      <c r="I204" s="508" t="s"/>
      <c r="J204" s="508" t="s"/>
      <c r="K204" s="508" t="s"/>
      <c r="L204" s="508" t="s"/>
      <c r="M204" s="508" t="s"/>
      <c r="N204" s="508" t="s"/>
      <c r="O204" s="508" t="s"/>
      <c r="P204" s="508" t="s"/>
      <c r="Q204" s="508" t="s"/>
      <c r="R204" s="508" t="s"/>
      <c r="S204" s="508" t="s"/>
      <c r="T204" s="508" t="s"/>
      <c r="U204" s="508" t="s"/>
      <c r="V204" s="508" t="s"/>
      <c r="W204" s="508" t="s"/>
      <c r="X204" s="508" t="s"/>
      <c r="Y204" s="508" t="s"/>
    </row>
    <row r="205" spans="1:25">
      <c r="A205" s="680" t="s"/>
      <c r="B205" s="837" t="s"/>
      <c r="C205" s="837" t="s"/>
      <c r="D205" s="838" t="s"/>
      <c r="E205" s="837" t="s"/>
      <c r="F205" s="839" t="s"/>
      <c r="G205" s="839" t="s"/>
      <c r="H205" s="840" t="s"/>
      <c r="I205" s="508" t="s"/>
      <c r="J205" s="508" t="s"/>
      <c r="K205" s="508" t="s"/>
      <c r="L205" s="508" t="s"/>
      <c r="M205" s="508" t="s"/>
      <c r="N205" s="508" t="s"/>
      <c r="O205" s="508" t="s"/>
      <c r="P205" s="508" t="s"/>
      <c r="Q205" s="508" t="s"/>
      <c r="R205" s="508" t="s"/>
      <c r="S205" s="508" t="s"/>
      <c r="T205" s="508" t="s"/>
      <c r="U205" s="508" t="s"/>
      <c r="V205" s="508" t="s"/>
      <c r="W205" s="508" t="s"/>
      <c r="X205" s="508" t="s"/>
      <c r="Y205" s="508" t="s"/>
    </row>
    <row r="206" spans="1:25">
      <c r="A206" s="680" t="s"/>
      <c r="B206" s="837" t="s"/>
      <c r="C206" s="837" t="s"/>
      <c r="D206" s="838" t="s"/>
      <c r="E206" s="837" t="s"/>
      <c r="F206" s="839" t="s"/>
      <c r="G206" s="839" t="s"/>
      <c r="H206" s="840" t="s"/>
      <c r="I206" s="508" t="s"/>
      <c r="J206" s="508" t="s"/>
      <c r="K206" s="508" t="s"/>
      <c r="L206" s="508" t="s"/>
      <c r="M206" s="508" t="s"/>
      <c r="N206" s="508" t="s"/>
      <c r="O206" s="508" t="s"/>
      <c r="P206" s="508" t="s"/>
      <c r="Q206" s="508" t="s"/>
      <c r="R206" s="508" t="s"/>
      <c r="S206" s="508" t="s"/>
      <c r="T206" s="508" t="s"/>
      <c r="U206" s="508" t="s"/>
      <c r="V206" s="508" t="s"/>
      <c r="W206" s="508" t="s"/>
      <c r="X206" s="508" t="s"/>
      <c r="Y206" s="508" t="s"/>
    </row>
    <row r="207" spans="1:25">
      <c r="A207" s="680" t="s"/>
      <c r="B207" s="837" t="s"/>
      <c r="C207" s="837" t="s"/>
      <c r="D207" s="838" t="s"/>
      <c r="E207" s="837" t="s"/>
      <c r="F207" s="839" t="s"/>
      <c r="G207" s="839" t="s"/>
      <c r="H207" s="840" t="s"/>
      <c r="I207" s="508" t="s"/>
      <c r="J207" s="508" t="s"/>
      <c r="K207" s="508" t="s"/>
      <c r="L207" s="508" t="s"/>
      <c r="M207" s="508" t="s"/>
      <c r="N207" s="508" t="s"/>
      <c r="O207" s="508" t="s"/>
      <c r="P207" s="508" t="s"/>
      <c r="Q207" s="508" t="s"/>
      <c r="R207" s="508" t="s"/>
      <c r="S207" s="508" t="s"/>
      <c r="T207" s="508" t="s"/>
      <c r="U207" s="508" t="s"/>
      <c r="V207" s="508" t="s"/>
      <c r="W207" s="508" t="s"/>
      <c r="X207" s="508" t="s"/>
      <c r="Y207" s="508" t="s"/>
    </row>
    <row r="208" spans="1:25">
      <c r="A208" s="680" t="s"/>
      <c r="B208" s="837" t="s"/>
      <c r="C208" s="837" t="s"/>
      <c r="D208" s="680" t="s"/>
      <c r="E208" s="837" t="s"/>
      <c r="F208" s="837" t="s"/>
      <c r="G208" s="680" t="s"/>
      <c r="H208" s="840" t="s"/>
      <c r="I208" s="508" t="s"/>
      <c r="J208" s="508" t="s"/>
      <c r="K208" s="508" t="s"/>
      <c r="L208" s="508" t="s"/>
      <c r="M208" s="508" t="s"/>
      <c r="N208" s="508" t="s"/>
      <c r="O208" s="508" t="s"/>
      <c r="P208" s="508" t="s"/>
      <c r="Q208" s="508" t="s"/>
      <c r="R208" s="508" t="s"/>
      <c r="S208" s="508" t="s"/>
      <c r="T208" s="508" t="s"/>
      <c r="U208" s="508" t="s"/>
      <c r="V208" s="508" t="s"/>
      <c r="W208" s="508" t="s"/>
      <c r="X208" s="508" t="s"/>
      <c r="Y208" s="508" t="s"/>
    </row>
    <row r="209" spans="1:25">
      <c r="A209" s="680" t="s"/>
      <c r="B209" s="837" t="s"/>
      <c r="C209" s="837" t="s"/>
      <c r="D209" s="680" t="s"/>
      <c r="E209" s="837" t="s"/>
      <c r="F209" s="837" t="s"/>
      <c r="G209" s="680" t="s"/>
      <c r="H209" s="840" t="s"/>
      <c r="I209" s="508" t="s"/>
      <c r="J209" s="508" t="s"/>
      <c r="K209" s="508" t="s"/>
      <c r="L209" s="508" t="s"/>
      <c r="M209" s="508" t="s"/>
      <c r="N209" s="508" t="s"/>
      <c r="O209" s="508" t="s"/>
      <c r="P209" s="508" t="s"/>
      <c r="Q209" s="508" t="s"/>
      <c r="R209" s="508" t="s"/>
      <c r="S209" s="508" t="s"/>
      <c r="T209" s="508" t="s"/>
      <c r="U209" s="508" t="s"/>
      <c r="V209" s="508" t="s"/>
      <c r="W209" s="508" t="s"/>
      <c r="X209" s="508" t="s"/>
      <c r="Y209" s="508" t="s"/>
    </row>
  </sheetData>
  <autoFilter ref="A3:L46">
    <filterColumn colId="3">
      <filters blank="false">
        <filter val="储备需求"/>
        <filter val="替补需求"/>
        <filter val="新增需求"/>
      </filters>
    </filterColumn>
    <sortState ref="A4:L46"/>
  </autoFilter>
  <mergeCells count="35">
    <mergeCell ref="A1:H1"/>
    <mergeCell ref="J1:L1"/>
    <mergeCell ref="A2:H2"/>
    <mergeCell ref="I2:L2"/>
    <mergeCell ref="A18:A22"/>
    <mergeCell ref="B18:B22"/>
    <mergeCell ref="C18:C22"/>
    <mergeCell ref="L18:L22"/>
    <mergeCell ref="B39:B42"/>
    <mergeCell ref="A23:A29"/>
    <mergeCell ref="B23:B29"/>
    <mergeCell ref="C23:C29"/>
    <mergeCell ref="L23:L29"/>
    <mergeCell ref="A7:A10"/>
    <mergeCell ref="B7:B10"/>
    <mergeCell ref="C7:C10"/>
    <mergeCell ref="L7:L10"/>
    <mergeCell ref="L14:L17"/>
    <mergeCell ref="A14:A17"/>
    <mergeCell ref="B14:B17"/>
    <mergeCell ref="C14:C17"/>
    <mergeCell ref="C4:C6"/>
    <mergeCell ref="A4:A6"/>
    <mergeCell ref="B4:B6"/>
    <mergeCell ref="L4:L6"/>
    <mergeCell ref="A11:A13"/>
    <mergeCell ref="C11:C13"/>
    <mergeCell ref="L11:L13"/>
    <mergeCell ref="A30:A35"/>
    <mergeCell ref="C30:C35"/>
    <mergeCell ref="B30:B35"/>
    <mergeCell ref="L30:L35"/>
    <mergeCell ref="A39:A44"/>
    <mergeCell ref="C39:C44"/>
    <mergeCell ref="L39:L44"/>
  </mergeCells>
  <dataValidations>
    <dataValidation type="list" errorStyle="stop" allowBlank="true" showDropDown="false" showInputMessage="true" showErrorMessage="true" prompt="" sqref="G3:G1048576">
      <formula1>"社招,校招,社招&amp;校招,"</formula1>
    </dataValidation>
    <dataValidation type="list" errorStyle="stop" allowBlank="true" showDropDown="false" showInputMessage="true" showErrorMessage="true" prompt="" sqref="A3:A1048576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D3:D1048576">
      <formula1>"新增需求,替补需求,储备需求,上个月未交付延期本月,临时新增,"</formula1>
    </dataValidation>
  </dataValidations>
</worksheet>
</file>

<file path=xl/worksheets/sheet7.xml><?xml version="1.0" encoding="utf-8"?>
<worksheet xmlns="http://schemas.openxmlformats.org/spreadsheetml/2006/main">
  <sheetPr codeName="2026-3">
    <tabColor/>
  </sheetPr>
  <dimension ref="Y217"/>
  <sheetViews>
    <sheetView showGridLines="true" workbookViewId="0">
      <pane ySplit="3" topLeftCell="A4" state="frozen"/>
    </sheetView>
  </sheetViews>
  <sheetFormatPr baseColWidth="13" defaultRowHeight="18" customHeight="true"/>
  <cols>
    <col min="1" max="1" width="16.7227" style="837" customWidth="true"/>
    <col min="2" max="2" width="12.8125" style="837" customWidth="true"/>
    <col min="3" max="3" width="11.7344" style="837" customWidth="true"/>
    <col min="4" max="4" width="13.8906" style="837" customWidth="true"/>
    <col min="5" max="5" width="13.8906" style="837" customWidth="true"/>
    <col min="6" max="6" width="10.9219" style="837" customWidth="true"/>
    <col min="7" max="7" width="13.2109" style="837" customWidth="true"/>
    <col min="8" max="8" width="58.6719" style="840" customWidth="true"/>
    <col min="9" max="11" width="13.6719" style="508"/>
    <col min="12" max="12" width="15.3711" style="508" customWidth="true"/>
    <col min="13" max="25" width="13.6719" style="508"/>
  </cols>
  <sheetData>
    <row r="1" spans="1:25" ht="61.5" customHeight="true">
      <c r="A1" s="845" t="s">
        <v>379</v>
      </c>
      <c r="B1" s="845" t="s"/>
      <c r="I1" s="706" t="s"/>
      <c r="J1" s="706" t="s">
        <v>380</v>
      </c>
      <c r="M1" s="508" t="s"/>
      <c r="N1" s="508" t="s"/>
      <c r="O1" s="508" t="s"/>
      <c r="P1" s="508" t="s"/>
      <c r="Q1" s="508" t="s"/>
      <c r="R1" s="508" t="s"/>
      <c r="S1" s="508" t="s"/>
      <c r="T1" s="508" t="s"/>
      <c r="U1" s="508" t="s"/>
      <c r="V1" s="508" t="s"/>
      <c r="W1" s="508" t="s"/>
      <c r="X1" s="508" t="s"/>
      <c r="Y1" s="508" t="s"/>
    </row>
    <row r="2" spans="1:25" ht="25.5" customHeight="true">
      <c r="A2" s="707" t="s">
        <v>173</v>
      </c>
      <c r="B2" s="708" t="s"/>
      <c r="C2" s="708" t="s"/>
      <c r="D2" s="708" t="s"/>
      <c r="E2" s="709" t="s"/>
      <c r="F2" s="709" t="s"/>
      <c r="G2" s="709" t="s"/>
      <c r="H2" s="709" t="s"/>
      <c r="I2" s="846" t="s">
        <v>174</v>
      </c>
      <c r="J2" s="847" t="s"/>
      <c r="K2" s="847" t="s"/>
      <c r="L2" s="422" t="s"/>
      <c r="M2" s="508" t="s"/>
      <c r="N2" s="508" t="s"/>
      <c r="O2" s="508" t="s"/>
      <c r="P2" s="508" t="s"/>
      <c r="Q2" s="508" t="s"/>
      <c r="R2" s="508" t="s"/>
      <c r="S2" s="508" t="s"/>
      <c r="T2" s="508" t="s"/>
      <c r="U2" s="508" t="s"/>
      <c r="V2" s="508" t="s"/>
      <c r="W2" s="508" t="s"/>
      <c r="X2" s="508" t="s"/>
      <c r="Y2" s="508" t="s"/>
    </row>
    <row r="3" spans="1:25" ht="19.5" customHeight="true">
      <c r="A3" s="848" t="s">
        <v>6</v>
      </c>
      <c r="B3" s="848" t="s">
        <v>175</v>
      </c>
      <c r="C3" s="848" t="s">
        <v>176</v>
      </c>
      <c r="D3" s="849" t="s"/>
      <c r="E3" s="848" t="s">
        <v>9</v>
      </c>
      <c r="F3" s="848" t="s">
        <v>10</v>
      </c>
      <c r="G3" s="848" t="s">
        <v>11</v>
      </c>
      <c r="H3" s="850" t="s">
        <v>125</v>
      </c>
      <c r="I3" s="430" t="s">
        <v>16</v>
      </c>
      <c r="J3" s="851" t="s">
        <v>17</v>
      </c>
      <c r="K3" s="851" t="s">
        <v>126</v>
      </c>
      <c r="L3" s="431" t="s">
        <v>127</v>
      </c>
      <c r="M3" s="508" t="s"/>
      <c r="N3" s="508" t="s"/>
      <c r="O3" s="508" t="s"/>
      <c r="P3" s="508" t="s"/>
      <c r="Q3" s="508" t="s"/>
      <c r="R3" s="508" t="s"/>
      <c r="S3" s="508" t="s"/>
      <c r="T3" s="508" t="s"/>
      <c r="U3" s="508" t="s"/>
      <c r="V3" s="508" t="s"/>
      <c r="W3" s="508" t="s"/>
      <c r="X3" s="508" t="s"/>
      <c r="Y3" s="508" t="s"/>
    </row>
    <row r="4" spans="1:25">
      <c r="A4" s="852" t="s">
        <v>19</v>
      </c>
      <c r="B4" s="853" t="s"/>
      <c r="C4" s="853">
        <v>60</v>
      </c>
      <c r="D4" s="852" t="s">
        <v>20</v>
      </c>
      <c r="E4" s="853" t="s">
        <v>21</v>
      </c>
      <c r="F4" s="854">
        <v>30</v>
      </c>
      <c r="G4" s="854" t="s">
        <v>22</v>
      </c>
      <c r="H4" s="855" t="s"/>
      <c r="I4" s="856">
        <v>62</v>
      </c>
      <c r="J4" s="857">
        <v>50</v>
      </c>
      <c r="K4" s="858">
        <v>29</v>
      </c>
      <c r="L4" s="444">
        <v>60</v>
      </c>
      <c r="M4" s="508" t="s"/>
      <c r="N4" s="508" t="s"/>
      <c r="O4" s="508" t="s"/>
      <c r="P4" s="508" t="s"/>
      <c r="Q4" s="508" t="s"/>
      <c r="R4" s="508" t="s"/>
      <c r="S4" s="508" t="s"/>
      <c r="T4" s="508" t="s"/>
      <c r="U4" s="508" t="s"/>
      <c r="V4" s="508" t="s"/>
      <c r="W4" s="508" t="s"/>
      <c r="X4" s="508" t="s"/>
      <c r="Y4" s="508" t="s"/>
    </row>
    <row r="5" spans="1:25">
      <c r="A5" s="859" t="s"/>
      <c r="B5" s="859" t="s"/>
      <c r="C5" s="859" t="s"/>
      <c r="D5" s="852" t="s">
        <v>20</v>
      </c>
      <c r="E5" s="853" t="s">
        <v>29</v>
      </c>
      <c r="F5" s="852">
        <v>3</v>
      </c>
      <c r="G5" s="852" t="s">
        <v>30</v>
      </c>
      <c r="H5" s="855" t="s"/>
      <c r="I5" s="856">
        <v>3</v>
      </c>
      <c r="J5" s="857">
        <v>6</v>
      </c>
      <c r="K5" s="860" t="s"/>
      <c r="L5" s="861" t="s"/>
      <c r="M5" s="508" t="s"/>
      <c r="N5" s="508" t="s"/>
      <c r="O5" s="508" t="s"/>
      <c r="P5" s="508" t="s"/>
      <c r="Q5" s="508" t="s"/>
      <c r="R5" s="508" t="s"/>
      <c r="S5" s="508" t="s"/>
      <c r="T5" s="508" t="s"/>
      <c r="U5" s="508" t="s"/>
      <c r="V5" s="508" t="s"/>
      <c r="W5" s="508" t="s"/>
      <c r="X5" s="508" t="s"/>
      <c r="Y5" s="508" t="s"/>
    </row>
    <row r="6" spans="1:25">
      <c r="A6" s="852" t="s"/>
      <c r="B6" s="853" t="s"/>
      <c r="C6" s="853" t="s"/>
      <c r="D6" s="852" t="s">
        <v>20</v>
      </c>
      <c r="E6" s="853" t="s">
        <v>37</v>
      </c>
      <c r="F6" s="852">
        <v>1</v>
      </c>
      <c r="G6" s="852" t="s">
        <v>30</v>
      </c>
      <c r="H6" s="862" t="s"/>
      <c r="I6" s="856">
        <v>1</v>
      </c>
      <c r="J6" s="857">
        <v>1</v>
      </c>
      <c r="K6" s="863" t="s"/>
      <c r="L6" s="444" t="s"/>
      <c r="M6" s="508" t="s"/>
      <c r="N6" s="508" t="s"/>
      <c r="O6" s="508" t="s"/>
      <c r="P6" s="508" t="s"/>
      <c r="Q6" s="508" t="s"/>
      <c r="R6" s="508" t="s"/>
      <c r="S6" s="508" t="s"/>
      <c r="T6" s="508" t="s"/>
      <c r="U6" s="508" t="s"/>
      <c r="V6" s="508" t="s"/>
      <c r="W6" s="508" t="s"/>
      <c r="X6" s="508" t="s"/>
      <c r="Y6" s="508" t="s"/>
    </row>
    <row r="7" spans="1:25">
      <c r="A7" s="852" t="s"/>
      <c r="B7" s="853" t="s"/>
      <c r="C7" s="853" t="s"/>
      <c r="D7" s="852" t="s">
        <v>20</v>
      </c>
      <c r="E7" s="853" t="s">
        <v>38</v>
      </c>
      <c r="F7" s="852">
        <v>1</v>
      </c>
      <c r="G7" s="852" t="s">
        <v>30</v>
      </c>
      <c r="H7" s="862" t="s"/>
      <c r="I7" s="864">
        <v>0</v>
      </c>
      <c r="J7" s="857">
        <v>1</v>
      </c>
      <c r="K7" s="863" t="s"/>
      <c r="L7" s="444" t="s"/>
      <c r="M7" s="508" t="s"/>
      <c r="N7" s="508" t="s"/>
      <c r="O7" s="508" t="s"/>
      <c r="P7" s="508" t="s"/>
      <c r="Q7" s="508" t="s"/>
      <c r="R7" s="508" t="s"/>
      <c r="S7" s="508" t="s"/>
      <c r="T7" s="508" t="s"/>
      <c r="U7" s="508" t="s"/>
      <c r="V7" s="508" t="s"/>
      <c r="W7" s="508" t="s"/>
      <c r="X7" s="508" t="s"/>
      <c r="Y7" s="508" t="s"/>
    </row>
    <row r="8" spans="1:25">
      <c r="A8" s="865" t="s">
        <v>32</v>
      </c>
      <c r="B8" s="866" t="s"/>
      <c r="C8" s="866">
        <v>42</v>
      </c>
      <c r="D8" s="867" t="s">
        <v>47</v>
      </c>
      <c r="E8" s="868" t="s">
        <v>48</v>
      </c>
      <c r="F8" s="867">
        <v>1</v>
      </c>
      <c r="G8" s="865" t="s">
        <v>30</v>
      </c>
      <c r="H8" s="869" t="s">
        <v>150</v>
      </c>
      <c r="I8" s="870">
        <v>0</v>
      </c>
      <c r="J8" s="871">
        <v>0</v>
      </c>
      <c r="K8" s="872">
        <v>6</v>
      </c>
      <c r="L8" s="464">
        <v>42</v>
      </c>
      <c r="M8" s="508" t="s"/>
      <c r="N8" s="508" t="s"/>
      <c r="O8" s="508" t="s"/>
      <c r="P8" s="508" t="s"/>
      <c r="Q8" s="508" t="s"/>
      <c r="R8" s="508" t="s"/>
      <c r="S8" s="508" t="s"/>
      <c r="T8" s="508" t="s"/>
      <c r="U8" s="508" t="s"/>
      <c r="V8" s="508" t="s"/>
      <c r="W8" s="508" t="s"/>
      <c r="X8" s="508" t="s"/>
      <c r="Y8" s="508" t="s"/>
    </row>
    <row r="9" spans="1:25">
      <c r="A9" s="859" t="s"/>
      <c r="B9" s="859" t="s"/>
      <c r="C9" s="859" t="s"/>
      <c r="D9" s="865" t="s">
        <v>47</v>
      </c>
      <c r="E9" s="866" t="s">
        <v>151</v>
      </c>
      <c r="F9" s="865">
        <v>1</v>
      </c>
      <c r="G9" s="865" t="s">
        <v>30</v>
      </c>
      <c r="H9" s="869" t="s">
        <v>152</v>
      </c>
      <c r="I9" s="873">
        <v>1</v>
      </c>
      <c r="J9" s="874">
        <v>1</v>
      </c>
      <c r="K9" s="872" t="s"/>
      <c r="L9" s="875" t="s"/>
      <c r="M9" s="508" t="s"/>
      <c r="N9" s="508" t="s"/>
      <c r="O9" s="508" t="s"/>
      <c r="P9" s="508" t="s"/>
      <c r="Q9" s="508" t="s"/>
      <c r="R9" s="508" t="s"/>
      <c r="S9" s="508" t="s"/>
      <c r="T9" s="508" t="s"/>
      <c r="U9" s="508" t="s"/>
      <c r="V9" s="508" t="s"/>
      <c r="W9" s="508" t="s"/>
      <c r="X9" s="508" t="s"/>
      <c r="Y9" s="508" t="s"/>
    </row>
    <row r="10" spans="1:25" ht="55.5" customHeight="true">
      <c r="A10" s="859" t="s"/>
      <c r="B10" s="859" t="s"/>
      <c r="C10" s="859" t="s"/>
      <c r="D10" s="865" t="s">
        <v>20</v>
      </c>
      <c r="E10" s="866" t="s">
        <v>56</v>
      </c>
      <c r="F10" s="865">
        <v>3</v>
      </c>
      <c r="G10" s="865" t="s">
        <v>30</v>
      </c>
      <c r="H10" s="876" t="s">
        <v>153</v>
      </c>
      <c r="I10" s="873">
        <v>2</v>
      </c>
      <c r="J10" s="874">
        <v>2</v>
      </c>
      <c r="K10" s="872" t="s"/>
      <c r="L10" s="875" t="s"/>
      <c r="M10" s="508" t="s"/>
      <c r="N10" s="508" t="s"/>
      <c r="O10" s="508" t="s"/>
      <c r="P10" s="508" t="s"/>
      <c r="Q10" s="508" t="s"/>
      <c r="R10" s="508" t="s"/>
      <c r="S10" s="508" t="s"/>
      <c r="T10" s="508" t="s"/>
      <c r="U10" s="508" t="s"/>
      <c r="V10" s="508" t="s"/>
      <c r="W10" s="508" t="s"/>
      <c r="X10" s="508" t="s"/>
      <c r="Y10" s="508" t="s"/>
    </row>
    <row r="11" spans="1:25" ht="42" customHeight="true">
      <c r="A11" s="859" t="s"/>
      <c r="B11" s="859" t="s"/>
      <c r="C11" s="859" t="s"/>
      <c r="D11" s="865" t="s">
        <v>44</v>
      </c>
      <c r="E11" s="866" t="s">
        <v>56</v>
      </c>
      <c r="F11" s="865">
        <v>2</v>
      </c>
      <c r="G11" s="865" t="s">
        <v>35</v>
      </c>
      <c r="H11" s="876" t="s">
        <v>154</v>
      </c>
      <c r="I11" s="877" t="s"/>
      <c r="J11" s="878" t="s"/>
      <c r="K11" s="872" t="s"/>
      <c r="L11" s="875" t="s"/>
      <c r="M11" s="508" t="s"/>
      <c r="N11" s="508" t="s"/>
      <c r="O11" s="508" t="s"/>
      <c r="P11" s="508" t="s"/>
      <c r="Q11" s="508" t="s"/>
      <c r="R11" s="508" t="s"/>
      <c r="S11" s="508" t="s"/>
      <c r="T11" s="508" t="s"/>
      <c r="U11" s="508" t="s"/>
      <c r="V11" s="508" t="s"/>
      <c r="W11" s="508" t="s"/>
      <c r="X11" s="508" t="s"/>
      <c r="Y11" s="508" t="s"/>
    </row>
    <row r="12" spans="1:25" ht="27.75" customHeight="true">
      <c r="A12" s="865" t="s"/>
      <c r="B12" s="866" t="s"/>
      <c r="C12" s="866" t="s"/>
      <c r="D12" s="865" t="s">
        <v>20</v>
      </c>
      <c r="E12" s="866" t="s">
        <v>60</v>
      </c>
      <c r="F12" s="865">
        <v>2</v>
      </c>
      <c r="G12" s="865" t="s">
        <v>30</v>
      </c>
      <c r="H12" s="879" t="s">
        <v>155</v>
      </c>
      <c r="I12" s="873">
        <v>2</v>
      </c>
      <c r="J12" s="874">
        <v>1</v>
      </c>
      <c r="K12" s="872" t="s"/>
      <c r="L12" s="875" t="s"/>
      <c r="M12" s="508" t="s"/>
      <c r="N12" s="757" t="s"/>
      <c r="O12" s="508" t="s"/>
      <c r="P12" s="508" t="s"/>
      <c r="Q12" s="508" t="s"/>
      <c r="R12" s="508" t="s"/>
      <c r="S12" s="508" t="s"/>
      <c r="T12" s="508" t="s"/>
      <c r="U12" s="508" t="s"/>
      <c r="V12" s="508" t="s"/>
      <c r="W12" s="508" t="s"/>
      <c r="X12" s="508" t="s"/>
      <c r="Y12" s="508" t="s"/>
    </row>
    <row r="13" spans="1:25" ht="27.75" customHeight="true">
      <c r="A13" s="859" t="s"/>
      <c r="B13" s="859" t="s"/>
      <c r="C13" s="859" t="s"/>
      <c r="D13" s="865" t="s">
        <v>44</v>
      </c>
      <c r="E13" s="866" t="s">
        <v>60</v>
      </c>
      <c r="F13" s="865">
        <v>2</v>
      </c>
      <c r="G13" s="865" t="s">
        <v>30</v>
      </c>
      <c r="H13" s="880" t="s">
        <v>155</v>
      </c>
      <c r="I13" s="463" t="s"/>
      <c r="J13" s="872" t="s"/>
      <c r="K13" s="872" t="s"/>
      <c r="L13" s="875" t="s"/>
      <c r="M13" s="508" t="s"/>
      <c r="N13" s="508" t="s"/>
      <c r="O13" s="508" t="s"/>
      <c r="P13" s="508" t="s"/>
      <c r="Q13" s="508" t="s"/>
      <c r="R13" s="508" t="s"/>
      <c r="S13" s="508" t="s"/>
      <c r="T13" s="508" t="s"/>
      <c r="U13" s="508" t="s"/>
      <c r="V13" s="508" t="s"/>
      <c r="W13" s="508" t="s"/>
      <c r="X13" s="508" t="s"/>
      <c r="Y13" s="508" t="s"/>
    </row>
    <row r="14" spans="1:25">
      <c r="A14" s="859" t="s"/>
      <c r="B14" s="859" t="s"/>
      <c r="C14" s="859" t="s"/>
      <c r="D14" s="865" t="s">
        <v>20</v>
      </c>
      <c r="E14" s="866" t="s">
        <v>34</v>
      </c>
      <c r="F14" s="865">
        <v>3</v>
      </c>
      <c r="G14" s="865" t="s">
        <v>35</v>
      </c>
      <c r="H14" s="876" t="s">
        <v>159</v>
      </c>
      <c r="I14" s="873">
        <v>6</v>
      </c>
      <c r="J14" s="874">
        <v>5</v>
      </c>
      <c r="K14" s="872" t="s"/>
      <c r="L14" s="875" t="s"/>
      <c r="M14" s="508" t="s"/>
      <c r="N14" s="508" t="s"/>
      <c r="O14" s="508" t="s"/>
      <c r="P14" s="508" t="s"/>
      <c r="Q14" s="508" t="s"/>
      <c r="R14" s="508" t="s"/>
      <c r="S14" s="508" t="s"/>
      <c r="T14" s="508" t="s"/>
      <c r="U14" s="508" t="s"/>
      <c r="V14" s="508" t="s"/>
      <c r="W14" s="508" t="s"/>
      <c r="X14" s="508" t="s"/>
      <c r="Y14" s="508" t="s"/>
    </row>
    <row r="15" spans="1:25">
      <c r="A15" s="865" t="s"/>
      <c r="B15" s="866" t="s"/>
      <c r="C15" s="866" t="s"/>
      <c r="D15" s="865" t="s">
        <v>20</v>
      </c>
      <c r="E15" s="881" t="s">
        <v>52</v>
      </c>
      <c r="F15" s="865">
        <v>1</v>
      </c>
      <c r="G15" s="865" t="s">
        <v>30</v>
      </c>
      <c r="H15" s="879" t="s">
        <v>177</v>
      </c>
      <c r="I15" s="870">
        <v>0</v>
      </c>
      <c r="J15" s="871">
        <v>0</v>
      </c>
      <c r="K15" s="872" t="s"/>
      <c r="L15" s="875" t="s"/>
      <c r="M15" s="508" t="s"/>
      <c r="N15" s="508" t="s"/>
      <c r="O15" s="508" t="s"/>
      <c r="P15" s="508" t="s"/>
      <c r="Q15" s="508" t="s"/>
      <c r="R15" s="508" t="s"/>
      <c r="S15" s="508" t="s"/>
      <c r="T15" s="508" t="s"/>
      <c r="U15" s="508" t="s"/>
      <c r="V15" s="508" t="s"/>
      <c r="W15" s="508" t="s"/>
      <c r="X15" s="508" t="s"/>
      <c r="Y15" s="508" t="s"/>
    </row>
    <row r="16" spans="1:25">
      <c r="A16" s="865" t="s"/>
      <c r="B16" s="866" t="s"/>
      <c r="C16" s="866" t="s"/>
      <c r="D16" s="865" t="s">
        <v>20</v>
      </c>
      <c r="E16" s="866" t="s">
        <v>60</v>
      </c>
      <c r="F16" s="865">
        <v>1</v>
      </c>
      <c r="G16" s="865" t="s">
        <v>30</v>
      </c>
      <c r="H16" s="876" t="s">
        <v>162</v>
      </c>
      <c r="I16" s="870">
        <v>0</v>
      </c>
      <c r="J16" s="871">
        <v>0</v>
      </c>
      <c r="K16" s="872" t="s"/>
      <c r="L16" s="875" t="s"/>
      <c r="M16" s="508" t="s"/>
      <c r="N16" s="508" t="s"/>
      <c r="O16" s="508" t="s"/>
      <c r="P16" s="508" t="s"/>
      <c r="Q16" s="508" t="s"/>
      <c r="R16" s="508" t="s"/>
      <c r="S16" s="508" t="s"/>
      <c r="T16" s="508" t="s"/>
      <c r="U16" s="508" t="s"/>
      <c r="V16" s="508" t="s"/>
      <c r="W16" s="508" t="s"/>
      <c r="X16" s="508" t="s"/>
      <c r="Y16" s="508" t="s"/>
    </row>
    <row r="17" spans="1:25">
      <c r="A17" s="865" t="s"/>
      <c r="B17" s="866" t="s"/>
      <c r="C17" s="866" t="s"/>
      <c r="D17" s="865" t="s">
        <v>44</v>
      </c>
      <c r="E17" s="866" t="s">
        <v>56</v>
      </c>
      <c r="F17" s="865">
        <v>1</v>
      </c>
      <c r="G17" s="865" t="s">
        <v>30</v>
      </c>
      <c r="H17" s="876" t="s">
        <v>162</v>
      </c>
      <c r="I17" s="463" t="s"/>
      <c r="J17" s="872" t="s"/>
      <c r="K17" s="872" t="s"/>
      <c r="L17" s="875" t="s"/>
      <c r="M17" s="508" t="s"/>
      <c r="N17" s="508" t="s"/>
      <c r="O17" s="508" t="s"/>
      <c r="P17" s="508" t="s"/>
      <c r="Q17" s="508" t="s"/>
      <c r="R17" s="508" t="s"/>
      <c r="S17" s="508" t="s"/>
      <c r="T17" s="508" t="s"/>
      <c r="U17" s="508" t="s"/>
      <c r="V17" s="508" t="s"/>
      <c r="W17" s="508" t="s"/>
      <c r="X17" s="508" t="s"/>
      <c r="Y17" s="508" t="s"/>
    </row>
    <row r="18" spans="1:25">
      <c r="A18" s="882" t="s">
        <v>39</v>
      </c>
      <c r="B18" s="883" t="s"/>
      <c r="C18" s="883">
        <v>56</v>
      </c>
      <c r="D18" s="884" t="s">
        <v>20</v>
      </c>
      <c r="E18" s="883" t="s">
        <v>36</v>
      </c>
      <c r="F18" s="882">
        <v>1</v>
      </c>
      <c r="G18" s="882" t="s">
        <v>30</v>
      </c>
      <c r="H18" s="885" t="s">
        <v>128</v>
      </c>
      <c r="I18" s="886">
        <v>0</v>
      </c>
      <c r="J18" s="887">
        <v>0</v>
      </c>
      <c r="K18" s="888">
        <v>2</v>
      </c>
      <c r="L18" s="472">
        <v>56</v>
      </c>
      <c r="M18" s="508" t="s"/>
      <c r="N18" s="508" t="s"/>
      <c r="O18" s="508" t="s"/>
      <c r="P18" s="508" t="s"/>
      <c r="Q18" s="508" t="s"/>
      <c r="R18" s="508" t="s"/>
      <c r="S18" s="508" t="s"/>
      <c r="T18" s="508" t="s"/>
      <c r="U18" s="508" t="s"/>
      <c r="V18" s="508" t="s"/>
      <c r="W18" s="508" t="s"/>
      <c r="X18" s="508" t="s"/>
      <c r="Y18" s="508" t="s"/>
    </row>
    <row r="19" spans="1:25">
      <c r="A19" s="889" t="s"/>
      <c r="B19" s="859" t="s"/>
      <c r="C19" s="859" t="s"/>
      <c r="D19" s="884" t="s">
        <v>20</v>
      </c>
      <c r="E19" s="883" t="s">
        <v>40</v>
      </c>
      <c r="F19" s="890">
        <v>1</v>
      </c>
      <c r="G19" s="882" t="s">
        <v>35</v>
      </c>
      <c r="H19" s="885" t="s">
        <v>178</v>
      </c>
      <c r="I19" s="891">
        <v>2</v>
      </c>
      <c r="J19" s="892">
        <v>2</v>
      </c>
      <c r="K19" s="888" t="s"/>
      <c r="L19" s="861" t="s"/>
      <c r="M19" s="508" t="s"/>
      <c r="N19" s="508" t="s"/>
      <c r="O19" s="508" t="s"/>
      <c r="P19" s="508" t="s"/>
      <c r="Q19" s="508" t="s"/>
      <c r="R19" s="508" t="s"/>
      <c r="S19" s="508" t="s"/>
      <c r="T19" s="508" t="s"/>
      <c r="U19" s="508" t="s"/>
      <c r="V19" s="508" t="s"/>
      <c r="W19" s="508" t="s"/>
      <c r="X19" s="508" t="s"/>
      <c r="Y19" s="508" t="s"/>
    </row>
    <row r="20" spans="1:25">
      <c r="A20" s="889" t="s"/>
      <c r="B20" s="859" t="s"/>
      <c r="C20" s="859" t="s"/>
      <c r="D20" s="884" t="s">
        <v>20</v>
      </c>
      <c r="E20" s="883" t="s">
        <v>46</v>
      </c>
      <c r="F20" s="890">
        <v>3</v>
      </c>
      <c r="G20" s="882" t="s">
        <v>35</v>
      </c>
      <c r="H20" s="885" t="s">
        <v>129</v>
      </c>
      <c r="I20" s="886">
        <v>0</v>
      </c>
      <c r="J20" s="887">
        <v>0</v>
      </c>
      <c r="K20" s="888" t="s"/>
      <c r="L20" s="861" t="s"/>
      <c r="M20" s="508" t="s"/>
      <c r="N20" s="508" t="s"/>
      <c r="O20" s="508" t="s"/>
      <c r="P20" s="508" t="s"/>
      <c r="Q20" s="508" t="s"/>
      <c r="R20" s="508" t="s"/>
      <c r="S20" s="508" t="s"/>
      <c r="T20" s="508" t="s"/>
      <c r="U20" s="508" t="s"/>
      <c r="V20" s="508" t="s"/>
      <c r="W20" s="508" t="s"/>
      <c r="X20" s="508" t="s"/>
      <c r="Y20" s="508" t="s"/>
    </row>
    <row r="21" spans="1:25">
      <c r="A21" s="889" t="s"/>
      <c r="B21" s="859" t="s"/>
      <c r="C21" s="859" t="s"/>
      <c r="D21" s="884" t="s">
        <v>20</v>
      </c>
      <c r="E21" s="883" t="s">
        <v>49</v>
      </c>
      <c r="F21" s="890">
        <v>2</v>
      </c>
      <c r="G21" s="882" t="s">
        <v>35</v>
      </c>
      <c r="H21" s="885" t="s">
        <v>133</v>
      </c>
      <c r="I21" s="886">
        <v>0</v>
      </c>
      <c r="J21" s="887">
        <v>0</v>
      </c>
      <c r="K21" s="888" t="s"/>
      <c r="L21" s="861" t="s"/>
      <c r="M21" s="508" t="s"/>
      <c r="N21" s="508" t="s"/>
      <c r="O21" s="508" t="s"/>
      <c r="P21" s="508" t="s"/>
      <c r="Q21" s="508" t="s"/>
      <c r="R21" s="508" t="s"/>
      <c r="S21" s="508" t="s"/>
      <c r="T21" s="508" t="s"/>
      <c r="U21" s="508" t="s"/>
      <c r="V21" s="508" t="s"/>
      <c r="W21" s="508" t="s"/>
      <c r="X21" s="508" t="s"/>
      <c r="Y21" s="508" t="s"/>
    </row>
    <row r="22" spans="1:25">
      <c r="A22" s="893" t="s">
        <v>50</v>
      </c>
      <c r="B22" s="894" t="s"/>
      <c r="C22" s="894">
        <v>26</v>
      </c>
      <c r="D22" s="504" t="s">
        <v>20</v>
      </c>
      <c r="E22" s="504" t="s">
        <v>57</v>
      </c>
      <c r="F22" s="893">
        <v>6</v>
      </c>
      <c r="G22" s="893" t="s">
        <v>35</v>
      </c>
      <c r="H22" s="505" t="s"/>
      <c r="I22" s="895">
        <v>2</v>
      </c>
      <c r="J22" s="896">
        <v>2</v>
      </c>
      <c r="K22" s="897">
        <v>8</v>
      </c>
      <c r="L22" s="898">
        <v>26</v>
      </c>
      <c r="M22" s="508" t="s"/>
      <c r="N22" s="508" t="s"/>
      <c r="O22" s="508" t="s"/>
      <c r="P22" s="508" t="s"/>
      <c r="Q22" s="508" t="s"/>
      <c r="R22" s="508" t="s"/>
      <c r="S22" s="508" t="s"/>
      <c r="T22" s="508" t="s"/>
      <c r="U22" s="508" t="s"/>
      <c r="V22" s="508" t="s"/>
      <c r="W22" s="508" t="s"/>
      <c r="X22" s="508" t="s"/>
      <c r="Y22" s="508" t="s"/>
    </row>
    <row r="23" spans="1:25">
      <c r="A23" s="889" t="s"/>
      <c r="B23" s="859" t="s"/>
      <c r="C23" s="859" t="s"/>
      <c r="D23" s="504" t="s">
        <v>20</v>
      </c>
      <c r="E23" s="504" t="s">
        <v>82</v>
      </c>
      <c r="F23" s="893">
        <v>6</v>
      </c>
      <c r="G23" s="893" t="s">
        <v>35</v>
      </c>
      <c r="H23" s="505" t="s"/>
      <c r="I23" s="895">
        <v>3</v>
      </c>
      <c r="J23" s="896">
        <v>3</v>
      </c>
      <c r="K23" s="897" t="s"/>
      <c r="L23" s="861" t="s"/>
      <c r="M23" s="508" t="s"/>
      <c r="N23" s="508" t="s"/>
      <c r="O23" s="508" t="s"/>
      <c r="P23" s="508" t="s"/>
      <c r="Q23" s="508" t="s"/>
      <c r="R23" s="508" t="s"/>
      <c r="S23" s="508" t="s"/>
      <c r="T23" s="508" t="s"/>
      <c r="U23" s="508" t="s"/>
      <c r="V23" s="508" t="s"/>
      <c r="W23" s="508" t="s"/>
      <c r="X23" s="508" t="s"/>
      <c r="Y23" s="508" t="s"/>
    </row>
    <row r="24" spans="1:25">
      <c r="A24" s="889" t="s"/>
      <c r="B24" s="859" t="s"/>
      <c r="C24" s="859" t="s"/>
      <c r="D24" s="504" t="s">
        <v>20</v>
      </c>
      <c r="E24" s="504" t="s">
        <v>85</v>
      </c>
      <c r="F24" s="893">
        <v>6</v>
      </c>
      <c r="G24" s="893" t="s">
        <v>35</v>
      </c>
      <c r="H24" s="505" t="s"/>
      <c r="I24" s="895">
        <v>9</v>
      </c>
      <c r="J24" s="896">
        <v>8</v>
      </c>
      <c r="K24" s="897" t="s"/>
      <c r="L24" s="861" t="s"/>
      <c r="M24" s="508" t="s"/>
      <c r="N24" s="508" t="s"/>
      <c r="O24" s="508" t="s"/>
      <c r="P24" s="508" t="s"/>
      <c r="Q24" s="508" t="s"/>
      <c r="R24" s="508" t="s"/>
      <c r="S24" s="508" t="s"/>
      <c r="T24" s="508" t="s"/>
      <c r="U24" s="508" t="s"/>
      <c r="V24" s="508" t="s"/>
      <c r="W24" s="508" t="s"/>
      <c r="X24" s="508" t="s"/>
      <c r="Y24" s="508" t="s"/>
    </row>
    <row r="25" spans="1:25">
      <c r="A25" s="889" t="s"/>
      <c r="B25" s="859" t="s"/>
      <c r="C25" s="859" t="s"/>
      <c r="D25" s="504" t="s">
        <v>20</v>
      </c>
      <c r="E25" s="504" t="s">
        <v>88</v>
      </c>
      <c r="F25" s="893">
        <v>3</v>
      </c>
      <c r="G25" s="893" t="s">
        <v>22</v>
      </c>
      <c r="H25" s="505" t="s"/>
      <c r="I25" s="895">
        <v>1</v>
      </c>
      <c r="J25" s="896">
        <v>1</v>
      </c>
      <c r="K25" s="897" t="s"/>
      <c r="L25" s="861" t="s"/>
      <c r="M25" s="508" t="s"/>
      <c r="N25" s="508" t="s"/>
      <c r="O25" s="508" t="s"/>
      <c r="P25" s="508" t="s"/>
      <c r="Q25" s="508" t="s"/>
      <c r="R25" s="508" t="s"/>
      <c r="S25" s="508" t="s"/>
      <c r="T25" s="508" t="s"/>
      <c r="U25" s="508" t="s"/>
      <c r="V25" s="508" t="s"/>
      <c r="W25" s="508" t="s"/>
      <c r="X25" s="508" t="s"/>
      <c r="Y25" s="508" t="s"/>
    </row>
    <row r="26" spans="1:25">
      <c r="A26" s="889" t="s"/>
      <c r="B26" s="859" t="s"/>
      <c r="C26" s="859" t="s"/>
      <c r="D26" s="504" t="s">
        <v>91</v>
      </c>
      <c r="E26" s="894" t="s">
        <v>92</v>
      </c>
      <c r="F26" s="893">
        <v>1</v>
      </c>
      <c r="G26" s="893" t="s">
        <v>30</v>
      </c>
      <c r="H26" s="899" t="s"/>
      <c r="I26" s="895">
        <v>1</v>
      </c>
      <c r="J26" s="900">
        <v>0</v>
      </c>
      <c r="K26" s="897" t="s"/>
      <c r="L26" s="861" t="s"/>
      <c r="M26" s="508" t="s"/>
      <c r="N26" s="508" t="s"/>
      <c r="O26" s="508" t="s"/>
      <c r="P26" s="508" t="s"/>
      <c r="Q26" s="508" t="s"/>
      <c r="R26" s="508" t="s"/>
      <c r="S26" s="508" t="s"/>
      <c r="T26" s="508" t="s"/>
      <c r="U26" s="508" t="s"/>
      <c r="V26" s="508" t="s"/>
      <c r="W26" s="508" t="s"/>
      <c r="X26" s="508" t="s"/>
      <c r="Y26" s="508" t="s"/>
    </row>
    <row r="27" spans="1:25" ht="27.75" customHeight="true">
      <c r="A27" s="901" t="s">
        <v>134</v>
      </c>
      <c r="B27" s="902" t="s"/>
      <c r="C27" s="902">
        <v>81</v>
      </c>
      <c r="D27" s="903" t="s">
        <v>20</v>
      </c>
      <c r="E27" s="902" t="s">
        <v>57</v>
      </c>
      <c r="F27" s="904">
        <v>7</v>
      </c>
      <c r="G27" s="904" t="s">
        <v>35</v>
      </c>
      <c r="H27" s="905" t="s">
        <v>179</v>
      </c>
      <c r="I27" s="906">
        <v>12</v>
      </c>
      <c r="J27" s="907">
        <v>12</v>
      </c>
      <c r="K27" s="908">
        <v>11</v>
      </c>
      <c r="L27" s="524">
        <v>81</v>
      </c>
      <c r="M27" s="508" t="s"/>
      <c r="N27" s="508" t="s"/>
      <c r="O27" s="508" t="s"/>
      <c r="P27" s="508" t="s"/>
      <c r="Q27" s="508" t="s"/>
      <c r="R27" s="508" t="s"/>
      <c r="S27" s="508" t="s"/>
      <c r="T27" s="508" t="s"/>
      <c r="U27" s="508" t="s"/>
      <c r="V27" s="508" t="s"/>
      <c r="W27" s="508" t="s"/>
      <c r="X27" s="508" t="s"/>
      <c r="Y27" s="508" t="s"/>
    </row>
    <row r="28" spans="1:25">
      <c r="A28" s="889" t="s"/>
      <c r="B28" s="859" t="s"/>
      <c r="C28" s="859" t="s"/>
      <c r="D28" s="903" t="s">
        <v>44</v>
      </c>
      <c r="E28" s="902" t="s">
        <v>55</v>
      </c>
      <c r="F28" s="901">
        <v>3</v>
      </c>
      <c r="G28" s="901" t="s">
        <v>35</v>
      </c>
      <c r="H28" s="905" t="s">
        <v>180</v>
      </c>
      <c r="I28" s="523" t="s"/>
      <c r="J28" s="908" t="s"/>
      <c r="K28" s="908" t="s"/>
      <c r="L28" s="861" t="s"/>
      <c r="M28" s="508" t="s"/>
      <c r="N28" s="508" t="s"/>
      <c r="O28" s="508" t="s"/>
      <c r="P28" s="508" t="s"/>
      <c r="Q28" s="508" t="s"/>
      <c r="R28" s="508" t="s"/>
      <c r="S28" s="508" t="s"/>
      <c r="T28" s="508" t="s"/>
      <c r="U28" s="508" t="s"/>
      <c r="V28" s="508" t="s"/>
      <c r="W28" s="508" t="s"/>
      <c r="X28" s="508" t="s"/>
      <c r="Y28" s="508" t="s"/>
    </row>
    <row r="29" spans="1:25">
      <c r="A29" s="901" t="s"/>
      <c r="B29" s="902" t="s"/>
      <c r="C29" s="902" t="s"/>
      <c r="D29" s="903" t="s">
        <v>20</v>
      </c>
      <c r="E29" s="902" t="s">
        <v>55</v>
      </c>
      <c r="F29" s="901">
        <v>1</v>
      </c>
      <c r="G29" s="901" t="s">
        <v>35</v>
      </c>
      <c r="H29" s="905" t="s">
        <v>180</v>
      </c>
      <c r="I29" s="906">
        <v>4</v>
      </c>
      <c r="J29" s="907">
        <v>4</v>
      </c>
      <c r="K29" s="908" t="s"/>
      <c r="L29" s="524" t="s"/>
      <c r="M29" s="508" t="s"/>
      <c r="N29" s="508" t="s"/>
      <c r="O29" s="508" t="s"/>
      <c r="P29" s="508" t="s"/>
      <c r="Q29" s="508" t="s"/>
      <c r="R29" s="508" t="s"/>
      <c r="S29" s="508" t="s"/>
      <c r="T29" s="508" t="s"/>
      <c r="U29" s="508" t="s"/>
      <c r="V29" s="508" t="s"/>
      <c r="W29" s="508" t="s"/>
      <c r="X29" s="508" t="s"/>
      <c r="Y29" s="508" t="s"/>
    </row>
    <row r="30" spans="1:25" ht="21.75" customHeight="true">
      <c r="A30" s="909" t="s"/>
      <c r="B30" s="910" t="s"/>
      <c r="C30" s="910" t="s"/>
      <c r="D30" s="909" t="s">
        <v>97</v>
      </c>
      <c r="E30" s="911" t="s">
        <v>68</v>
      </c>
      <c r="F30" s="909" t="s"/>
      <c r="G30" s="909" t="s"/>
      <c r="H30" s="912" t="s"/>
      <c r="I30" s="913">
        <v>1</v>
      </c>
      <c r="J30" s="914">
        <v>1</v>
      </c>
      <c r="K30" s="915" t="s"/>
      <c r="L30" s="916" t="s"/>
      <c r="M30" s="508" t="s"/>
      <c r="N30" s="508" t="s"/>
      <c r="O30" s="508" t="s"/>
      <c r="P30" s="508" t="s"/>
      <c r="Q30" s="508" t="s"/>
      <c r="R30" s="508" t="s"/>
      <c r="S30" s="508" t="s"/>
      <c r="T30" s="508" t="s"/>
      <c r="U30" s="508" t="s"/>
      <c r="V30" s="508" t="s"/>
      <c r="W30" s="508" t="s"/>
      <c r="X30" s="508" t="s"/>
      <c r="Y30" s="508" t="s"/>
    </row>
    <row r="31" spans="1:25" ht="21.75" customHeight="true">
      <c r="A31" s="909" t="s"/>
      <c r="B31" s="910" t="s"/>
      <c r="C31" s="910" t="s"/>
      <c r="D31" s="909" t="s">
        <v>97</v>
      </c>
      <c r="E31" s="911" t="s">
        <v>98</v>
      </c>
      <c r="F31" s="909" t="s"/>
      <c r="G31" s="909" t="s"/>
      <c r="H31" s="912" t="s"/>
      <c r="I31" s="913">
        <v>1</v>
      </c>
      <c r="J31" s="914">
        <v>1</v>
      </c>
      <c r="K31" s="915" t="s"/>
      <c r="L31" s="916" t="s"/>
      <c r="M31" s="508" t="s"/>
      <c r="N31" s="508" t="s"/>
      <c r="O31" s="508" t="s"/>
      <c r="P31" s="508" t="s"/>
      <c r="Q31" s="508" t="s"/>
      <c r="R31" s="508" t="s"/>
      <c r="S31" s="508" t="s"/>
      <c r="T31" s="508" t="s"/>
      <c r="U31" s="508" t="s"/>
      <c r="V31" s="508" t="s"/>
      <c r="W31" s="508" t="s"/>
      <c r="X31" s="508" t="s"/>
      <c r="Y31" s="508" t="s"/>
    </row>
    <row r="32" spans="1:25" ht="21.75" customHeight="true">
      <c r="A32" s="909" t="s"/>
      <c r="B32" s="910" t="s"/>
      <c r="C32" s="910" t="s"/>
      <c r="D32" s="909" t="s">
        <v>97</v>
      </c>
      <c r="E32" s="911" t="s">
        <v>58</v>
      </c>
      <c r="F32" s="909" t="s"/>
      <c r="G32" s="909" t="s"/>
      <c r="H32" s="912" t="s"/>
      <c r="I32" s="913">
        <v>1</v>
      </c>
      <c r="J32" s="914">
        <v>1</v>
      </c>
      <c r="K32" s="915" t="s"/>
      <c r="L32" s="916" t="s"/>
      <c r="M32" s="508" t="s"/>
      <c r="N32" s="508" t="s"/>
      <c r="O32" s="508" t="s"/>
      <c r="P32" s="508" t="s"/>
      <c r="Q32" s="508" t="s"/>
      <c r="R32" s="508" t="s"/>
      <c r="S32" s="508" t="s"/>
      <c r="T32" s="508" t="s"/>
      <c r="U32" s="508" t="s"/>
      <c r="V32" s="508" t="s"/>
      <c r="W32" s="508" t="s"/>
      <c r="X32" s="508" t="s"/>
      <c r="Y32" s="508" t="s"/>
    </row>
    <row r="33" spans="1:25" ht="42" customHeight="true">
      <c r="A33" s="889" t="s"/>
      <c r="B33" s="859" t="s"/>
      <c r="C33" s="859" t="s"/>
      <c r="D33" s="903" t="s">
        <v>44</v>
      </c>
      <c r="E33" s="902" t="s">
        <v>181</v>
      </c>
      <c r="F33" s="901">
        <v>1</v>
      </c>
      <c r="G33" s="901" t="s">
        <v>30</v>
      </c>
      <c r="H33" s="905" t="s">
        <v>182</v>
      </c>
      <c r="I33" s="523" t="s"/>
      <c r="J33" s="908" t="s"/>
      <c r="K33" s="908" t="s"/>
      <c r="L33" s="861" t="s"/>
      <c r="M33" s="508" t="s"/>
      <c r="N33" s="508" t="s"/>
      <c r="O33" s="508" t="s"/>
      <c r="P33" s="508" t="s"/>
      <c r="Q33" s="508" t="s"/>
      <c r="R33" s="508" t="s"/>
      <c r="S33" s="508" t="s"/>
      <c r="T33" s="508" t="s"/>
      <c r="U33" s="508" t="s"/>
      <c r="V33" s="508" t="s"/>
      <c r="W33" s="508" t="s"/>
      <c r="X33" s="508" t="s"/>
      <c r="Y33" s="508" t="s"/>
    </row>
    <row r="34" spans="1:25">
      <c r="A34" s="825" t="s">
        <v>172</v>
      </c>
      <c r="B34" s="826" t="s"/>
      <c r="C34" s="826">
        <v>7</v>
      </c>
      <c r="D34" s="825" t="s"/>
      <c r="E34" s="826" t="s"/>
      <c r="F34" s="827" t="s"/>
      <c r="G34" s="827" t="s"/>
      <c r="H34" s="917" t="s"/>
      <c r="I34" s="543" t="s"/>
      <c r="J34" s="918" t="s"/>
      <c r="K34" s="918" t="s"/>
      <c r="L34" s="544">
        <v>7</v>
      </c>
      <c r="M34" s="508" t="s"/>
      <c r="N34" s="508" t="s"/>
      <c r="O34" s="508" t="s"/>
      <c r="P34" s="508" t="s"/>
      <c r="Q34" s="508" t="s"/>
      <c r="R34" s="508" t="s"/>
      <c r="S34" s="508" t="s"/>
      <c r="T34" s="508" t="s"/>
      <c r="U34" s="508" t="s"/>
      <c r="V34" s="508" t="s"/>
      <c r="W34" s="508" t="s"/>
      <c r="X34" s="508" t="s"/>
      <c r="Y34" s="508" t="s"/>
    </row>
    <row r="35" spans="1:25">
      <c r="A35" s="919" t="s">
        <v>63</v>
      </c>
      <c r="B35" s="920" t="s"/>
      <c r="C35" s="920">
        <v>15</v>
      </c>
      <c r="D35" s="921" t="s">
        <v>47</v>
      </c>
      <c r="E35" s="920" t="s">
        <v>100</v>
      </c>
      <c r="F35" s="919">
        <v>1</v>
      </c>
      <c r="G35" s="919" t="s">
        <v>30</v>
      </c>
      <c r="H35" s="922" t="s">
        <v>183</v>
      </c>
      <c r="I35" s="923">
        <v>2</v>
      </c>
      <c r="J35" s="924">
        <v>1</v>
      </c>
      <c r="K35" s="925">
        <v>1</v>
      </c>
      <c r="L35" s="532">
        <v>15</v>
      </c>
      <c r="M35" s="508" t="s"/>
      <c r="N35" s="508" t="s"/>
      <c r="O35" s="508" t="s"/>
      <c r="P35" s="508" t="s"/>
      <c r="Q35" s="508" t="s"/>
      <c r="R35" s="508" t="s"/>
      <c r="S35" s="508" t="s"/>
      <c r="T35" s="508" t="s"/>
      <c r="U35" s="508" t="s"/>
      <c r="V35" s="508" t="s"/>
      <c r="W35" s="508" t="s"/>
      <c r="X35" s="508" t="s"/>
      <c r="Y35" s="508" t="s"/>
    </row>
    <row r="36" spans="1:25">
      <c r="A36" s="926" t="s"/>
      <c r="B36" s="920" t="s"/>
      <c r="C36" s="920" t="s"/>
      <c r="D36" s="921" t="s"/>
      <c r="E36" s="920" t="s"/>
      <c r="F36" s="926" t="s"/>
      <c r="G36" s="926" t="s"/>
      <c r="H36" s="922" t="s"/>
      <c r="I36" s="531" t="s"/>
      <c r="J36" s="925" t="s"/>
      <c r="K36" s="925" t="s"/>
      <c r="L36" s="532" t="s"/>
      <c r="M36" s="508" t="s"/>
      <c r="N36" s="508" t="s"/>
      <c r="O36" s="508" t="s"/>
      <c r="P36" s="508" t="s"/>
      <c r="Q36" s="508" t="s"/>
      <c r="R36" s="508" t="s"/>
      <c r="S36" s="508" t="s"/>
      <c r="T36" s="508" t="s"/>
      <c r="U36" s="508" t="s"/>
      <c r="V36" s="508" t="s"/>
      <c r="W36" s="508" t="s"/>
      <c r="X36" s="508" t="s"/>
      <c r="Y36" s="508" t="s"/>
    </row>
    <row r="37" spans="1:25">
      <c r="A37" s="889" t="s"/>
      <c r="B37" s="859" t="s"/>
      <c r="C37" s="859" t="s"/>
      <c r="D37" s="921" t="s"/>
      <c r="E37" s="920" t="s"/>
      <c r="F37" s="926" t="s"/>
      <c r="G37" s="926" t="s"/>
      <c r="H37" s="922" t="s"/>
      <c r="I37" s="531" t="s"/>
      <c r="J37" s="925" t="s"/>
      <c r="K37" s="925" t="s"/>
      <c r="L37" s="861" t="s"/>
      <c r="M37" s="508" t="s"/>
      <c r="N37" s="508" t="s"/>
      <c r="O37" s="508" t="s"/>
      <c r="P37" s="508" t="s"/>
      <c r="Q37" s="508" t="s"/>
      <c r="R37" s="508" t="s"/>
      <c r="S37" s="508" t="s"/>
      <c r="T37" s="508" t="s"/>
      <c r="U37" s="508" t="s"/>
      <c r="V37" s="508" t="s"/>
      <c r="W37" s="508" t="s"/>
      <c r="X37" s="508" t="s"/>
      <c r="Y37" s="508" t="s"/>
    </row>
    <row r="38" spans="1:25">
      <c r="A38" s="889" t="s"/>
      <c r="B38" s="859" t="s"/>
      <c r="C38" s="859" t="s"/>
      <c r="D38" s="921" t="s"/>
      <c r="E38" s="920" t="s"/>
      <c r="F38" s="926" t="s"/>
      <c r="G38" s="926" t="s"/>
      <c r="H38" s="922" t="s"/>
      <c r="I38" s="531" t="s"/>
      <c r="J38" s="925" t="s"/>
      <c r="K38" s="925" t="s"/>
      <c r="L38" s="861" t="s"/>
      <c r="M38" s="508" t="s"/>
      <c r="N38" s="508" t="s"/>
      <c r="O38" s="508" t="s"/>
      <c r="P38" s="508" t="s"/>
      <c r="Q38" s="508" t="s"/>
      <c r="R38" s="508" t="s"/>
      <c r="S38" s="508" t="s"/>
      <c r="T38" s="508" t="s"/>
      <c r="U38" s="508" t="s"/>
      <c r="V38" s="508" t="s"/>
      <c r="W38" s="508" t="s"/>
      <c r="X38" s="508" t="s"/>
      <c r="Y38" s="508" t="s"/>
    </row>
    <row r="39" spans="1:25">
      <c r="A39" s="889" t="s"/>
      <c r="B39" s="859" t="s"/>
      <c r="C39" s="859" t="s"/>
      <c r="D39" s="921" t="s"/>
      <c r="E39" s="920" t="s"/>
      <c r="F39" s="926" t="s"/>
      <c r="G39" s="926" t="s"/>
      <c r="H39" s="922" t="s"/>
      <c r="I39" s="531" t="s"/>
      <c r="J39" s="925" t="s"/>
      <c r="K39" s="927" t="s"/>
      <c r="L39" s="861" t="s"/>
      <c r="M39" s="508" t="s"/>
      <c r="N39" s="508" t="s"/>
      <c r="O39" s="508" t="s"/>
      <c r="P39" s="508" t="s"/>
      <c r="Q39" s="508" t="s"/>
      <c r="R39" s="508" t="s"/>
      <c r="S39" s="508" t="s"/>
      <c r="T39" s="508" t="s"/>
      <c r="U39" s="508" t="s"/>
      <c r="V39" s="508" t="s"/>
      <c r="W39" s="508" t="s"/>
      <c r="X39" s="508" t="s"/>
      <c r="Y39" s="508" t="s"/>
    </row>
    <row r="40" spans="1:25">
      <c r="A40" s="928" t="s">
        <v>71</v>
      </c>
      <c r="B40" s="929" t="s"/>
      <c r="C40" s="929">
        <v>19</v>
      </c>
      <c r="D40" s="930" t="s">
        <v>91</v>
      </c>
      <c r="E40" s="931" t="s">
        <v>102</v>
      </c>
      <c r="F40" s="932">
        <v>1</v>
      </c>
      <c r="G40" s="932" t="s">
        <v>30</v>
      </c>
      <c r="H40" s="933" t="s">
        <v>163</v>
      </c>
      <c r="I40" s="934">
        <v>2</v>
      </c>
      <c r="J40" s="935">
        <v>1</v>
      </c>
      <c r="K40" s="936">
        <v>2</v>
      </c>
      <c r="L40" s="937">
        <v>19</v>
      </c>
      <c r="M40" s="508" t="s"/>
      <c r="N40" s="508" t="s"/>
      <c r="O40" s="508" t="s"/>
      <c r="P40" s="508" t="s"/>
      <c r="Q40" s="508" t="s"/>
      <c r="R40" s="508" t="s"/>
      <c r="S40" s="508" t="s"/>
      <c r="T40" s="508" t="s"/>
      <c r="U40" s="508" t="s"/>
      <c r="V40" s="508" t="s"/>
      <c r="W40" s="508" t="s"/>
      <c r="X40" s="508" t="s"/>
      <c r="Y40" s="508" t="s"/>
    </row>
    <row r="41" spans="1:25">
      <c r="A41" s="938" t="s"/>
      <c r="B41" s="939" t="s"/>
      <c r="C41" s="939" t="s"/>
      <c r="D41" s="930" t="s">
        <v>44</v>
      </c>
      <c r="E41" s="931" t="s">
        <v>164</v>
      </c>
      <c r="F41" s="932">
        <v>1</v>
      </c>
      <c r="G41" s="932" t="s">
        <v>30</v>
      </c>
      <c r="H41" s="933" t="s">
        <v>165</v>
      </c>
      <c r="I41" s="934">
        <v>1</v>
      </c>
      <c r="J41" s="935">
        <v>1</v>
      </c>
      <c r="K41" s="927" t="s"/>
      <c r="L41" s="875" t="s"/>
      <c r="M41" s="508" t="s"/>
      <c r="N41" s="508" t="s"/>
      <c r="O41" s="508" t="s"/>
      <c r="P41" s="508" t="s"/>
      <c r="Q41" s="508" t="s"/>
      <c r="R41" s="508" t="s"/>
      <c r="S41" s="508" t="s"/>
      <c r="T41" s="508" t="s"/>
      <c r="U41" s="508" t="s"/>
      <c r="V41" s="508" t="s"/>
      <c r="W41" s="508" t="s"/>
      <c r="X41" s="508" t="s"/>
      <c r="Y41" s="508" t="s"/>
    </row>
    <row r="42" spans="1:25">
      <c r="A42" s="938" t="s"/>
      <c r="B42" s="939" t="s"/>
      <c r="C42" s="939" t="s"/>
      <c r="D42" s="930" t="s">
        <v>20</v>
      </c>
      <c r="E42" s="931" t="s">
        <v>72</v>
      </c>
      <c r="F42" s="932">
        <v>2</v>
      </c>
      <c r="G42" s="932" t="s">
        <v>30</v>
      </c>
      <c r="H42" s="933" t="s">
        <v>168</v>
      </c>
      <c r="I42" s="934">
        <v>1</v>
      </c>
      <c r="J42" s="935">
        <v>1</v>
      </c>
      <c r="K42" s="927" t="s"/>
      <c r="L42" s="875" t="s"/>
      <c r="M42" s="508" t="s"/>
      <c r="N42" s="508" t="s"/>
      <c r="O42" s="508" t="s"/>
      <c r="P42" s="508" t="s"/>
      <c r="Q42" s="508" t="s"/>
      <c r="R42" s="508" t="s"/>
      <c r="S42" s="508" t="s"/>
      <c r="T42" s="508" t="s"/>
      <c r="U42" s="508" t="s"/>
      <c r="V42" s="508" t="s"/>
      <c r="W42" s="508" t="s"/>
      <c r="X42" s="508" t="s"/>
      <c r="Y42" s="508" t="s"/>
    </row>
    <row r="43" spans="1:25">
      <c r="A43" s="940" t="s"/>
      <c r="B43" s="941" t="s"/>
      <c r="C43" s="941" t="s"/>
      <c r="D43" s="942" t="s">
        <v>97</v>
      </c>
      <c r="E43" s="943" t="s">
        <v>103</v>
      </c>
      <c r="F43" s="942" t="s"/>
      <c r="G43" s="942" t="s"/>
      <c r="H43" s="944" t="s"/>
      <c r="I43" s="945">
        <v>0</v>
      </c>
      <c r="J43" s="946">
        <v>0</v>
      </c>
      <c r="K43" s="947" t="s"/>
      <c r="L43" s="875" t="s"/>
      <c r="M43" s="508" t="s"/>
      <c r="N43" s="508" t="s"/>
      <c r="O43" s="508" t="s"/>
      <c r="P43" s="508" t="s"/>
      <c r="Q43" s="508" t="s"/>
      <c r="R43" s="508" t="s"/>
      <c r="S43" s="508" t="s"/>
      <c r="T43" s="508" t="s"/>
      <c r="U43" s="508" t="s"/>
      <c r="V43" s="508" t="s"/>
      <c r="W43" s="508" t="s"/>
      <c r="X43" s="508" t="s"/>
      <c r="Y43" s="508" t="s"/>
    </row>
    <row r="44" spans="1:25">
      <c r="A44" s="859" t="s"/>
      <c r="B44" s="859" t="s"/>
      <c r="C44" s="859" t="s"/>
      <c r="D44" s="930" t="s">
        <v>20</v>
      </c>
      <c r="E44" s="929" t="s">
        <v>80</v>
      </c>
      <c r="F44" s="928">
        <v>1</v>
      </c>
      <c r="G44" s="928" t="s">
        <v>30</v>
      </c>
      <c r="H44" s="948" t="s">
        <v>169</v>
      </c>
      <c r="I44" s="934">
        <v>2</v>
      </c>
      <c r="J44" s="935">
        <v>2</v>
      </c>
      <c r="K44" s="927" t="s"/>
      <c r="L44" s="875" t="s"/>
      <c r="M44" s="508" t="s"/>
      <c r="N44" s="508" t="s"/>
      <c r="O44" s="508" t="s"/>
      <c r="P44" s="508" t="s"/>
      <c r="Q44" s="508" t="s"/>
      <c r="R44" s="508" t="s"/>
      <c r="S44" s="508" t="s"/>
      <c r="T44" s="508" t="s"/>
      <c r="U44" s="508" t="s"/>
      <c r="V44" s="508" t="s"/>
      <c r="W44" s="508" t="s"/>
      <c r="X44" s="508" t="s"/>
      <c r="Y44" s="508" t="s"/>
    </row>
    <row r="45" spans="1:25" ht="27.75" customHeight="true">
      <c r="A45" s="859" t="s"/>
      <c r="B45" s="859" t="s"/>
      <c r="C45" s="859" t="s"/>
      <c r="D45" s="949" t="s">
        <v>47</v>
      </c>
      <c r="E45" s="929" t="s">
        <v>170</v>
      </c>
      <c r="F45" s="928">
        <v>1</v>
      </c>
      <c r="G45" s="928" t="s">
        <v>30</v>
      </c>
      <c r="H45" s="948" t="s">
        <v>171</v>
      </c>
      <c r="I45" s="950">
        <v>0</v>
      </c>
      <c r="J45" s="951">
        <v>0</v>
      </c>
      <c r="K45" s="927" t="s"/>
      <c r="L45" s="875" t="s"/>
      <c r="M45" s="508" t="s"/>
      <c r="N45" s="508" t="s"/>
      <c r="O45" s="508" t="s"/>
      <c r="P45" s="508" t="s"/>
      <c r="Q45" s="508" t="s"/>
      <c r="R45" s="508" t="s"/>
      <c r="S45" s="508" t="s"/>
      <c r="T45" s="508" t="s"/>
      <c r="U45" s="508" t="s"/>
      <c r="V45" s="508" t="s"/>
      <c r="W45" s="508" t="s"/>
      <c r="X45" s="508" t="s"/>
      <c r="Y45" s="508" t="s"/>
    </row>
    <row r="46" spans="1:25">
      <c r="A46" s="859" t="s"/>
      <c r="B46" s="859" t="s"/>
      <c r="C46" s="859" t="s"/>
      <c r="D46" s="949" t="s">
        <v>20</v>
      </c>
      <c r="E46" s="929" t="s">
        <v>105</v>
      </c>
      <c r="F46" s="949">
        <v>1</v>
      </c>
      <c r="G46" s="949" t="s">
        <v>30</v>
      </c>
      <c r="H46" s="948" t="s">
        <v>184</v>
      </c>
      <c r="I46" s="950">
        <v>0</v>
      </c>
      <c r="J46" s="951">
        <v>0</v>
      </c>
      <c r="K46" s="927" t="s"/>
      <c r="L46" s="875" t="s"/>
      <c r="M46" s="508" t="s"/>
      <c r="N46" s="508" t="s"/>
      <c r="O46" s="508" t="s"/>
      <c r="P46" s="508" t="s"/>
      <c r="Q46" s="508" t="s"/>
      <c r="R46" s="508" t="s"/>
      <c r="S46" s="508" t="s"/>
      <c r="T46" s="508" t="s"/>
      <c r="U46" s="508" t="s"/>
      <c r="V46" s="508" t="s"/>
      <c r="W46" s="508" t="s"/>
      <c r="X46" s="508" t="s"/>
      <c r="Y46" s="508" t="s"/>
    </row>
    <row r="47" spans="1:25">
      <c r="A47" s="859" t="s"/>
      <c r="B47" s="859" t="s"/>
      <c r="C47" s="859" t="s"/>
      <c r="D47" s="949" t="s">
        <v>20</v>
      </c>
      <c r="E47" s="929" t="s">
        <v>106</v>
      </c>
      <c r="F47" s="949">
        <v>1</v>
      </c>
      <c r="G47" s="949" t="s">
        <v>30</v>
      </c>
      <c r="H47" s="948" t="s"/>
      <c r="I47" s="952" t="s"/>
      <c r="J47" s="953" t="s"/>
      <c r="K47" s="954" t="s"/>
      <c r="L47" s="955" t="s"/>
      <c r="M47" s="508" t="s"/>
      <c r="N47" s="508" t="s"/>
      <c r="O47" s="508" t="s"/>
      <c r="P47" s="508" t="s"/>
      <c r="Q47" s="508" t="s"/>
      <c r="R47" s="508" t="s"/>
      <c r="S47" s="508" t="s"/>
      <c r="T47" s="508" t="s"/>
      <c r="U47" s="508" t="s"/>
      <c r="V47" s="508" t="s"/>
      <c r="W47" s="508" t="s"/>
      <c r="X47" s="508" t="s"/>
      <c r="Y47" s="508" t="s"/>
    </row>
    <row r="48" spans="4:25">
      <c r="D48" s="410" t="s"/>
      <c r="M48" s="508" t="s"/>
      <c r="N48" s="508" t="s"/>
      <c r="O48" s="508" t="s"/>
      <c r="P48" s="508" t="s"/>
      <c r="Q48" s="508" t="s"/>
      <c r="R48" s="508" t="s"/>
      <c r="S48" s="508" t="s"/>
      <c r="T48" s="508" t="s"/>
      <c r="U48" s="508" t="s"/>
      <c r="V48" s="508" t="s"/>
      <c r="W48" s="508" t="s"/>
      <c r="X48" s="508" t="s"/>
      <c r="Y48" s="508" t="s"/>
    </row>
    <row r="49" spans="4:25">
      <c r="D49" s="410" t="s"/>
      <c r="M49" s="508" t="s"/>
      <c r="N49" s="508" t="s"/>
      <c r="O49" s="508" t="s"/>
      <c r="P49" s="508" t="s"/>
      <c r="Q49" s="508" t="s"/>
      <c r="R49" s="508" t="s"/>
      <c r="S49" s="508" t="s"/>
      <c r="T49" s="508" t="s"/>
      <c r="U49" s="508" t="s"/>
      <c r="V49" s="508" t="s"/>
      <c r="W49" s="508" t="s"/>
      <c r="X49" s="508" t="s"/>
      <c r="Y49" s="508" t="s"/>
    </row>
    <row r="50" spans="4:25">
      <c r="D50" s="410" t="s"/>
      <c r="M50" s="508" t="s"/>
      <c r="N50" s="508" t="s"/>
      <c r="O50" s="508" t="s"/>
      <c r="P50" s="508" t="s"/>
      <c r="Q50" s="508" t="s"/>
      <c r="R50" s="508" t="s"/>
      <c r="S50" s="508" t="s"/>
      <c r="T50" s="508" t="s"/>
      <c r="U50" s="508" t="s"/>
      <c r="V50" s="508" t="s"/>
      <c r="W50" s="508" t="s"/>
      <c r="X50" s="508" t="s"/>
      <c r="Y50" s="508" t="s"/>
    </row>
    <row r="51" spans="4:25">
      <c r="D51" s="410" t="s"/>
      <c r="M51" s="508" t="s"/>
      <c r="N51" s="508" t="s"/>
      <c r="O51" s="508" t="s"/>
      <c r="P51" s="508" t="s"/>
      <c r="Q51" s="508" t="s"/>
      <c r="R51" s="508" t="s"/>
      <c r="S51" s="508" t="s"/>
      <c r="T51" s="508" t="s"/>
      <c r="U51" s="508" t="s"/>
      <c r="V51" s="508" t="s"/>
      <c r="W51" s="508" t="s"/>
      <c r="X51" s="508" t="s"/>
      <c r="Y51" s="508" t="s"/>
    </row>
    <row r="52" spans="4:25">
      <c r="D52" s="410" t="s"/>
      <c r="M52" s="508" t="s"/>
      <c r="N52" s="508" t="s"/>
      <c r="O52" s="508" t="s"/>
      <c r="P52" s="508" t="s"/>
      <c r="Q52" s="508" t="s"/>
      <c r="R52" s="508" t="s"/>
      <c r="S52" s="508" t="s"/>
      <c r="T52" s="508" t="s"/>
      <c r="U52" s="508" t="s"/>
      <c r="V52" s="508" t="s"/>
      <c r="W52" s="508" t="s"/>
      <c r="X52" s="508" t="s"/>
      <c r="Y52" s="508" t="s"/>
    </row>
    <row r="53" spans="4:25">
      <c r="D53" s="410" t="s"/>
      <c r="M53" s="508" t="s"/>
      <c r="N53" s="508" t="s"/>
      <c r="O53" s="508" t="s"/>
      <c r="P53" s="508" t="s"/>
      <c r="Q53" s="508" t="s"/>
      <c r="R53" s="508" t="s"/>
      <c r="S53" s="508" t="s"/>
      <c r="T53" s="508" t="s"/>
      <c r="U53" s="508" t="s"/>
      <c r="V53" s="508" t="s"/>
      <c r="W53" s="508" t="s"/>
      <c r="X53" s="508" t="s"/>
      <c r="Y53" s="508" t="s"/>
    </row>
    <row r="54" spans="4:25">
      <c r="D54" s="410" t="s"/>
      <c r="M54" s="508" t="s"/>
      <c r="N54" s="508" t="s"/>
      <c r="O54" s="508" t="s"/>
      <c r="P54" s="508" t="s"/>
      <c r="Q54" s="508" t="s"/>
      <c r="R54" s="508" t="s"/>
      <c r="S54" s="508" t="s"/>
      <c r="T54" s="508" t="s"/>
      <c r="U54" s="508" t="s"/>
      <c r="V54" s="508" t="s"/>
      <c r="W54" s="508" t="s"/>
      <c r="X54" s="508" t="s"/>
      <c r="Y54" s="508" t="s"/>
    </row>
    <row r="55" spans="1:25">
      <c r="A55" s="680" t="s"/>
      <c r="B55" s="837" t="s"/>
      <c r="C55" s="837" t="s"/>
      <c r="D55" s="838" t="s"/>
      <c r="E55" s="837" t="s"/>
      <c r="F55" s="839" t="s"/>
      <c r="G55" s="839" t="s"/>
      <c r="H55" s="840" t="s"/>
      <c r="I55" s="508" t="s"/>
      <c r="J55" s="508" t="s"/>
      <c r="K55" s="508" t="s"/>
      <c r="L55" s="508" t="s"/>
      <c r="M55" s="508" t="s"/>
      <c r="N55" s="508" t="s"/>
      <c r="O55" s="508" t="s"/>
      <c r="P55" s="508" t="s"/>
      <c r="Q55" s="508" t="s"/>
      <c r="R55" s="508" t="s"/>
      <c r="S55" s="508" t="s"/>
      <c r="T55" s="508" t="s"/>
      <c r="U55" s="508" t="s"/>
      <c r="V55" s="508" t="s"/>
      <c r="W55" s="508" t="s"/>
      <c r="X55" s="508" t="s"/>
      <c r="Y55" s="508" t="s"/>
    </row>
    <row r="56" spans="1:25">
      <c r="A56" s="680" t="s"/>
      <c r="B56" s="837" t="s"/>
      <c r="C56" s="837" t="s"/>
      <c r="D56" s="838" t="s"/>
      <c r="E56" s="837" t="s"/>
      <c r="F56" s="839" t="s"/>
      <c r="G56" s="839" t="s"/>
      <c r="H56" s="840" t="s"/>
      <c r="I56" s="508" t="s"/>
      <c r="J56" s="508" t="s"/>
      <c r="K56" s="508" t="s"/>
      <c r="L56" s="508" t="s"/>
      <c r="M56" s="508" t="s"/>
      <c r="N56" s="508" t="s"/>
      <c r="O56" s="508" t="s"/>
      <c r="P56" s="508" t="s"/>
      <c r="Q56" s="508" t="s"/>
      <c r="R56" s="508" t="s"/>
      <c r="S56" s="508" t="s"/>
      <c r="T56" s="508" t="s"/>
      <c r="U56" s="508" t="s"/>
      <c r="V56" s="508" t="s"/>
      <c r="W56" s="508" t="s"/>
      <c r="X56" s="508" t="s"/>
      <c r="Y56" s="508" t="s"/>
    </row>
    <row r="57" spans="1:25">
      <c r="A57" s="680" t="s"/>
      <c r="B57" s="837" t="s"/>
      <c r="C57" s="837" t="s"/>
      <c r="D57" s="838" t="s"/>
      <c r="E57" s="837" t="s"/>
      <c r="F57" s="839" t="s"/>
      <c r="G57" s="839" t="s"/>
      <c r="H57" s="840" t="s"/>
      <c r="I57" s="508" t="s"/>
      <c r="J57" s="508" t="s"/>
      <c r="K57" s="508" t="s"/>
      <c r="L57" s="508" t="s"/>
      <c r="M57" s="508" t="s"/>
      <c r="N57" s="508" t="s"/>
      <c r="O57" s="508" t="s"/>
      <c r="P57" s="508" t="s"/>
      <c r="Q57" s="508" t="s"/>
      <c r="R57" s="508" t="s"/>
      <c r="S57" s="508" t="s"/>
      <c r="T57" s="508" t="s"/>
      <c r="U57" s="508" t="s"/>
      <c r="V57" s="508" t="s"/>
      <c r="W57" s="508" t="s"/>
      <c r="X57" s="508" t="s"/>
      <c r="Y57" s="508" t="s"/>
    </row>
    <row r="58" spans="1:25">
      <c r="A58" s="680" t="s"/>
      <c r="B58" s="837" t="s"/>
      <c r="C58" s="837" t="s"/>
      <c r="D58" s="838" t="s"/>
      <c r="E58" s="837" t="s"/>
      <c r="F58" s="839" t="s"/>
      <c r="G58" s="839" t="s"/>
      <c r="H58" s="840" t="s"/>
      <c r="I58" s="508" t="s"/>
      <c r="J58" s="508" t="s"/>
      <c r="K58" s="508" t="s"/>
      <c r="L58" s="508" t="s"/>
      <c r="M58" s="508" t="s"/>
      <c r="N58" s="508" t="s"/>
      <c r="O58" s="508" t="s"/>
      <c r="P58" s="508" t="s"/>
      <c r="Q58" s="508" t="s"/>
      <c r="R58" s="508" t="s"/>
      <c r="S58" s="508" t="s"/>
      <c r="T58" s="508" t="s"/>
      <c r="U58" s="508" t="s"/>
      <c r="V58" s="508" t="s"/>
      <c r="W58" s="508" t="s"/>
      <c r="X58" s="508" t="s"/>
      <c r="Y58" s="508" t="s"/>
    </row>
    <row r="59" spans="1:25">
      <c r="A59" s="680" t="s"/>
      <c r="B59" s="837" t="s"/>
      <c r="C59" s="837" t="s"/>
      <c r="D59" s="838" t="s"/>
      <c r="E59" s="837" t="s"/>
      <c r="F59" s="839" t="s"/>
      <c r="G59" s="839" t="s"/>
      <c r="H59" s="840" t="s"/>
      <c r="I59" s="508" t="s"/>
      <c r="J59" s="508" t="s"/>
      <c r="K59" s="508" t="s"/>
      <c r="L59" s="508" t="s"/>
      <c r="M59" s="508" t="s"/>
      <c r="N59" s="508" t="s"/>
      <c r="O59" s="508" t="s"/>
      <c r="P59" s="508" t="s"/>
      <c r="Q59" s="508" t="s"/>
      <c r="R59" s="508" t="s"/>
      <c r="S59" s="508" t="s"/>
      <c r="T59" s="508" t="s"/>
      <c r="U59" s="508" t="s"/>
      <c r="V59" s="508" t="s"/>
      <c r="W59" s="508" t="s"/>
      <c r="X59" s="508" t="s"/>
      <c r="Y59" s="508" t="s"/>
    </row>
    <row r="60" spans="1:25">
      <c r="A60" s="680" t="s"/>
      <c r="B60" s="837" t="s"/>
      <c r="C60" s="837" t="s"/>
      <c r="D60" s="838" t="s"/>
      <c r="E60" s="837" t="s"/>
      <c r="F60" s="839" t="s"/>
      <c r="G60" s="839" t="s"/>
      <c r="H60" s="840" t="s"/>
      <c r="I60" s="508" t="s"/>
      <c r="J60" s="508" t="s"/>
      <c r="K60" s="508" t="s"/>
      <c r="L60" s="508" t="s"/>
      <c r="M60" s="508" t="s"/>
      <c r="N60" s="508" t="s"/>
      <c r="O60" s="508" t="s"/>
      <c r="P60" s="508" t="s"/>
      <c r="Q60" s="508" t="s"/>
      <c r="R60" s="508" t="s"/>
      <c r="S60" s="508" t="s"/>
      <c r="T60" s="508" t="s"/>
      <c r="U60" s="508" t="s"/>
      <c r="V60" s="508" t="s"/>
      <c r="W60" s="508" t="s"/>
      <c r="X60" s="508" t="s"/>
      <c r="Y60" s="508" t="s"/>
    </row>
    <row r="61" spans="1:25">
      <c r="A61" s="680" t="s"/>
      <c r="B61" s="837" t="s"/>
      <c r="C61" s="837" t="s"/>
      <c r="D61" s="838" t="s"/>
      <c r="E61" s="837" t="s"/>
      <c r="F61" s="839" t="s"/>
      <c r="G61" s="839" t="s"/>
      <c r="H61" s="840" t="s"/>
      <c r="I61" s="508" t="s"/>
      <c r="J61" s="508" t="s"/>
      <c r="K61" s="508" t="s"/>
      <c r="L61" s="508" t="s"/>
      <c r="M61" s="508" t="s"/>
      <c r="N61" s="508" t="s"/>
      <c r="O61" s="508" t="s"/>
      <c r="P61" s="508" t="s"/>
      <c r="Q61" s="508" t="s"/>
      <c r="R61" s="508" t="s"/>
      <c r="S61" s="508" t="s"/>
      <c r="T61" s="508" t="s"/>
      <c r="U61" s="508" t="s"/>
      <c r="V61" s="508" t="s"/>
      <c r="W61" s="508" t="s"/>
      <c r="X61" s="508" t="s"/>
      <c r="Y61" s="508" t="s"/>
    </row>
    <row r="62" spans="1:25">
      <c r="A62" s="680" t="s"/>
      <c r="B62" s="837" t="s"/>
      <c r="C62" s="837" t="s"/>
      <c r="D62" s="838" t="s"/>
      <c r="E62" s="837" t="s"/>
      <c r="F62" s="839" t="s"/>
      <c r="G62" s="839" t="s"/>
      <c r="H62" s="840" t="s"/>
      <c r="I62" s="508" t="s"/>
      <c r="J62" s="508" t="s"/>
      <c r="K62" s="508" t="s"/>
      <c r="L62" s="508" t="s"/>
      <c r="M62" s="508" t="s"/>
      <c r="N62" s="508" t="s"/>
      <c r="O62" s="508" t="s"/>
      <c r="P62" s="508" t="s"/>
      <c r="Q62" s="508" t="s"/>
      <c r="R62" s="508" t="s"/>
      <c r="S62" s="508" t="s"/>
      <c r="T62" s="508" t="s"/>
      <c r="U62" s="508" t="s"/>
      <c r="V62" s="508" t="s"/>
      <c r="W62" s="508" t="s"/>
      <c r="X62" s="508" t="s"/>
      <c r="Y62" s="508" t="s"/>
    </row>
    <row r="63" spans="4:25">
      <c r="D63" s="410" t="s"/>
      <c r="M63" s="508" t="s"/>
      <c r="N63" s="508" t="s"/>
      <c r="O63" s="508" t="s"/>
      <c r="P63" s="508" t="s"/>
      <c r="Q63" s="508" t="s"/>
      <c r="R63" s="508" t="s"/>
      <c r="S63" s="508" t="s"/>
      <c r="T63" s="508" t="s"/>
      <c r="U63" s="508" t="s"/>
      <c r="V63" s="508" t="s"/>
      <c r="W63" s="508" t="s"/>
      <c r="X63" s="508" t="s"/>
      <c r="Y63" s="508" t="s"/>
    </row>
    <row r="64" spans="4:25">
      <c r="D64" s="410" t="s"/>
      <c r="M64" s="508" t="s"/>
      <c r="N64" s="508" t="s"/>
      <c r="O64" s="508" t="s"/>
      <c r="P64" s="508" t="s"/>
      <c r="Q64" s="508" t="s"/>
      <c r="R64" s="508" t="s"/>
      <c r="S64" s="508" t="s"/>
      <c r="T64" s="508" t="s"/>
      <c r="U64" s="508" t="s"/>
      <c r="V64" s="508" t="s"/>
      <c r="W64" s="508" t="s"/>
      <c r="X64" s="508" t="s"/>
      <c r="Y64" s="508" t="s"/>
    </row>
    <row r="65" spans="4:25">
      <c r="D65" s="410" t="s"/>
      <c r="M65" s="508" t="s"/>
      <c r="N65" s="508" t="s"/>
      <c r="O65" s="508" t="s"/>
      <c r="P65" s="508" t="s"/>
      <c r="Q65" s="508" t="s"/>
      <c r="R65" s="508" t="s"/>
      <c r="S65" s="508" t="s"/>
      <c r="T65" s="508" t="s"/>
      <c r="U65" s="508" t="s"/>
      <c r="V65" s="508" t="s"/>
      <c r="W65" s="508" t="s"/>
      <c r="X65" s="508" t="s"/>
      <c r="Y65" s="508" t="s"/>
    </row>
    <row r="66" spans="4:25">
      <c r="D66" s="410" t="s"/>
      <c r="M66" s="508" t="s"/>
      <c r="N66" s="508" t="s"/>
      <c r="O66" s="508" t="s"/>
      <c r="P66" s="508" t="s"/>
      <c r="Q66" s="508" t="s"/>
      <c r="R66" s="508" t="s"/>
      <c r="S66" s="508" t="s"/>
      <c r="T66" s="508" t="s"/>
      <c r="U66" s="508" t="s"/>
      <c r="V66" s="508" t="s"/>
      <c r="W66" s="508" t="s"/>
      <c r="X66" s="508" t="s"/>
      <c r="Y66" s="508" t="s"/>
    </row>
    <row r="67" spans="4:25">
      <c r="D67" s="410" t="s"/>
      <c r="M67" s="508" t="s"/>
      <c r="N67" s="508" t="s"/>
      <c r="O67" s="508" t="s"/>
      <c r="P67" s="508" t="s"/>
      <c r="Q67" s="508" t="s"/>
      <c r="R67" s="508" t="s"/>
      <c r="S67" s="508" t="s"/>
      <c r="T67" s="508" t="s"/>
      <c r="U67" s="508" t="s"/>
      <c r="V67" s="508" t="s"/>
      <c r="W67" s="508" t="s"/>
      <c r="X67" s="508" t="s"/>
      <c r="Y67" s="508" t="s"/>
    </row>
    <row r="68" spans="1:25">
      <c r="A68" s="680" t="s"/>
      <c r="B68" s="837" t="s"/>
      <c r="C68" s="837" t="s"/>
      <c r="D68" s="838" t="s"/>
      <c r="E68" s="837" t="s"/>
      <c r="F68" s="839" t="s"/>
      <c r="G68" s="839" t="s"/>
      <c r="H68" s="840" t="s"/>
      <c r="I68" s="508" t="s"/>
      <c r="J68" s="508" t="s"/>
      <c r="K68" s="508" t="s"/>
      <c r="L68" s="508" t="s"/>
      <c r="M68" s="508" t="s"/>
      <c r="N68" s="508" t="s"/>
      <c r="O68" s="508" t="s"/>
      <c r="P68" s="508" t="s"/>
      <c r="Q68" s="508" t="s"/>
      <c r="R68" s="508" t="s"/>
      <c r="S68" s="508" t="s"/>
      <c r="T68" s="508" t="s"/>
      <c r="U68" s="508" t="s"/>
      <c r="V68" s="508" t="s"/>
      <c r="W68" s="508" t="s"/>
      <c r="X68" s="508" t="s"/>
      <c r="Y68" s="508" t="s"/>
    </row>
    <row r="69" spans="1:25">
      <c r="A69" s="680" t="s"/>
      <c r="B69" s="837" t="s"/>
      <c r="C69" s="837" t="s"/>
      <c r="D69" s="838" t="s"/>
      <c r="E69" s="837" t="s"/>
      <c r="F69" s="839" t="s"/>
      <c r="G69" s="839" t="s"/>
      <c r="H69" s="840" t="s"/>
      <c r="I69" s="508" t="s"/>
      <c r="J69" s="508" t="s"/>
      <c r="K69" s="508" t="s"/>
      <c r="L69" s="508" t="s"/>
      <c r="M69" s="508" t="s"/>
      <c r="N69" s="508" t="s"/>
      <c r="O69" s="508" t="s"/>
      <c r="P69" s="508" t="s"/>
      <c r="Q69" s="508" t="s"/>
      <c r="R69" s="508" t="s"/>
      <c r="S69" s="508" t="s"/>
      <c r="T69" s="508" t="s"/>
      <c r="U69" s="508" t="s"/>
      <c r="V69" s="508" t="s"/>
      <c r="W69" s="508" t="s"/>
      <c r="X69" s="508" t="s"/>
      <c r="Y69" s="508" t="s"/>
    </row>
    <row r="70" spans="1:25">
      <c r="A70" s="680" t="s"/>
      <c r="B70" s="837" t="s"/>
      <c r="C70" s="837" t="s"/>
      <c r="D70" s="838" t="s"/>
      <c r="E70" s="837" t="s"/>
      <c r="F70" s="839" t="s"/>
      <c r="G70" s="839" t="s"/>
      <c r="H70" s="840" t="s"/>
      <c r="I70" s="508" t="s"/>
      <c r="J70" s="508" t="s"/>
      <c r="K70" s="508" t="s"/>
      <c r="L70" s="508" t="s"/>
      <c r="M70" s="508" t="s"/>
      <c r="N70" s="508" t="s"/>
      <c r="O70" s="508" t="s"/>
      <c r="P70" s="508" t="s"/>
      <c r="Q70" s="508" t="s"/>
      <c r="R70" s="508" t="s"/>
      <c r="S70" s="508" t="s"/>
      <c r="T70" s="508" t="s"/>
      <c r="U70" s="508" t="s"/>
      <c r="V70" s="508" t="s"/>
      <c r="W70" s="508" t="s"/>
      <c r="X70" s="508" t="s"/>
      <c r="Y70" s="508" t="s"/>
    </row>
    <row r="71" spans="1:25">
      <c r="A71" s="680" t="s"/>
      <c r="B71" s="837" t="s"/>
      <c r="C71" s="837" t="s"/>
      <c r="D71" s="838" t="s"/>
      <c r="E71" s="837" t="s"/>
      <c r="F71" s="839" t="s"/>
      <c r="G71" s="839" t="s"/>
      <c r="H71" s="840" t="s"/>
      <c r="I71" s="508" t="s"/>
      <c r="J71" s="508" t="s"/>
      <c r="K71" s="508" t="s"/>
      <c r="L71" s="508" t="s"/>
      <c r="M71" s="508" t="s"/>
      <c r="N71" s="508" t="s"/>
      <c r="O71" s="508" t="s"/>
      <c r="P71" s="508" t="s"/>
      <c r="Q71" s="508" t="s"/>
      <c r="R71" s="508" t="s"/>
      <c r="S71" s="508" t="s"/>
      <c r="T71" s="508" t="s"/>
      <c r="U71" s="508" t="s"/>
      <c r="V71" s="508" t="s"/>
      <c r="W71" s="508" t="s"/>
      <c r="X71" s="508" t="s"/>
      <c r="Y71" s="508" t="s"/>
    </row>
    <row r="72" spans="1:25">
      <c r="A72" s="680" t="s"/>
      <c r="B72" s="837" t="s"/>
      <c r="C72" s="837" t="s"/>
      <c r="D72" s="838" t="s"/>
      <c r="E72" s="837" t="s"/>
      <c r="F72" s="839" t="s"/>
      <c r="G72" s="839" t="s"/>
      <c r="H72" s="840" t="s"/>
      <c r="I72" s="508" t="s"/>
      <c r="J72" s="508" t="s"/>
      <c r="K72" s="508" t="s"/>
      <c r="L72" s="508" t="s"/>
      <c r="M72" s="508" t="s"/>
      <c r="N72" s="508" t="s"/>
      <c r="O72" s="508" t="s"/>
      <c r="P72" s="508" t="s"/>
      <c r="Q72" s="508" t="s"/>
      <c r="R72" s="508" t="s"/>
      <c r="S72" s="508" t="s"/>
      <c r="T72" s="508" t="s"/>
      <c r="U72" s="508" t="s"/>
      <c r="V72" s="508" t="s"/>
      <c r="W72" s="508" t="s"/>
      <c r="X72" s="508" t="s"/>
      <c r="Y72" s="508" t="s"/>
    </row>
    <row r="73" spans="1:25">
      <c r="A73" s="680" t="s"/>
      <c r="B73" s="837" t="s"/>
      <c r="C73" s="837" t="s"/>
      <c r="D73" s="838" t="s"/>
      <c r="E73" s="837" t="s"/>
      <c r="F73" s="839" t="s"/>
      <c r="G73" s="839" t="s"/>
      <c r="H73" s="840" t="s"/>
      <c r="I73" s="508" t="s"/>
      <c r="J73" s="508" t="s"/>
      <c r="K73" s="508" t="s"/>
      <c r="L73" s="508" t="s"/>
      <c r="M73" s="508" t="s"/>
      <c r="N73" s="508" t="s"/>
      <c r="O73" s="508" t="s"/>
      <c r="P73" s="508" t="s"/>
      <c r="Q73" s="508" t="s"/>
      <c r="R73" s="508" t="s"/>
      <c r="S73" s="508" t="s"/>
      <c r="T73" s="508" t="s"/>
      <c r="U73" s="508" t="s"/>
      <c r="V73" s="508" t="s"/>
      <c r="W73" s="508" t="s"/>
      <c r="X73" s="508" t="s"/>
      <c r="Y73" s="508" t="s"/>
    </row>
    <row r="74" spans="1:25">
      <c r="A74" s="680" t="s"/>
      <c r="B74" s="837" t="s"/>
      <c r="C74" s="837" t="s"/>
      <c r="D74" s="838" t="s"/>
      <c r="E74" s="837" t="s"/>
      <c r="F74" s="839" t="s"/>
      <c r="G74" s="839" t="s"/>
      <c r="H74" s="840" t="s"/>
      <c r="I74" s="508" t="s"/>
      <c r="J74" s="508" t="s"/>
      <c r="K74" s="508" t="s"/>
      <c r="L74" s="508" t="s"/>
      <c r="M74" s="508" t="s"/>
      <c r="N74" s="508" t="s"/>
      <c r="O74" s="508" t="s"/>
      <c r="P74" s="508" t="s"/>
      <c r="Q74" s="508" t="s"/>
      <c r="R74" s="508" t="s"/>
      <c r="S74" s="508" t="s"/>
      <c r="T74" s="508" t="s"/>
      <c r="U74" s="508" t="s"/>
      <c r="V74" s="508" t="s"/>
      <c r="W74" s="508" t="s"/>
      <c r="X74" s="508" t="s"/>
      <c r="Y74" s="508" t="s"/>
    </row>
    <row r="75" spans="1:25">
      <c r="A75" s="680" t="s"/>
      <c r="B75" s="837" t="s"/>
      <c r="C75" s="837" t="s"/>
      <c r="D75" s="838" t="s"/>
      <c r="E75" s="837" t="s"/>
      <c r="F75" s="839" t="s"/>
      <c r="G75" s="839" t="s"/>
      <c r="H75" s="840" t="s"/>
      <c r="I75" s="508" t="s"/>
      <c r="J75" s="508" t="s"/>
      <c r="K75" s="508" t="s"/>
      <c r="L75" s="508" t="s"/>
      <c r="M75" s="508" t="s"/>
      <c r="N75" s="508" t="s"/>
      <c r="O75" s="508" t="s"/>
      <c r="P75" s="508" t="s"/>
      <c r="Q75" s="508" t="s"/>
      <c r="R75" s="508" t="s"/>
      <c r="S75" s="508" t="s"/>
      <c r="T75" s="508" t="s"/>
      <c r="U75" s="508" t="s"/>
      <c r="V75" s="508" t="s"/>
      <c r="W75" s="508" t="s"/>
      <c r="X75" s="508" t="s"/>
      <c r="Y75" s="508" t="s"/>
    </row>
    <row r="76" spans="1:25">
      <c r="A76" s="680" t="s"/>
      <c r="B76" s="837" t="s"/>
      <c r="C76" s="837" t="s"/>
      <c r="D76" s="838" t="s"/>
      <c r="E76" s="837" t="s"/>
      <c r="F76" s="839" t="s"/>
      <c r="G76" s="839" t="s"/>
      <c r="H76" s="840" t="s"/>
      <c r="I76" s="508" t="s"/>
      <c r="J76" s="508" t="s"/>
      <c r="K76" s="508" t="s"/>
      <c r="L76" s="508" t="s"/>
      <c r="M76" s="508" t="s"/>
      <c r="N76" s="508" t="s"/>
      <c r="O76" s="508" t="s"/>
      <c r="P76" s="508" t="s"/>
      <c r="Q76" s="508" t="s"/>
      <c r="R76" s="508" t="s"/>
      <c r="S76" s="508" t="s"/>
      <c r="T76" s="508" t="s"/>
      <c r="U76" s="508" t="s"/>
      <c r="V76" s="508" t="s"/>
      <c r="W76" s="508" t="s"/>
      <c r="X76" s="508" t="s"/>
      <c r="Y76" s="508" t="s"/>
    </row>
    <row r="77" spans="1:25">
      <c r="A77" s="680" t="s"/>
      <c r="B77" s="837" t="s"/>
      <c r="C77" s="837" t="s"/>
      <c r="D77" s="838" t="s"/>
      <c r="E77" s="837" t="s"/>
      <c r="F77" s="839" t="s"/>
      <c r="G77" s="839" t="s"/>
      <c r="H77" s="840" t="s"/>
      <c r="I77" s="508" t="s"/>
      <c r="J77" s="508" t="s"/>
      <c r="K77" s="508" t="s"/>
      <c r="L77" s="508" t="s"/>
      <c r="M77" s="508" t="s"/>
      <c r="N77" s="508" t="s"/>
      <c r="O77" s="508" t="s"/>
      <c r="P77" s="508" t="s"/>
      <c r="Q77" s="508" t="s"/>
      <c r="R77" s="508" t="s"/>
      <c r="S77" s="508" t="s"/>
      <c r="T77" s="508" t="s"/>
      <c r="U77" s="508" t="s"/>
      <c r="V77" s="508" t="s"/>
      <c r="W77" s="508" t="s"/>
      <c r="X77" s="508" t="s"/>
      <c r="Y77" s="508" t="s"/>
    </row>
    <row r="78" spans="1:25">
      <c r="A78" s="680" t="s"/>
      <c r="B78" s="837" t="s"/>
      <c r="C78" s="837" t="s"/>
      <c r="D78" s="838" t="s"/>
      <c r="E78" s="837" t="s"/>
      <c r="F78" s="839" t="s"/>
      <c r="G78" s="839" t="s"/>
      <c r="H78" s="840" t="s"/>
      <c r="I78" s="508" t="s"/>
      <c r="J78" s="508" t="s"/>
      <c r="K78" s="508" t="s"/>
      <c r="L78" s="508" t="s"/>
      <c r="M78" s="508" t="s"/>
      <c r="N78" s="508" t="s"/>
      <c r="O78" s="508" t="s"/>
      <c r="P78" s="508" t="s"/>
      <c r="Q78" s="508" t="s"/>
      <c r="R78" s="508" t="s"/>
      <c r="S78" s="508" t="s"/>
      <c r="T78" s="508" t="s"/>
      <c r="U78" s="508" t="s"/>
      <c r="V78" s="508" t="s"/>
      <c r="W78" s="508" t="s"/>
      <c r="X78" s="508" t="s"/>
      <c r="Y78" s="508" t="s"/>
    </row>
    <row r="79" spans="1:25">
      <c r="A79" s="680" t="s"/>
      <c r="B79" s="837" t="s"/>
      <c r="C79" s="837" t="s"/>
      <c r="D79" s="838" t="s"/>
      <c r="E79" s="837" t="s"/>
      <c r="F79" s="839" t="s"/>
      <c r="G79" s="839" t="s"/>
      <c r="H79" s="840" t="s"/>
      <c r="I79" s="508" t="s"/>
      <c r="J79" s="508" t="s"/>
      <c r="K79" s="508" t="s"/>
      <c r="L79" s="508" t="s"/>
      <c r="M79" s="508" t="s"/>
      <c r="N79" s="508" t="s"/>
      <c r="O79" s="508" t="s"/>
      <c r="P79" s="508" t="s"/>
      <c r="Q79" s="508" t="s"/>
      <c r="R79" s="508" t="s"/>
      <c r="S79" s="508" t="s"/>
      <c r="T79" s="508" t="s"/>
      <c r="U79" s="508" t="s"/>
      <c r="V79" s="508" t="s"/>
      <c r="W79" s="508" t="s"/>
      <c r="X79" s="508" t="s"/>
      <c r="Y79" s="508" t="s"/>
    </row>
    <row r="80" spans="1:25">
      <c r="A80" s="680" t="s"/>
      <c r="B80" s="837" t="s"/>
      <c r="C80" s="837" t="s"/>
      <c r="D80" s="838" t="s"/>
      <c r="E80" s="837" t="s"/>
      <c r="F80" s="839" t="s"/>
      <c r="G80" s="839" t="s"/>
      <c r="H80" s="840" t="s"/>
      <c r="I80" s="508" t="s"/>
      <c r="J80" s="508" t="s"/>
      <c r="K80" s="508" t="s"/>
      <c r="L80" s="508" t="s"/>
      <c r="M80" s="508" t="s"/>
      <c r="N80" s="508" t="s"/>
      <c r="O80" s="508" t="s"/>
      <c r="P80" s="508" t="s"/>
      <c r="Q80" s="508" t="s"/>
      <c r="R80" s="508" t="s"/>
      <c r="S80" s="508" t="s"/>
      <c r="T80" s="508" t="s"/>
      <c r="U80" s="508" t="s"/>
      <c r="V80" s="508" t="s"/>
      <c r="W80" s="508" t="s"/>
      <c r="X80" s="508" t="s"/>
      <c r="Y80" s="508" t="s"/>
    </row>
    <row r="81" spans="1:25">
      <c r="A81" s="680" t="s"/>
      <c r="B81" s="837" t="s"/>
      <c r="C81" s="837" t="s"/>
      <c r="D81" s="838" t="s"/>
      <c r="E81" s="837" t="s"/>
      <c r="F81" s="839" t="s"/>
      <c r="G81" s="839" t="s"/>
      <c r="H81" s="840" t="s"/>
      <c r="I81" s="508" t="s"/>
      <c r="J81" s="508" t="s"/>
      <c r="K81" s="508" t="s"/>
      <c r="L81" s="508" t="s"/>
      <c r="M81" s="508" t="s"/>
      <c r="N81" s="508" t="s"/>
      <c r="O81" s="508" t="s"/>
      <c r="P81" s="508" t="s"/>
      <c r="Q81" s="508" t="s"/>
      <c r="R81" s="508" t="s"/>
      <c r="S81" s="508" t="s"/>
      <c r="T81" s="508" t="s"/>
      <c r="U81" s="508" t="s"/>
      <c r="V81" s="508" t="s"/>
      <c r="W81" s="508" t="s"/>
      <c r="X81" s="508" t="s"/>
      <c r="Y81" s="508" t="s"/>
    </row>
    <row r="82" spans="1:25">
      <c r="A82" s="680" t="s"/>
      <c r="B82" s="837" t="s"/>
      <c r="C82" s="837" t="s"/>
      <c r="D82" s="838" t="s"/>
      <c r="E82" s="837" t="s"/>
      <c r="F82" s="839" t="s"/>
      <c r="G82" s="839" t="s"/>
      <c r="H82" s="840" t="s"/>
      <c r="I82" s="508" t="s"/>
      <c r="J82" s="508" t="s"/>
      <c r="K82" s="508" t="s"/>
      <c r="L82" s="508" t="s"/>
      <c r="M82" s="508" t="s"/>
      <c r="N82" s="508" t="s"/>
      <c r="O82" s="508" t="s"/>
      <c r="P82" s="508" t="s"/>
      <c r="Q82" s="508" t="s"/>
      <c r="R82" s="508" t="s"/>
      <c r="S82" s="508" t="s"/>
      <c r="T82" s="508" t="s"/>
      <c r="U82" s="508" t="s"/>
      <c r="V82" s="508" t="s"/>
      <c r="W82" s="508" t="s"/>
      <c r="X82" s="508" t="s"/>
      <c r="Y82" s="508" t="s"/>
    </row>
    <row r="83" spans="1:25">
      <c r="A83" s="680" t="s"/>
      <c r="B83" s="837" t="s"/>
      <c r="C83" s="837" t="s"/>
      <c r="D83" s="838" t="s"/>
      <c r="E83" s="837" t="s"/>
      <c r="F83" s="839" t="s"/>
      <c r="G83" s="839" t="s"/>
      <c r="H83" s="840" t="s"/>
      <c r="I83" s="508" t="s"/>
      <c r="J83" s="508" t="s"/>
      <c r="K83" s="508" t="s"/>
      <c r="L83" s="508" t="s"/>
      <c r="M83" s="508" t="s"/>
      <c r="N83" s="508" t="s"/>
      <c r="O83" s="508" t="s"/>
      <c r="P83" s="508" t="s"/>
      <c r="Q83" s="508" t="s"/>
      <c r="R83" s="508" t="s"/>
      <c r="S83" s="508" t="s"/>
      <c r="T83" s="508" t="s"/>
      <c r="U83" s="508" t="s"/>
      <c r="V83" s="508" t="s"/>
      <c r="W83" s="508" t="s"/>
      <c r="X83" s="508" t="s"/>
      <c r="Y83" s="508" t="s"/>
    </row>
    <row r="84" spans="1:25">
      <c r="A84" s="680" t="s"/>
      <c r="B84" s="837" t="s"/>
      <c r="C84" s="837" t="s"/>
      <c r="D84" s="838" t="s"/>
      <c r="E84" s="837" t="s"/>
      <c r="F84" s="839" t="s"/>
      <c r="G84" s="839" t="s"/>
      <c r="H84" s="840" t="s"/>
      <c r="I84" s="508" t="s"/>
      <c r="J84" s="508" t="s"/>
      <c r="K84" s="508" t="s"/>
      <c r="L84" s="508" t="s"/>
      <c r="M84" s="508" t="s"/>
      <c r="N84" s="508" t="s"/>
      <c r="O84" s="508" t="s"/>
      <c r="P84" s="508" t="s"/>
      <c r="Q84" s="508" t="s"/>
      <c r="R84" s="508" t="s"/>
      <c r="S84" s="508" t="s"/>
      <c r="T84" s="508" t="s"/>
      <c r="U84" s="508" t="s"/>
      <c r="V84" s="508" t="s"/>
      <c r="W84" s="508" t="s"/>
      <c r="X84" s="508" t="s"/>
      <c r="Y84" s="508" t="s"/>
    </row>
    <row r="85" spans="1:25">
      <c r="A85" s="680" t="s"/>
      <c r="B85" s="837" t="s"/>
      <c r="C85" s="837" t="s"/>
      <c r="D85" s="838" t="s"/>
      <c r="E85" s="837" t="s"/>
      <c r="F85" s="839" t="s"/>
      <c r="G85" s="839" t="s"/>
      <c r="H85" s="840" t="s"/>
      <c r="I85" s="508" t="s"/>
      <c r="J85" s="508" t="s"/>
      <c r="K85" s="508" t="s"/>
      <c r="L85" s="508" t="s"/>
      <c r="M85" s="508" t="s"/>
      <c r="N85" s="508" t="s"/>
      <c r="O85" s="508" t="s"/>
      <c r="P85" s="508" t="s"/>
      <c r="Q85" s="508" t="s"/>
      <c r="R85" s="508" t="s"/>
      <c r="S85" s="508" t="s"/>
      <c r="T85" s="508" t="s"/>
      <c r="U85" s="508" t="s"/>
      <c r="V85" s="508" t="s"/>
      <c r="W85" s="508" t="s"/>
      <c r="X85" s="508" t="s"/>
      <c r="Y85" s="508" t="s"/>
    </row>
    <row r="86" spans="1:25">
      <c r="A86" s="680" t="s"/>
      <c r="B86" s="837" t="s"/>
      <c r="C86" s="837" t="s"/>
      <c r="D86" s="838" t="s"/>
      <c r="E86" s="837" t="s"/>
      <c r="F86" s="839" t="s"/>
      <c r="G86" s="839" t="s"/>
      <c r="H86" s="840" t="s"/>
      <c r="I86" s="508" t="s"/>
      <c r="J86" s="508" t="s"/>
      <c r="K86" s="508" t="s"/>
      <c r="L86" s="508" t="s"/>
      <c r="M86" s="508" t="s"/>
      <c r="N86" s="508" t="s"/>
      <c r="O86" s="508" t="s"/>
      <c r="P86" s="508" t="s"/>
      <c r="Q86" s="508" t="s"/>
      <c r="R86" s="508" t="s"/>
      <c r="S86" s="508" t="s"/>
      <c r="T86" s="508" t="s"/>
      <c r="U86" s="508" t="s"/>
      <c r="V86" s="508" t="s"/>
      <c r="W86" s="508" t="s"/>
      <c r="X86" s="508" t="s"/>
      <c r="Y86" s="508" t="s"/>
    </row>
    <row r="87" spans="1:25">
      <c r="A87" s="680" t="s"/>
      <c r="B87" s="837" t="s"/>
      <c r="C87" s="837" t="s"/>
      <c r="D87" s="838" t="s"/>
      <c r="E87" s="837" t="s"/>
      <c r="F87" s="839" t="s"/>
      <c r="G87" s="839" t="s"/>
      <c r="H87" s="840" t="s"/>
      <c r="I87" s="508" t="s"/>
      <c r="J87" s="508" t="s"/>
      <c r="K87" s="508" t="s"/>
      <c r="L87" s="508" t="s"/>
      <c r="M87" s="508" t="s"/>
      <c r="N87" s="508" t="s"/>
      <c r="O87" s="508" t="s"/>
      <c r="P87" s="508" t="s"/>
      <c r="Q87" s="508" t="s"/>
      <c r="R87" s="508" t="s"/>
      <c r="S87" s="508" t="s"/>
      <c r="T87" s="508" t="s"/>
      <c r="U87" s="508" t="s"/>
      <c r="V87" s="508" t="s"/>
      <c r="W87" s="508" t="s"/>
      <c r="X87" s="508" t="s"/>
      <c r="Y87" s="508" t="s"/>
    </row>
    <row r="88" spans="1:25">
      <c r="A88" s="680" t="s"/>
      <c r="B88" s="837" t="s"/>
      <c r="C88" s="837" t="s"/>
      <c r="D88" s="838" t="s"/>
      <c r="E88" s="837" t="s"/>
      <c r="F88" s="839" t="s"/>
      <c r="G88" s="839" t="s"/>
      <c r="H88" s="840" t="s"/>
      <c r="I88" s="508" t="s"/>
      <c r="J88" s="508" t="s"/>
      <c r="K88" s="508" t="s"/>
      <c r="L88" s="508" t="s"/>
      <c r="M88" s="508" t="s"/>
      <c r="N88" s="508" t="s"/>
      <c r="O88" s="508" t="s"/>
      <c r="P88" s="508" t="s"/>
      <c r="Q88" s="508" t="s"/>
      <c r="R88" s="508" t="s"/>
      <c r="S88" s="508" t="s"/>
      <c r="T88" s="508" t="s"/>
      <c r="U88" s="508" t="s"/>
      <c r="V88" s="508" t="s"/>
      <c r="W88" s="508" t="s"/>
      <c r="X88" s="508" t="s"/>
      <c r="Y88" s="508" t="s"/>
    </row>
    <row r="89" spans="1:25">
      <c r="A89" s="680" t="s"/>
      <c r="B89" s="837" t="s"/>
      <c r="C89" s="837" t="s"/>
      <c r="D89" s="838" t="s"/>
      <c r="E89" s="837" t="s"/>
      <c r="F89" s="839" t="s"/>
      <c r="G89" s="839" t="s"/>
      <c r="H89" s="840" t="s"/>
      <c r="I89" s="508" t="s"/>
      <c r="J89" s="508" t="s"/>
      <c r="K89" s="508" t="s"/>
      <c r="L89" s="508" t="s"/>
      <c r="M89" s="508" t="s"/>
      <c r="N89" s="508" t="s"/>
      <c r="O89" s="508" t="s"/>
      <c r="P89" s="508" t="s"/>
      <c r="Q89" s="508" t="s"/>
      <c r="R89" s="508" t="s"/>
      <c r="S89" s="508" t="s"/>
      <c r="T89" s="508" t="s"/>
      <c r="U89" s="508" t="s"/>
      <c r="V89" s="508" t="s"/>
      <c r="W89" s="508" t="s"/>
      <c r="X89" s="508" t="s"/>
      <c r="Y89" s="508" t="s"/>
    </row>
    <row r="90" spans="1:25">
      <c r="A90" s="680" t="s"/>
      <c r="B90" s="837" t="s"/>
      <c r="C90" s="837" t="s"/>
      <c r="D90" s="838" t="s"/>
      <c r="E90" s="837" t="s"/>
      <c r="F90" s="839" t="s"/>
      <c r="G90" s="839" t="s"/>
      <c r="H90" s="840" t="s"/>
      <c r="I90" s="508" t="s"/>
      <c r="J90" s="508" t="s"/>
      <c r="K90" s="508" t="s"/>
      <c r="L90" s="508" t="s"/>
      <c r="M90" s="508" t="s"/>
      <c r="N90" s="508" t="s"/>
      <c r="O90" s="508" t="s"/>
      <c r="P90" s="508" t="s"/>
      <c r="Q90" s="508" t="s"/>
      <c r="R90" s="508" t="s"/>
      <c r="S90" s="508" t="s"/>
      <c r="T90" s="508" t="s"/>
      <c r="U90" s="508" t="s"/>
      <c r="V90" s="508" t="s"/>
      <c r="W90" s="508" t="s"/>
      <c r="X90" s="508" t="s"/>
      <c r="Y90" s="508" t="s"/>
    </row>
    <row r="91" spans="1:25">
      <c r="A91" s="680" t="s"/>
      <c r="B91" s="837" t="s"/>
      <c r="C91" s="837" t="s"/>
      <c r="D91" s="838" t="s"/>
      <c r="E91" s="837" t="s"/>
      <c r="F91" s="839" t="s"/>
      <c r="G91" s="839" t="s"/>
      <c r="H91" s="840" t="s"/>
      <c r="I91" s="508" t="s"/>
      <c r="J91" s="508" t="s"/>
      <c r="K91" s="508" t="s"/>
      <c r="L91" s="508" t="s"/>
      <c r="M91" s="508" t="s"/>
      <c r="N91" s="508" t="s"/>
      <c r="O91" s="508" t="s"/>
      <c r="P91" s="508" t="s"/>
      <c r="Q91" s="508" t="s"/>
      <c r="R91" s="508" t="s"/>
      <c r="S91" s="508" t="s"/>
      <c r="T91" s="508" t="s"/>
      <c r="U91" s="508" t="s"/>
      <c r="V91" s="508" t="s"/>
      <c r="W91" s="508" t="s"/>
      <c r="X91" s="508" t="s"/>
      <c r="Y91" s="508" t="s"/>
    </row>
    <row r="92" spans="1:25">
      <c r="A92" s="680" t="s"/>
      <c r="B92" s="837" t="s"/>
      <c r="C92" s="837" t="s"/>
      <c r="D92" s="838" t="s"/>
      <c r="E92" s="837" t="s"/>
      <c r="F92" s="839" t="s"/>
      <c r="G92" s="839" t="s"/>
      <c r="H92" s="840" t="s"/>
      <c r="I92" s="508" t="s"/>
      <c r="J92" s="508" t="s"/>
      <c r="K92" s="508" t="s"/>
      <c r="L92" s="508" t="s"/>
      <c r="M92" s="508" t="s"/>
      <c r="N92" s="508" t="s"/>
      <c r="O92" s="508" t="s"/>
      <c r="P92" s="508" t="s"/>
      <c r="Q92" s="508" t="s"/>
      <c r="R92" s="508" t="s"/>
      <c r="S92" s="508" t="s"/>
      <c r="T92" s="508" t="s"/>
      <c r="U92" s="508" t="s"/>
      <c r="V92" s="508" t="s"/>
      <c r="W92" s="508" t="s"/>
      <c r="X92" s="508" t="s"/>
      <c r="Y92" s="508" t="s"/>
    </row>
    <row r="93" spans="1:25">
      <c r="A93" s="680" t="s"/>
      <c r="B93" s="837" t="s"/>
      <c r="C93" s="837" t="s"/>
      <c r="D93" s="838" t="s"/>
      <c r="E93" s="837" t="s"/>
      <c r="F93" s="839" t="s"/>
      <c r="G93" s="839" t="s"/>
      <c r="H93" s="840" t="s"/>
      <c r="I93" s="508" t="s"/>
      <c r="J93" s="508" t="s"/>
      <c r="K93" s="508" t="s"/>
      <c r="L93" s="508" t="s"/>
      <c r="M93" s="508" t="s"/>
      <c r="N93" s="508" t="s"/>
      <c r="O93" s="508" t="s"/>
      <c r="P93" s="508" t="s"/>
      <c r="Q93" s="508" t="s"/>
      <c r="R93" s="508" t="s"/>
      <c r="S93" s="508" t="s"/>
      <c r="T93" s="508" t="s"/>
      <c r="U93" s="508" t="s"/>
      <c r="V93" s="508" t="s"/>
      <c r="W93" s="508" t="s"/>
      <c r="X93" s="508" t="s"/>
      <c r="Y93" s="508" t="s"/>
    </row>
    <row r="94" spans="1:25">
      <c r="A94" s="680" t="s"/>
      <c r="B94" s="837" t="s"/>
      <c r="C94" s="837" t="s"/>
      <c r="D94" s="838" t="s"/>
      <c r="E94" s="837" t="s"/>
      <c r="F94" s="839" t="s"/>
      <c r="G94" s="839" t="s"/>
      <c r="H94" s="840" t="s"/>
      <c r="I94" s="508" t="s"/>
      <c r="J94" s="508" t="s"/>
      <c r="K94" s="508" t="s"/>
      <c r="L94" s="508" t="s"/>
      <c r="M94" s="508" t="s"/>
      <c r="N94" s="508" t="s"/>
      <c r="O94" s="508" t="s"/>
      <c r="P94" s="508" t="s"/>
      <c r="Q94" s="508" t="s"/>
      <c r="R94" s="508" t="s"/>
      <c r="S94" s="508" t="s"/>
      <c r="T94" s="508" t="s"/>
      <c r="U94" s="508" t="s"/>
      <c r="V94" s="508" t="s"/>
      <c r="W94" s="508" t="s"/>
      <c r="X94" s="508" t="s"/>
      <c r="Y94" s="508" t="s"/>
    </row>
    <row r="95" spans="1:25">
      <c r="A95" s="680" t="s"/>
      <c r="B95" s="837" t="s"/>
      <c r="C95" s="837" t="s"/>
      <c r="D95" s="838" t="s"/>
      <c r="E95" s="837" t="s"/>
      <c r="F95" s="839" t="s"/>
      <c r="G95" s="839" t="s"/>
      <c r="H95" s="840" t="s"/>
      <c r="I95" s="508" t="s"/>
      <c r="J95" s="508" t="s"/>
      <c r="K95" s="508" t="s"/>
      <c r="L95" s="508" t="s"/>
      <c r="M95" s="508" t="s"/>
      <c r="N95" s="508" t="s"/>
      <c r="O95" s="508" t="s"/>
      <c r="P95" s="508" t="s"/>
      <c r="Q95" s="508" t="s"/>
      <c r="R95" s="508" t="s"/>
      <c r="S95" s="508" t="s"/>
      <c r="T95" s="508" t="s"/>
      <c r="U95" s="508" t="s"/>
      <c r="V95" s="508" t="s"/>
      <c r="W95" s="508" t="s"/>
      <c r="X95" s="508" t="s"/>
      <c r="Y95" s="508" t="s"/>
    </row>
    <row r="96" spans="1:25">
      <c r="A96" s="680" t="s"/>
      <c r="B96" s="837" t="s"/>
      <c r="C96" s="837" t="s"/>
      <c r="D96" s="838" t="s"/>
      <c r="E96" s="837" t="s"/>
      <c r="F96" s="839" t="s"/>
      <c r="G96" s="839" t="s"/>
      <c r="H96" s="840" t="s"/>
      <c r="I96" s="508" t="s"/>
      <c r="J96" s="508" t="s"/>
      <c r="K96" s="508" t="s"/>
      <c r="L96" s="508" t="s"/>
      <c r="M96" s="508" t="s"/>
      <c r="N96" s="508" t="s"/>
      <c r="O96" s="508" t="s"/>
      <c r="P96" s="508" t="s"/>
      <c r="Q96" s="508" t="s"/>
      <c r="R96" s="508" t="s"/>
      <c r="S96" s="508" t="s"/>
      <c r="T96" s="508" t="s"/>
      <c r="U96" s="508" t="s"/>
      <c r="V96" s="508" t="s"/>
      <c r="W96" s="508" t="s"/>
      <c r="X96" s="508" t="s"/>
      <c r="Y96" s="508" t="s"/>
    </row>
    <row r="97" spans="1:25">
      <c r="A97" s="680" t="s"/>
      <c r="B97" s="837" t="s"/>
      <c r="C97" s="837" t="s"/>
      <c r="D97" s="838" t="s"/>
      <c r="E97" s="837" t="s"/>
      <c r="F97" s="839" t="s"/>
      <c r="G97" s="839" t="s"/>
      <c r="H97" s="840" t="s"/>
      <c r="I97" s="508" t="s"/>
      <c r="J97" s="508" t="s"/>
      <c r="K97" s="508" t="s"/>
      <c r="L97" s="508" t="s"/>
      <c r="M97" s="508" t="s"/>
      <c r="N97" s="508" t="s"/>
      <c r="O97" s="508" t="s"/>
      <c r="P97" s="508" t="s"/>
      <c r="Q97" s="508" t="s"/>
      <c r="R97" s="508" t="s"/>
      <c r="S97" s="508" t="s"/>
      <c r="T97" s="508" t="s"/>
      <c r="U97" s="508" t="s"/>
      <c r="V97" s="508" t="s"/>
      <c r="W97" s="508" t="s"/>
      <c r="X97" s="508" t="s"/>
      <c r="Y97" s="508" t="s"/>
    </row>
    <row r="98" spans="1:25">
      <c r="A98" s="680" t="s"/>
      <c r="B98" s="837" t="s"/>
      <c r="C98" s="837" t="s"/>
      <c r="D98" s="838" t="s"/>
      <c r="E98" s="837" t="s"/>
      <c r="F98" s="839" t="s"/>
      <c r="G98" s="839" t="s"/>
      <c r="H98" s="840" t="s"/>
      <c r="I98" s="508" t="s"/>
      <c r="J98" s="508" t="s"/>
      <c r="K98" s="508" t="s"/>
      <c r="L98" s="508" t="s"/>
      <c r="M98" s="508" t="s"/>
      <c r="N98" s="508" t="s"/>
      <c r="O98" s="508" t="s"/>
      <c r="P98" s="508" t="s"/>
      <c r="Q98" s="508" t="s"/>
      <c r="R98" s="508" t="s"/>
      <c r="S98" s="508" t="s"/>
      <c r="T98" s="508" t="s"/>
      <c r="U98" s="508" t="s"/>
      <c r="V98" s="508" t="s"/>
      <c r="W98" s="508" t="s"/>
      <c r="X98" s="508" t="s"/>
      <c r="Y98" s="508" t="s"/>
    </row>
    <row r="99" spans="1:25">
      <c r="A99" s="680" t="s"/>
      <c r="B99" s="837" t="s"/>
      <c r="C99" s="837" t="s"/>
      <c r="D99" s="838" t="s"/>
      <c r="E99" s="837" t="s"/>
      <c r="F99" s="839" t="s"/>
      <c r="G99" s="839" t="s"/>
      <c r="H99" s="840" t="s"/>
      <c r="I99" s="508" t="s"/>
      <c r="J99" s="508" t="s"/>
      <c r="K99" s="508" t="s"/>
      <c r="L99" s="508" t="s"/>
      <c r="M99" s="508" t="s"/>
      <c r="N99" s="508" t="s"/>
      <c r="O99" s="508" t="s"/>
      <c r="P99" s="508" t="s"/>
      <c r="Q99" s="508" t="s"/>
      <c r="R99" s="508" t="s"/>
      <c r="S99" s="508" t="s"/>
      <c r="T99" s="508" t="s"/>
      <c r="U99" s="508" t="s"/>
      <c r="V99" s="508" t="s"/>
      <c r="W99" s="508" t="s"/>
      <c r="X99" s="508" t="s"/>
      <c r="Y99" s="508" t="s"/>
    </row>
    <row r="100" spans="1:25">
      <c r="A100" s="680" t="s"/>
      <c r="B100" s="837" t="s"/>
      <c r="C100" s="837" t="s"/>
      <c r="D100" s="838" t="s"/>
      <c r="E100" s="837" t="s"/>
      <c r="F100" s="839" t="s"/>
      <c r="G100" s="839" t="s"/>
      <c r="H100" s="840" t="s"/>
      <c r="I100" s="508" t="s"/>
      <c r="J100" s="508" t="s"/>
      <c r="K100" s="508" t="s"/>
      <c r="L100" s="508" t="s"/>
      <c r="M100" s="508" t="s"/>
      <c r="N100" s="508" t="s"/>
      <c r="O100" s="508" t="s"/>
      <c r="P100" s="508" t="s"/>
      <c r="Q100" s="508" t="s"/>
      <c r="R100" s="508" t="s"/>
      <c r="S100" s="508" t="s"/>
      <c r="T100" s="508" t="s"/>
      <c r="U100" s="508" t="s"/>
      <c r="V100" s="508" t="s"/>
      <c r="W100" s="508" t="s"/>
      <c r="X100" s="508" t="s"/>
      <c r="Y100" s="508" t="s"/>
    </row>
    <row r="101" spans="1:25">
      <c r="A101" s="680" t="s"/>
      <c r="B101" s="837" t="s"/>
      <c r="C101" s="837" t="s"/>
      <c r="D101" s="838" t="s"/>
      <c r="E101" s="837" t="s"/>
      <c r="F101" s="839" t="s"/>
      <c r="G101" s="839" t="s"/>
      <c r="H101" s="840" t="s"/>
      <c r="I101" s="508" t="s"/>
      <c r="J101" s="508" t="s"/>
      <c r="K101" s="508" t="s"/>
      <c r="L101" s="508" t="s"/>
      <c r="M101" s="508" t="s"/>
      <c r="N101" s="508" t="s"/>
      <c r="O101" s="508" t="s"/>
      <c r="P101" s="508" t="s"/>
      <c r="Q101" s="508" t="s"/>
      <c r="R101" s="508" t="s"/>
      <c r="S101" s="508" t="s"/>
      <c r="T101" s="508" t="s"/>
      <c r="U101" s="508" t="s"/>
      <c r="V101" s="508" t="s"/>
      <c r="W101" s="508" t="s"/>
      <c r="X101" s="508" t="s"/>
      <c r="Y101" s="508" t="s"/>
    </row>
    <row r="102" spans="1:25">
      <c r="A102" s="680" t="s"/>
      <c r="B102" s="837" t="s"/>
      <c r="C102" s="837" t="s"/>
      <c r="D102" s="838" t="s"/>
      <c r="E102" s="837" t="s"/>
      <c r="F102" s="839" t="s"/>
      <c r="G102" s="839" t="s"/>
      <c r="H102" s="840" t="s"/>
      <c r="I102" s="508" t="s"/>
      <c r="J102" s="508" t="s"/>
      <c r="K102" s="508" t="s"/>
      <c r="L102" s="508" t="s"/>
      <c r="M102" s="508" t="s"/>
      <c r="N102" s="508" t="s"/>
      <c r="O102" s="508" t="s"/>
      <c r="P102" s="508" t="s"/>
      <c r="Q102" s="508" t="s"/>
      <c r="R102" s="508" t="s"/>
      <c r="S102" s="508" t="s"/>
      <c r="T102" s="508" t="s"/>
      <c r="U102" s="508" t="s"/>
      <c r="V102" s="508" t="s"/>
      <c r="W102" s="508" t="s"/>
      <c r="X102" s="508" t="s"/>
      <c r="Y102" s="508" t="s"/>
    </row>
    <row r="103" spans="1:25">
      <c r="A103" s="680" t="s"/>
      <c r="B103" s="837" t="s"/>
      <c r="C103" s="837" t="s"/>
      <c r="D103" s="838" t="s"/>
      <c r="E103" s="837" t="s"/>
      <c r="F103" s="839" t="s"/>
      <c r="G103" s="839" t="s"/>
      <c r="H103" s="840" t="s"/>
      <c r="I103" s="508" t="s"/>
      <c r="J103" s="508" t="s"/>
      <c r="K103" s="508" t="s"/>
      <c r="L103" s="508" t="s"/>
      <c r="M103" s="508" t="s"/>
      <c r="N103" s="508" t="s"/>
      <c r="O103" s="508" t="s"/>
      <c r="P103" s="508" t="s"/>
      <c r="Q103" s="508" t="s"/>
      <c r="R103" s="508" t="s"/>
      <c r="S103" s="508" t="s"/>
      <c r="T103" s="508" t="s"/>
      <c r="U103" s="508" t="s"/>
      <c r="V103" s="508" t="s"/>
      <c r="W103" s="508" t="s"/>
      <c r="X103" s="508" t="s"/>
      <c r="Y103" s="508" t="s"/>
    </row>
    <row r="104" spans="1:25">
      <c r="A104" s="680" t="s"/>
      <c r="B104" s="837" t="s"/>
      <c r="C104" s="837" t="s"/>
      <c r="D104" s="838" t="s"/>
      <c r="E104" s="837" t="s"/>
      <c r="F104" s="839" t="s"/>
      <c r="G104" s="839" t="s"/>
      <c r="H104" s="840" t="s"/>
      <c r="I104" s="508" t="s"/>
      <c r="J104" s="508" t="s"/>
      <c r="K104" s="508" t="s"/>
      <c r="L104" s="508" t="s"/>
      <c r="M104" s="508" t="s"/>
      <c r="N104" s="508" t="s"/>
      <c r="O104" s="508" t="s"/>
      <c r="P104" s="508" t="s"/>
      <c r="Q104" s="508" t="s"/>
      <c r="R104" s="508" t="s"/>
      <c r="S104" s="508" t="s"/>
      <c r="T104" s="508" t="s"/>
      <c r="U104" s="508" t="s"/>
      <c r="V104" s="508" t="s"/>
      <c r="W104" s="508" t="s"/>
      <c r="X104" s="508" t="s"/>
      <c r="Y104" s="508" t="s"/>
    </row>
    <row r="105" spans="1:25">
      <c r="A105" s="680" t="s"/>
      <c r="B105" s="837" t="s"/>
      <c r="C105" s="837" t="s"/>
      <c r="D105" s="838" t="s"/>
      <c r="E105" s="837" t="s"/>
      <c r="F105" s="839" t="s"/>
      <c r="G105" s="839" t="s"/>
      <c r="H105" s="840" t="s"/>
      <c r="I105" s="508" t="s"/>
      <c r="J105" s="508" t="s"/>
      <c r="K105" s="508" t="s"/>
      <c r="L105" s="508" t="s"/>
      <c r="M105" s="508" t="s"/>
      <c r="N105" s="508" t="s"/>
      <c r="O105" s="508" t="s"/>
      <c r="P105" s="508" t="s"/>
      <c r="Q105" s="508" t="s"/>
      <c r="R105" s="508" t="s"/>
      <c r="S105" s="508" t="s"/>
      <c r="T105" s="508" t="s"/>
      <c r="U105" s="508" t="s"/>
      <c r="V105" s="508" t="s"/>
      <c r="W105" s="508" t="s"/>
      <c r="X105" s="508" t="s"/>
      <c r="Y105" s="508" t="s"/>
    </row>
    <row r="106" spans="1:25">
      <c r="A106" s="680" t="s"/>
      <c r="B106" s="837" t="s"/>
      <c r="C106" s="837" t="s"/>
      <c r="D106" s="838" t="s"/>
      <c r="E106" s="837" t="s"/>
      <c r="F106" s="839" t="s"/>
      <c r="G106" s="839" t="s"/>
      <c r="H106" s="840" t="s"/>
      <c r="I106" s="508" t="s"/>
      <c r="J106" s="508" t="s"/>
      <c r="K106" s="508" t="s"/>
      <c r="L106" s="508" t="s"/>
      <c r="M106" s="508" t="s"/>
      <c r="N106" s="508" t="s"/>
      <c r="O106" s="508" t="s"/>
      <c r="P106" s="508" t="s"/>
      <c r="Q106" s="508" t="s"/>
      <c r="R106" s="508" t="s"/>
      <c r="S106" s="508" t="s"/>
      <c r="T106" s="508" t="s"/>
      <c r="U106" s="508" t="s"/>
      <c r="V106" s="508" t="s"/>
      <c r="W106" s="508" t="s"/>
      <c r="X106" s="508" t="s"/>
      <c r="Y106" s="508" t="s"/>
    </row>
    <row r="107" spans="1:25">
      <c r="A107" s="680" t="s"/>
      <c r="B107" s="837" t="s"/>
      <c r="C107" s="837" t="s"/>
      <c r="D107" s="838" t="s"/>
      <c r="E107" s="837" t="s"/>
      <c r="F107" s="839" t="s"/>
      <c r="G107" s="839" t="s"/>
      <c r="H107" s="840" t="s"/>
      <c r="I107" s="508" t="s"/>
      <c r="J107" s="508" t="s"/>
      <c r="K107" s="508" t="s"/>
      <c r="L107" s="508" t="s"/>
      <c r="M107" s="508" t="s"/>
      <c r="N107" s="508" t="s"/>
      <c r="O107" s="508" t="s"/>
      <c r="P107" s="508" t="s"/>
      <c r="Q107" s="508" t="s"/>
      <c r="R107" s="508" t="s"/>
      <c r="S107" s="508" t="s"/>
      <c r="T107" s="508" t="s"/>
      <c r="U107" s="508" t="s"/>
      <c r="V107" s="508" t="s"/>
      <c r="W107" s="508" t="s"/>
      <c r="X107" s="508" t="s"/>
      <c r="Y107" s="508" t="s"/>
    </row>
    <row r="108" spans="1:25">
      <c r="A108" s="680" t="s"/>
      <c r="B108" s="837" t="s"/>
      <c r="C108" s="837" t="s"/>
      <c r="D108" s="838" t="s"/>
      <c r="E108" s="837" t="s"/>
      <c r="F108" s="839" t="s"/>
      <c r="G108" s="839" t="s"/>
      <c r="H108" s="840" t="s"/>
      <c r="I108" s="508" t="s"/>
      <c r="J108" s="508" t="s"/>
      <c r="K108" s="508" t="s"/>
      <c r="L108" s="508" t="s"/>
      <c r="M108" s="508" t="s"/>
      <c r="N108" s="508" t="s"/>
      <c r="O108" s="508" t="s"/>
      <c r="P108" s="508" t="s"/>
      <c r="Q108" s="508" t="s"/>
      <c r="R108" s="508" t="s"/>
      <c r="S108" s="508" t="s"/>
      <c r="T108" s="508" t="s"/>
      <c r="U108" s="508" t="s"/>
      <c r="V108" s="508" t="s"/>
      <c r="W108" s="508" t="s"/>
      <c r="X108" s="508" t="s"/>
      <c r="Y108" s="508" t="s"/>
    </row>
    <row r="109" spans="1:25">
      <c r="A109" s="680" t="s"/>
      <c r="B109" s="837" t="s"/>
      <c r="C109" s="837" t="s"/>
      <c r="D109" s="838" t="s"/>
      <c r="E109" s="837" t="s"/>
      <c r="F109" s="839" t="s"/>
      <c r="G109" s="839" t="s"/>
      <c r="H109" s="840" t="s"/>
      <c r="I109" s="508" t="s"/>
      <c r="J109" s="508" t="s"/>
      <c r="K109" s="508" t="s"/>
      <c r="L109" s="508" t="s"/>
      <c r="M109" s="508" t="s"/>
      <c r="N109" s="508" t="s"/>
      <c r="O109" s="508" t="s"/>
      <c r="P109" s="508" t="s"/>
      <c r="Q109" s="508" t="s"/>
      <c r="R109" s="508" t="s"/>
      <c r="S109" s="508" t="s"/>
      <c r="T109" s="508" t="s"/>
      <c r="U109" s="508" t="s"/>
      <c r="V109" s="508" t="s"/>
      <c r="W109" s="508" t="s"/>
      <c r="X109" s="508" t="s"/>
      <c r="Y109" s="508" t="s"/>
    </row>
    <row r="110" spans="1:25">
      <c r="A110" s="680" t="s"/>
      <c r="B110" s="837" t="s"/>
      <c r="C110" s="837" t="s"/>
      <c r="D110" s="838" t="s"/>
      <c r="E110" s="837" t="s"/>
      <c r="F110" s="839" t="s"/>
      <c r="G110" s="839" t="s"/>
      <c r="H110" s="840" t="s"/>
      <c r="I110" s="508" t="s"/>
      <c r="J110" s="508" t="s"/>
      <c r="K110" s="508" t="s"/>
      <c r="L110" s="508" t="s"/>
      <c r="M110" s="508" t="s"/>
      <c r="N110" s="508" t="s"/>
      <c r="O110" s="508" t="s"/>
      <c r="P110" s="508" t="s"/>
      <c r="Q110" s="508" t="s"/>
      <c r="R110" s="508" t="s"/>
      <c r="S110" s="508" t="s"/>
      <c r="T110" s="508" t="s"/>
      <c r="U110" s="508" t="s"/>
      <c r="V110" s="508" t="s"/>
      <c r="W110" s="508" t="s"/>
      <c r="X110" s="508" t="s"/>
      <c r="Y110" s="508" t="s"/>
    </row>
    <row r="111" spans="1:25">
      <c r="A111" s="680" t="s"/>
      <c r="B111" s="837" t="s"/>
      <c r="C111" s="837" t="s"/>
      <c r="D111" s="838" t="s"/>
      <c r="E111" s="837" t="s"/>
      <c r="F111" s="839" t="s"/>
      <c r="G111" s="839" t="s"/>
      <c r="H111" s="840" t="s"/>
      <c r="I111" s="508" t="s"/>
      <c r="J111" s="508" t="s"/>
      <c r="K111" s="508" t="s"/>
      <c r="L111" s="508" t="s"/>
      <c r="M111" s="508" t="s"/>
      <c r="N111" s="508" t="s"/>
      <c r="O111" s="508" t="s"/>
      <c r="P111" s="508" t="s"/>
      <c r="Q111" s="508" t="s"/>
      <c r="R111" s="508" t="s"/>
      <c r="S111" s="508" t="s"/>
      <c r="T111" s="508" t="s"/>
      <c r="U111" s="508" t="s"/>
      <c r="V111" s="508" t="s"/>
      <c r="W111" s="508" t="s"/>
      <c r="X111" s="508" t="s"/>
      <c r="Y111" s="508" t="s"/>
    </row>
    <row r="112" spans="1:25">
      <c r="A112" s="680" t="s"/>
      <c r="B112" s="837" t="s"/>
      <c r="C112" s="837" t="s"/>
      <c r="D112" s="838" t="s"/>
      <c r="E112" s="837" t="s"/>
      <c r="F112" s="839" t="s"/>
      <c r="G112" s="839" t="s"/>
      <c r="H112" s="840" t="s"/>
      <c r="I112" s="508" t="s"/>
      <c r="J112" s="508" t="s"/>
      <c r="K112" s="508" t="s"/>
      <c r="L112" s="508" t="s"/>
      <c r="M112" s="508" t="s"/>
      <c r="N112" s="508" t="s"/>
      <c r="O112" s="508" t="s"/>
      <c r="P112" s="508" t="s"/>
      <c r="Q112" s="508" t="s"/>
      <c r="R112" s="508" t="s"/>
      <c r="S112" s="508" t="s"/>
      <c r="T112" s="508" t="s"/>
      <c r="U112" s="508" t="s"/>
      <c r="V112" s="508" t="s"/>
      <c r="W112" s="508" t="s"/>
      <c r="X112" s="508" t="s"/>
      <c r="Y112" s="508" t="s"/>
    </row>
    <row r="113" spans="1:25">
      <c r="A113" s="680" t="s"/>
      <c r="B113" s="837" t="s"/>
      <c r="C113" s="837" t="s"/>
      <c r="D113" s="838" t="s"/>
      <c r="E113" s="837" t="s"/>
      <c r="F113" s="839" t="s"/>
      <c r="G113" s="839" t="s"/>
      <c r="H113" s="840" t="s"/>
      <c r="I113" s="508" t="s"/>
      <c r="J113" s="508" t="s"/>
      <c r="K113" s="508" t="s"/>
      <c r="L113" s="508" t="s"/>
      <c r="M113" s="508" t="s"/>
      <c r="N113" s="508" t="s"/>
      <c r="O113" s="508" t="s"/>
      <c r="P113" s="508" t="s"/>
      <c r="Q113" s="508" t="s"/>
      <c r="R113" s="508" t="s"/>
      <c r="S113" s="508" t="s"/>
      <c r="T113" s="508" t="s"/>
      <c r="U113" s="508" t="s"/>
      <c r="V113" s="508" t="s"/>
      <c r="W113" s="508" t="s"/>
      <c r="X113" s="508" t="s"/>
      <c r="Y113" s="508" t="s"/>
    </row>
    <row r="114" spans="1:25">
      <c r="A114" s="680" t="s"/>
      <c r="B114" s="837" t="s"/>
      <c r="C114" s="837" t="s"/>
      <c r="D114" s="838" t="s"/>
      <c r="E114" s="837" t="s"/>
      <c r="F114" s="839" t="s"/>
      <c r="G114" s="839" t="s"/>
      <c r="H114" s="840" t="s"/>
      <c r="I114" s="508" t="s"/>
      <c r="J114" s="508" t="s"/>
      <c r="K114" s="508" t="s"/>
      <c r="L114" s="508" t="s"/>
      <c r="M114" s="508" t="s"/>
      <c r="N114" s="508" t="s"/>
      <c r="O114" s="508" t="s"/>
      <c r="P114" s="508" t="s"/>
      <c r="Q114" s="508" t="s"/>
      <c r="R114" s="508" t="s"/>
      <c r="S114" s="508" t="s"/>
      <c r="T114" s="508" t="s"/>
      <c r="U114" s="508" t="s"/>
      <c r="V114" s="508" t="s"/>
      <c r="W114" s="508" t="s"/>
      <c r="X114" s="508" t="s"/>
      <c r="Y114" s="508" t="s"/>
    </row>
    <row r="115" spans="1:25">
      <c r="A115" s="680" t="s"/>
      <c r="B115" s="837" t="s"/>
      <c r="C115" s="837" t="s"/>
      <c r="D115" s="838" t="s"/>
      <c r="E115" s="837" t="s"/>
      <c r="F115" s="839" t="s"/>
      <c r="G115" s="839" t="s"/>
      <c r="H115" s="840" t="s"/>
      <c r="I115" s="508" t="s"/>
      <c r="J115" s="508" t="s"/>
      <c r="K115" s="508" t="s"/>
      <c r="L115" s="508" t="s"/>
      <c r="M115" s="508" t="s"/>
      <c r="N115" s="508" t="s"/>
      <c r="O115" s="508" t="s"/>
      <c r="P115" s="508" t="s"/>
      <c r="Q115" s="508" t="s"/>
      <c r="R115" s="508" t="s"/>
      <c r="S115" s="508" t="s"/>
      <c r="T115" s="508" t="s"/>
      <c r="U115" s="508" t="s"/>
      <c r="V115" s="508" t="s"/>
      <c r="W115" s="508" t="s"/>
      <c r="X115" s="508" t="s"/>
      <c r="Y115" s="508" t="s"/>
    </row>
    <row r="116" spans="1:25">
      <c r="A116" s="680" t="s"/>
      <c r="B116" s="837" t="s"/>
      <c r="C116" s="837" t="s"/>
      <c r="D116" s="838" t="s"/>
      <c r="E116" s="837" t="s"/>
      <c r="F116" s="839" t="s"/>
      <c r="G116" s="839" t="s"/>
      <c r="H116" s="840" t="s"/>
      <c r="I116" s="508" t="s"/>
      <c r="J116" s="508" t="s"/>
      <c r="K116" s="508" t="s"/>
      <c r="L116" s="508" t="s"/>
      <c r="M116" s="508" t="s"/>
      <c r="N116" s="508" t="s"/>
      <c r="O116" s="508" t="s"/>
      <c r="P116" s="508" t="s"/>
      <c r="Q116" s="508" t="s"/>
      <c r="R116" s="508" t="s"/>
      <c r="S116" s="508" t="s"/>
      <c r="T116" s="508" t="s"/>
      <c r="U116" s="508" t="s"/>
      <c r="V116" s="508" t="s"/>
      <c r="W116" s="508" t="s"/>
      <c r="X116" s="508" t="s"/>
      <c r="Y116" s="508" t="s"/>
    </row>
    <row r="117" spans="1:25">
      <c r="A117" s="680" t="s"/>
      <c r="B117" s="837" t="s"/>
      <c r="C117" s="837" t="s"/>
      <c r="D117" s="838" t="s"/>
      <c r="E117" s="837" t="s"/>
      <c r="F117" s="839" t="s"/>
      <c r="G117" s="839" t="s"/>
      <c r="H117" s="840" t="s"/>
      <c r="I117" s="508" t="s"/>
      <c r="J117" s="508" t="s"/>
      <c r="K117" s="508" t="s"/>
      <c r="L117" s="508" t="s"/>
      <c r="M117" s="508" t="s"/>
      <c r="N117" s="508" t="s"/>
      <c r="O117" s="508" t="s"/>
      <c r="P117" s="508" t="s"/>
      <c r="Q117" s="508" t="s"/>
      <c r="R117" s="508" t="s"/>
      <c r="S117" s="508" t="s"/>
      <c r="T117" s="508" t="s"/>
      <c r="U117" s="508" t="s"/>
      <c r="V117" s="508" t="s"/>
      <c r="W117" s="508" t="s"/>
      <c r="X117" s="508" t="s"/>
      <c r="Y117" s="508" t="s"/>
    </row>
    <row r="118" spans="1:25">
      <c r="A118" s="680" t="s"/>
      <c r="B118" s="837" t="s"/>
      <c r="C118" s="837" t="s"/>
      <c r="D118" s="838" t="s"/>
      <c r="E118" s="837" t="s"/>
      <c r="F118" s="839" t="s"/>
      <c r="G118" s="839" t="s"/>
      <c r="H118" s="840" t="s"/>
      <c r="I118" s="508" t="s"/>
      <c r="J118" s="508" t="s"/>
      <c r="K118" s="508" t="s"/>
      <c r="L118" s="508" t="s"/>
      <c r="M118" s="508" t="s"/>
      <c r="N118" s="508" t="s"/>
      <c r="O118" s="508" t="s"/>
      <c r="P118" s="508" t="s"/>
      <c r="Q118" s="508" t="s"/>
      <c r="R118" s="508" t="s"/>
      <c r="S118" s="508" t="s"/>
      <c r="T118" s="508" t="s"/>
      <c r="U118" s="508" t="s"/>
      <c r="V118" s="508" t="s"/>
      <c r="W118" s="508" t="s"/>
      <c r="X118" s="508" t="s"/>
      <c r="Y118" s="508" t="s"/>
    </row>
    <row r="119" spans="1:25">
      <c r="A119" s="680" t="s"/>
      <c r="B119" s="837" t="s"/>
      <c r="C119" s="837" t="s"/>
      <c r="D119" s="838" t="s"/>
      <c r="E119" s="837" t="s"/>
      <c r="F119" s="839" t="s"/>
      <c r="G119" s="839" t="s"/>
      <c r="H119" s="840" t="s"/>
      <c r="I119" s="508" t="s"/>
      <c r="J119" s="508" t="s"/>
      <c r="K119" s="508" t="s"/>
      <c r="L119" s="508" t="s"/>
      <c r="M119" s="508" t="s"/>
      <c r="N119" s="508" t="s"/>
      <c r="O119" s="508" t="s"/>
      <c r="P119" s="508" t="s"/>
      <c r="Q119" s="508" t="s"/>
      <c r="R119" s="508" t="s"/>
      <c r="S119" s="508" t="s"/>
      <c r="T119" s="508" t="s"/>
      <c r="U119" s="508" t="s"/>
      <c r="V119" s="508" t="s"/>
      <c r="W119" s="508" t="s"/>
      <c r="X119" s="508" t="s"/>
      <c r="Y119" s="508" t="s"/>
    </row>
    <row r="120" spans="1:25">
      <c r="A120" s="680" t="s"/>
      <c r="B120" s="837" t="s"/>
      <c r="C120" s="837" t="s"/>
      <c r="D120" s="838" t="s"/>
      <c r="E120" s="837" t="s"/>
      <c r="F120" s="839" t="s"/>
      <c r="G120" s="839" t="s"/>
      <c r="H120" s="840" t="s"/>
      <c r="I120" s="508" t="s"/>
      <c r="J120" s="508" t="s"/>
      <c r="K120" s="508" t="s"/>
      <c r="L120" s="508" t="s"/>
      <c r="M120" s="508" t="s"/>
      <c r="N120" s="508" t="s"/>
      <c r="O120" s="508" t="s"/>
      <c r="P120" s="508" t="s"/>
      <c r="Q120" s="508" t="s"/>
      <c r="R120" s="508" t="s"/>
      <c r="S120" s="508" t="s"/>
      <c r="T120" s="508" t="s"/>
      <c r="U120" s="508" t="s"/>
      <c r="V120" s="508" t="s"/>
      <c r="W120" s="508" t="s"/>
      <c r="X120" s="508" t="s"/>
      <c r="Y120" s="508" t="s"/>
    </row>
    <row r="121" spans="1:25">
      <c r="A121" s="680" t="s"/>
      <c r="B121" s="837" t="s"/>
      <c r="C121" s="837" t="s"/>
      <c r="D121" s="838" t="s"/>
      <c r="E121" s="837" t="s"/>
      <c r="F121" s="839" t="s"/>
      <c r="G121" s="839" t="s"/>
      <c r="H121" s="840" t="s"/>
      <c r="I121" s="508" t="s"/>
      <c r="J121" s="508" t="s"/>
      <c r="K121" s="508" t="s"/>
      <c r="L121" s="508" t="s"/>
      <c r="M121" s="508" t="s"/>
      <c r="N121" s="508" t="s"/>
      <c r="O121" s="508" t="s"/>
      <c r="P121" s="508" t="s"/>
      <c r="Q121" s="508" t="s"/>
      <c r="R121" s="508" t="s"/>
      <c r="S121" s="508" t="s"/>
      <c r="T121" s="508" t="s"/>
      <c r="U121" s="508" t="s"/>
      <c r="V121" s="508" t="s"/>
      <c r="W121" s="508" t="s"/>
      <c r="X121" s="508" t="s"/>
      <c r="Y121" s="508" t="s"/>
    </row>
    <row r="122" spans="1:25">
      <c r="A122" s="680" t="s"/>
      <c r="B122" s="837" t="s"/>
      <c r="C122" s="837" t="s"/>
      <c r="D122" s="838" t="s"/>
      <c r="E122" s="837" t="s"/>
      <c r="F122" s="839" t="s"/>
      <c r="G122" s="839" t="s"/>
      <c r="H122" s="840" t="s"/>
      <c r="I122" s="508" t="s"/>
      <c r="J122" s="508" t="s"/>
      <c r="K122" s="508" t="s"/>
      <c r="L122" s="508" t="s"/>
      <c r="M122" s="508" t="s"/>
      <c r="N122" s="508" t="s"/>
      <c r="O122" s="508" t="s"/>
      <c r="P122" s="508" t="s"/>
      <c r="Q122" s="508" t="s"/>
      <c r="R122" s="508" t="s"/>
      <c r="S122" s="508" t="s"/>
      <c r="T122" s="508" t="s"/>
      <c r="U122" s="508" t="s"/>
      <c r="V122" s="508" t="s"/>
      <c r="W122" s="508" t="s"/>
      <c r="X122" s="508" t="s"/>
      <c r="Y122" s="508" t="s"/>
    </row>
    <row r="123" spans="1:25">
      <c r="A123" s="680" t="s"/>
      <c r="B123" s="837" t="s"/>
      <c r="C123" s="837" t="s"/>
      <c r="D123" s="838" t="s"/>
      <c r="E123" s="837" t="s"/>
      <c r="F123" s="839" t="s"/>
      <c r="G123" s="839" t="s"/>
      <c r="H123" s="840" t="s"/>
      <c r="I123" s="508" t="s"/>
      <c r="J123" s="508" t="s"/>
      <c r="K123" s="508" t="s"/>
      <c r="L123" s="508" t="s"/>
      <c r="M123" s="508" t="s"/>
      <c r="N123" s="508" t="s"/>
      <c r="O123" s="508" t="s"/>
      <c r="P123" s="508" t="s"/>
      <c r="Q123" s="508" t="s"/>
      <c r="R123" s="508" t="s"/>
      <c r="S123" s="508" t="s"/>
      <c r="T123" s="508" t="s"/>
      <c r="U123" s="508" t="s"/>
      <c r="V123" s="508" t="s"/>
      <c r="W123" s="508" t="s"/>
      <c r="X123" s="508" t="s"/>
      <c r="Y123" s="508" t="s"/>
    </row>
    <row r="124" spans="1:25">
      <c r="A124" s="680" t="s"/>
      <c r="B124" s="837" t="s"/>
      <c r="C124" s="837" t="s"/>
      <c r="D124" s="838" t="s"/>
      <c r="E124" s="837" t="s"/>
      <c r="F124" s="839" t="s"/>
      <c r="G124" s="839" t="s"/>
      <c r="H124" s="840" t="s"/>
      <c r="I124" s="508" t="s"/>
      <c r="J124" s="508" t="s"/>
      <c r="K124" s="508" t="s"/>
      <c r="L124" s="508" t="s"/>
      <c r="M124" s="508" t="s"/>
      <c r="N124" s="508" t="s"/>
      <c r="O124" s="508" t="s"/>
      <c r="P124" s="508" t="s"/>
      <c r="Q124" s="508" t="s"/>
      <c r="R124" s="508" t="s"/>
      <c r="S124" s="508" t="s"/>
      <c r="T124" s="508" t="s"/>
      <c r="U124" s="508" t="s"/>
      <c r="V124" s="508" t="s"/>
      <c r="W124" s="508" t="s"/>
      <c r="X124" s="508" t="s"/>
      <c r="Y124" s="508" t="s"/>
    </row>
    <row r="125" spans="1:25">
      <c r="A125" s="680" t="s"/>
      <c r="B125" s="837" t="s"/>
      <c r="C125" s="837" t="s"/>
      <c r="D125" s="838" t="s"/>
      <c r="E125" s="837" t="s"/>
      <c r="F125" s="839" t="s"/>
      <c r="G125" s="839" t="s"/>
      <c r="H125" s="840" t="s"/>
      <c r="I125" s="508" t="s"/>
      <c r="J125" s="508" t="s"/>
      <c r="K125" s="508" t="s"/>
      <c r="L125" s="508" t="s"/>
      <c r="M125" s="508" t="s"/>
      <c r="N125" s="508" t="s"/>
      <c r="O125" s="508" t="s"/>
      <c r="P125" s="508" t="s"/>
      <c r="Q125" s="508" t="s"/>
      <c r="R125" s="508" t="s"/>
      <c r="S125" s="508" t="s"/>
      <c r="T125" s="508" t="s"/>
      <c r="U125" s="508" t="s"/>
      <c r="V125" s="508" t="s"/>
      <c r="W125" s="508" t="s"/>
      <c r="X125" s="508" t="s"/>
      <c r="Y125" s="508" t="s"/>
    </row>
    <row r="126" spans="1:25">
      <c r="A126" s="680" t="s"/>
      <c r="B126" s="837" t="s"/>
      <c r="C126" s="837" t="s"/>
      <c r="D126" s="838" t="s"/>
      <c r="E126" s="837" t="s"/>
      <c r="F126" s="839" t="s"/>
      <c r="G126" s="839" t="s"/>
      <c r="H126" s="840" t="s"/>
      <c r="I126" s="508" t="s"/>
      <c r="J126" s="508" t="s"/>
      <c r="K126" s="508" t="s"/>
      <c r="L126" s="508" t="s"/>
      <c r="M126" s="508" t="s"/>
      <c r="N126" s="508" t="s"/>
      <c r="O126" s="508" t="s"/>
      <c r="P126" s="508" t="s"/>
      <c r="Q126" s="508" t="s"/>
      <c r="R126" s="508" t="s"/>
      <c r="S126" s="508" t="s"/>
      <c r="T126" s="508" t="s"/>
      <c r="U126" s="508" t="s"/>
      <c r="V126" s="508" t="s"/>
      <c r="W126" s="508" t="s"/>
      <c r="X126" s="508" t="s"/>
      <c r="Y126" s="508" t="s"/>
    </row>
    <row r="127" spans="1:25">
      <c r="A127" s="680" t="s"/>
      <c r="B127" s="837" t="s"/>
      <c r="C127" s="837" t="s"/>
      <c r="D127" s="838" t="s"/>
      <c r="E127" s="837" t="s"/>
      <c r="F127" s="839" t="s"/>
      <c r="G127" s="839" t="s"/>
      <c r="H127" s="840" t="s"/>
      <c r="I127" s="508" t="s"/>
      <c r="J127" s="508" t="s"/>
      <c r="K127" s="508" t="s"/>
      <c r="L127" s="508" t="s"/>
      <c r="M127" s="508" t="s"/>
      <c r="N127" s="508" t="s"/>
      <c r="O127" s="508" t="s"/>
      <c r="P127" s="508" t="s"/>
      <c r="Q127" s="508" t="s"/>
      <c r="R127" s="508" t="s"/>
      <c r="S127" s="508" t="s"/>
      <c r="T127" s="508" t="s"/>
      <c r="U127" s="508" t="s"/>
      <c r="V127" s="508" t="s"/>
      <c r="W127" s="508" t="s"/>
      <c r="X127" s="508" t="s"/>
      <c r="Y127" s="508" t="s"/>
    </row>
    <row r="128" spans="1:25">
      <c r="A128" s="680" t="s"/>
      <c r="B128" s="837" t="s"/>
      <c r="C128" s="837" t="s"/>
      <c r="D128" s="838" t="s"/>
      <c r="E128" s="837" t="s"/>
      <c r="F128" s="839" t="s"/>
      <c r="G128" s="839" t="s"/>
      <c r="H128" s="840" t="s"/>
      <c r="I128" s="508" t="s"/>
      <c r="J128" s="508" t="s"/>
      <c r="K128" s="508" t="s"/>
      <c r="L128" s="508" t="s"/>
      <c r="M128" s="508" t="s"/>
      <c r="N128" s="508" t="s"/>
      <c r="O128" s="508" t="s"/>
      <c r="P128" s="508" t="s"/>
      <c r="Q128" s="508" t="s"/>
      <c r="R128" s="508" t="s"/>
      <c r="S128" s="508" t="s"/>
      <c r="T128" s="508" t="s"/>
      <c r="U128" s="508" t="s"/>
      <c r="V128" s="508" t="s"/>
      <c r="W128" s="508" t="s"/>
      <c r="X128" s="508" t="s"/>
      <c r="Y128" s="508" t="s"/>
    </row>
    <row r="129" spans="1:25">
      <c r="A129" s="680" t="s"/>
      <c r="B129" s="837" t="s"/>
      <c r="C129" s="837" t="s"/>
      <c r="D129" s="838" t="s"/>
      <c r="E129" s="837" t="s"/>
      <c r="F129" s="839" t="s"/>
      <c r="G129" s="839" t="s"/>
      <c r="H129" s="840" t="s"/>
      <c r="I129" s="508" t="s"/>
      <c r="J129" s="508" t="s"/>
      <c r="K129" s="508" t="s"/>
      <c r="L129" s="508" t="s"/>
      <c r="M129" s="508" t="s"/>
      <c r="N129" s="508" t="s"/>
      <c r="O129" s="508" t="s"/>
      <c r="P129" s="508" t="s"/>
      <c r="Q129" s="508" t="s"/>
      <c r="R129" s="508" t="s"/>
      <c r="S129" s="508" t="s"/>
      <c r="T129" s="508" t="s"/>
      <c r="U129" s="508" t="s"/>
      <c r="V129" s="508" t="s"/>
      <c r="W129" s="508" t="s"/>
      <c r="X129" s="508" t="s"/>
      <c r="Y129" s="508" t="s"/>
    </row>
    <row r="130" spans="1:25">
      <c r="A130" s="680" t="s"/>
      <c r="B130" s="837" t="s"/>
      <c r="C130" s="837" t="s"/>
      <c r="D130" s="838" t="s"/>
      <c r="E130" s="837" t="s"/>
      <c r="F130" s="839" t="s"/>
      <c r="G130" s="839" t="s"/>
      <c r="H130" s="840" t="s"/>
      <c r="I130" s="508" t="s"/>
      <c r="J130" s="508" t="s"/>
      <c r="K130" s="508" t="s"/>
      <c r="L130" s="508" t="s"/>
      <c r="M130" s="508" t="s"/>
      <c r="N130" s="508" t="s"/>
      <c r="O130" s="508" t="s"/>
      <c r="P130" s="508" t="s"/>
      <c r="Q130" s="508" t="s"/>
      <c r="R130" s="508" t="s"/>
      <c r="S130" s="508" t="s"/>
      <c r="T130" s="508" t="s"/>
      <c r="U130" s="508" t="s"/>
      <c r="V130" s="508" t="s"/>
      <c r="W130" s="508" t="s"/>
      <c r="X130" s="508" t="s"/>
      <c r="Y130" s="508" t="s"/>
    </row>
    <row r="131" spans="1:25">
      <c r="A131" s="680" t="s"/>
      <c r="B131" s="837" t="s"/>
      <c r="C131" s="837" t="s"/>
      <c r="D131" s="838" t="s"/>
      <c r="E131" s="837" t="s"/>
      <c r="F131" s="839" t="s"/>
      <c r="G131" s="839" t="s"/>
      <c r="H131" s="840" t="s"/>
      <c r="I131" s="508" t="s"/>
      <c r="J131" s="508" t="s"/>
      <c r="K131" s="508" t="s"/>
      <c r="L131" s="508" t="s"/>
      <c r="M131" s="508" t="s"/>
      <c r="N131" s="508" t="s"/>
      <c r="O131" s="508" t="s"/>
      <c r="P131" s="508" t="s"/>
      <c r="Q131" s="508" t="s"/>
      <c r="R131" s="508" t="s"/>
      <c r="S131" s="508" t="s"/>
      <c r="T131" s="508" t="s"/>
      <c r="U131" s="508" t="s"/>
      <c r="V131" s="508" t="s"/>
      <c r="W131" s="508" t="s"/>
      <c r="X131" s="508" t="s"/>
      <c r="Y131" s="508" t="s"/>
    </row>
    <row r="132" spans="1:25">
      <c r="A132" s="680" t="s"/>
      <c r="B132" s="837" t="s"/>
      <c r="C132" s="837" t="s"/>
      <c r="D132" s="838" t="s"/>
      <c r="E132" s="837" t="s"/>
      <c r="F132" s="839" t="s"/>
      <c r="G132" s="839" t="s"/>
      <c r="H132" s="840" t="s"/>
      <c r="I132" s="508" t="s"/>
      <c r="J132" s="508" t="s"/>
      <c r="K132" s="508" t="s"/>
      <c r="L132" s="508" t="s"/>
      <c r="M132" s="508" t="s"/>
      <c r="N132" s="508" t="s"/>
      <c r="O132" s="508" t="s"/>
      <c r="P132" s="508" t="s"/>
      <c r="Q132" s="508" t="s"/>
      <c r="R132" s="508" t="s"/>
      <c r="S132" s="508" t="s"/>
      <c r="T132" s="508" t="s"/>
      <c r="U132" s="508" t="s"/>
      <c r="V132" s="508" t="s"/>
      <c r="W132" s="508" t="s"/>
      <c r="X132" s="508" t="s"/>
      <c r="Y132" s="508" t="s"/>
    </row>
    <row r="133" spans="1:25">
      <c r="A133" s="680" t="s"/>
      <c r="B133" s="837" t="s"/>
      <c r="C133" s="837" t="s"/>
      <c r="D133" s="838" t="s"/>
      <c r="E133" s="837" t="s"/>
      <c r="F133" s="839" t="s"/>
      <c r="G133" s="839" t="s"/>
      <c r="H133" s="840" t="s"/>
      <c r="I133" s="508" t="s"/>
      <c r="J133" s="508" t="s"/>
      <c r="K133" s="508" t="s"/>
      <c r="L133" s="508" t="s"/>
      <c r="M133" s="508" t="s"/>
      <c r="N133" s="508" t="s"/>
      <c r="O133" s="508" t="s"/>
      <c r="P133" s="508" t="s"/>
      <c r="Q133" s="508" t="s"/>
      <c r="R133" s="508" t="s"/>
      <c r="S133" s="508" t="s"/>
      <c r="T133" s="508" t="s"/>
      <c r="U133" s="508" t="s"/>
      <c r="V133" s="508" t="s"/>
      <c r="W133" s="508" t="s"/>
      <c r="X133" s="508" t="s"/>
      <c r="Y133" s="508" t="s"/>
    </row>
    <row r="134" spans="1:25">
      <c r="A134" s="680" t="s"/>
      <c r="B134" s="837" t="s"/>
      <c r="C134" s="837" t="s"/>
      <c r="D134" s="838" t="s"/>
      <c r="E134" s="837" t="s"/>
      <c r="F134" s="839" t="s"/>
      <c r="G134" s="839" t="s"/>
      <c r="H134" s="840" t="s"/>
      <c r="I134" s="508" t="s"/>
      <c r="J134" s="508" t="s"/>
      <c r="K134" s="508" t="s"/>
      <c r="L134" s="508" t="s"/>
      <c r="M134" s="508" t="s"/>
      <c r="N134" s="508" t="s"/>
      <c r="O134" s="508" t="s"/>
      <c r="P134" s="508" t="s"/>
      <c r="Q134" s="508" t="s"/>
      <c r="R134" s="508" t="s"/>
      <c r="S134" s="508" t="s"/>
      <c r="T134" s="508" t="s"/>
      <c r="U134" s="508" t="s"/>
      <c r="V134" s="508" t="s"/>
      <c r="W134" s="508" t="s"/>
      <c r="X134" s="508" t="s"/>
      <c r="Y134" s="508" t="s"/>
    </row>
    <row r="135" spans="1:25">
      <c r="A135" s="680" t="s"/>
      <c r="B135" s="837" t="s"/>
      <c r="C135" s="837" t="s"/>
      <c r="D135" s="838" t="s"/>
      <c r="E135" s="837" t="s"/>
      <c r="F135" s="839" t="s"/>
      <c r="G135" s="839" t="s"/>
      <c r="H135" s="840" t="s"/>
      <c r="I135" s="508" t="s"/>
      <c r="J135" s="508" t="s"/>
      <c r="K135" s="508" t="s"/>
      <c r="L135" s="508" t="s"/>
      <c r="M135" s="508" t="s"/>
      <c r="N135" s="508" t="s"/>
      <c r="O135" s="508" t="s"/>
      <c r="P135" s="508" t="s"/>
      <c r="Q135" s="508" t="s"/>
      <c r="R135" s="508" t="s"/>
      <c r="S135" s="508" t="s"/>
      <c r="T135" s="508" t="s"/>
      <c r="U135" s="508" t="s"/>
      <c r="V135" s="508" t="s"/>
      <c r="W135" s="508" t="s"/>
      <c r="X135" s="508" t="s"/>
      <c r="Y135" s="508" t="s"/>
    </row>
    <row r="136" spans="1:25">
      <c r="A136" s="680" t="s"/>
      <c r="B136" s="837" t="s"/>
      <c r="C136" s="837" t="s"/>
      <c r="D136" s="838" t="s"/>
      <c r="E136" s="837" t="s"/>
      <c r="F136" s="839" t="s"/>
      <c r="G136" s="839" t="s"/>
      <c r="H136" s="840" t="s"/>
      <c r="I136" s="508" t="s"/>
      <c r="J136" s="508" t="s"/>
      <c r="K136" s="508" t="s"/>
      <c r="L136" s="508" t="s"/>
      <c r="M136" s="508" t="s"/>
      <c r="N136" s="508" t="s"/>
      <c r="O136" s="508" t="s"/>
      <c r="P136" s="508" t="s"/>
      <c r="Q136" s="508" t="s"/>
      <c r="R136" s="508" t="s"/>
      <c r="S136" s="508" t="s"/>
      <c r="T136" s="508" t="s"/>
      <c r="U136" s="508" t="s"/>
      <c r="V136" s="508" t="s"/>
      <c r="W136" s="508" t="s"/>
      <c r="X136" s="508" t="s"/>
      <c r="Y136" s="508" t="s"/>
    </row>
    <row r="137" spans="1:25">
      <c r="A137" s="680" t="s"/>
      <c r="B137" s="837" t="s"/>
      <c r="C137" s="837" t="s"/>
      <c r="D137" s="838" t="s"/>
      <c r="E137" s="837" t="s"/>
      <c r="F137" s="839" t="s"/>
      <c r="G137" s="839" t="s"/>
      <c r="H137" s="840" t="s"/>
      <c r="I137" s="508" t="s"/>
      <c r="J137" s="508" t="s"/>
      <c r="K137" s="508" t="s"/>
      <c r="L137" s="508" t="s"/>
      <c r="M137" s="508" t="s"/>
      <c r="N137" s="508" t="s"/>
      <c r="O137" s="508" t="s"/>
      <c r="P137" s="508" t="s"/>
      <c r="Q137" s="508" t="s"/>
      <c r="R137" s="508" t="s"/>
      <c r="S137" s="508" t="s"/>
      <c r="T137" s="508" t="s"/>
      <c r="U137" s="508" t="s"/>
      <c r="V137" s="508" t="s"/>
      <c r="W137" s="508" t="s"/>
      <c r="X137" s="508" t="s"/>
      <c r="Y137" s="508" t="s"/>
    </row>
    <row r="138" spans="1:25">
      <c r="A138" s="680" t="s"/>
      <c r="B138" s="837" t="s"/>
      <c r="C138" s="837" t="s"/>
      <c r="D138" s="838" t="s"/>
      <c r="E138" s="837" t="s"/>
      <c r="F138" s="839" t="s"/>
      <c r="G138" s="839" t="s"/>
      <c r="H138" s="840" t="s"/>
      <c r="I138" s="508" t="s"/>
      <c r="J138" s="508" t="s"/>
      <c r="K138" s="508" t="s"/>
      <c r="L138" s="508" t="s"/>
      <c r="M138" s="508" t="s"/>
      <c r="N138" s="508" t="s"/>
      <c r="O138" s="508" t="s"/>
      <c r="P138" s="508" t="s"/>
      <c r="Q138" s="508" t="s"/>
      <c r="R138" s="508" t="s"/>
      <c r="S138" s="508" t="s"/>
      <c r="T138" s="508" t="s"/>
      <c r="U138" s="508" t="s"/>
      <c r="V138" s="508" t="s"/>
      <c r="W138" s="508" t="s"/>
      <c r="X138" s="508" t="s"/>
      <c r="Y138" s="508" t="s"/>
    </row>
    <row r="139" spans="1:25">
      <c r="A139" s="680" t="s"/>
      <c r="B139" s="837" t="s"/>
      <c r="C139" s="837" t="s"/>
      <c r="D139" s="838" t="s"/>
      <c r="E139" s="837" t="s"/>
      <c r="F139" s="839" t="s"/>
      <c r="G139" s="839" t="s"/>
      <c r="H139" s="840" t="s"/>
      <c r="I139" s="508" t="s"/>
      <c r="J139" s="508" t="s"/>
      <c r="K139" s="508" t="s"/>
      <c r="L139" s="508" t="s"/>
      <c r="M139" s="508" t="s"/>
      <c r="N139" s="508" t="s"/>
      <c r="O139" s="508" t="s"/>
      <c r="P139" s="508" t="s"/>
      <c r="Q139" s="508" t="s"/>
      <c r="R139" s="508" t="s"/>
      <c r="S139" s="508" t="s"/>
      <c r="T139" s="508" t="s"/>
      <c r="U139" s="508" t="s"/>
      <c r="V139" s="508" t="s"/>
      <c r="W139" s="508" t="s"/>
      <c r="X139" s="508" t="s"/>
      <c r="Y139" s="508" t="s"/>
    </row>
    <row r="140" spans="1:25">
      <c r="A140" s="680" t="s"/>
      <c r="B140" s="837" t="s"/>
      <c r="C140" s="837" t="s"/>
      <c r="D140" s="838" t="s"/>
      <c r="E140" s="837" t="s"/>
      <c r="F140" s="839" t="s"/>
      <c r="G140" s="839" t="s"/>
      <c r="H140" s="840" t="s"/>
      <c r="I140" s="508" t="s"/>
      <c r="J140" s="508" t="s"/>
      <c r="K140" s="508" t="s"/>
      <c r="L140" s="508" t="s"/>
      <c r="M140" s="508" t="s"/>
      <c r="N140" s="508" t="s"/>
      <c r="O140" s="508" t="s"/>
      <c r="P140" s="508" t="s"/>
      <c r="Q140" s="508" t="s"/>
      <c r="R140" s="508" t="s"/>
      <c r="S140" s="508" t="s"/>
      <c r="T140" s="508" t="s"/>
      <c r="U140" s="508" t="s"/>
      <c r="V140" s="508" t="s"/>
      <c r="W140" s="508" t="s"/>
      <c r="X140" s="508" t="s"/>
      <c r="Y140" s="508" t="s"/>
    </row>
    <row r="141" spans="1:25">
      <c r="A141" s="680" t="s"/>
      <c r="B141" s="837" t="s"/>
      <c r="C141" s="837" t="s"/>
      <c r="D141" s="838" t="s"/>
      <c r="E141" s="837" t="s"/>
      <c r="F141" s="839" t="s"/>
      <c r="G141" s="839" t="s"/>
      <c r="H141" s="840" t="s"/>
      <c r="I141" s="508" t="s"/>
      <c r="J141" s="508" t="s"/>
      <c r="K141" s="508" t="s"/>
      <c r="L141" s="508" t="s"/>
      <c r="M141" s="508" t="s"/>
      <c r="N141" s="508" t="s"/>
      <c r="O141" s="508" t="s"/>
      <c r="P141" s="508" t="s"/>
      <c r="Q141" s="508" t="s"/>
      <c r="R141" s="508" t="s"/>
      <c r="S141" s="508" t="s"/>
      <c r="T141" s="508" t="s"/>
      <c r="U141" s="508" t="s"/>
      <c r="V141" s="508" t="s"/>
      <c r="W141" s="508" t="s"/>
      <c r="X141" s="508" t="s"/>
      <c r="Y141" s="508" t="s"/>
    </row>
    <row r="142" spans="1:25">
      <c r="A142" s="680" t="s"/>
      <c r="B142" s="837" t="s"/>
      <c r="C142" s="837" t="s"/>
      <c r="D142" s="838" t="s"/>
      <c r="E142" s="837" t="s"/>
      <c r="F142" s="839" t="s"/>
      <c r="G142" s="839" t="s"/>
      <c r="H142" s="840" t="s"/>
      <c r="I142" s="508" t="s"/>
      <c r="J142" s="508" t="s"/>
      <c r="K142" s="508" t="s"/>
      <c r="L142" s="508" t="s"/>
      <c r="M142" s="508" t="s"/>
      <c r="N142" s="508" t="s"/>
      <c r="O142" s="508" t="s"/>
      <c r="P142" s="508" t="s"/>
      <c r="Q142" s="508" t="s"/>
      <c r="R142" s="508" t="s"/>
      <c r="S142" s="508" t="s"/>
      <c r="T142" s="508" t="s"/>
      <c r="U142" s="508" t="s"/>
      <c r="V142" s="508" t="s"/>
      <c r="W142" s="508" t="s"/>
      <c r="X142" s="508" t="s"/>
      <c r="Y142" s="508" t="s"/>
    </row>
    <row r="143" spans="1:25">
      <c r="A143" s="680" t="s"/>
      <c r="B143" s="837" t="s"/>
      <c r="C143" s="837" t="s"/>
      <c r="D143" s="838" t="s"/>
      <c r="E143" s="837" t="s"/>
      <c r="F143" s="839" t="s"/>
      <c r="G143" s="839" t="s"/>
      <c r="H143" s="840" t="s"/>
      <c r="I143" s="508" t="s"/>
      <c r="J143" s="508" t="s"/>
      <c r="K143" s="508" t="s"/>
      <c r="L143" s="508" t="s"/>
      <c r="M143" s="508" t="s"/>
      <c r="N143" s="508" t="s"/>
      <c r="O143" s="508" t="s"/>
      <c r="P143" s="508" t="s"/>
      <c r="Q143" s="508" t="s"/>
      <c r="R143" s="508" t="s"/>
      <c r="S143" s="508" t="s"/>
      <c r="T143" s="508" t="s"/>
      <c r="U143" s="508" t="s"/>
      <c r="V143" s="508" t="s"/>
      <c r="W143" s="508" t="s"/>
      <c r="X143" s="508" t="s"/>
      <c r="Y143" s="508" t="s"/>
    </row>
    <row r="144" spans="1:25">
      <c r="A144" s="680" t="s"/>
      <c r="B144" s="837" t="s"/>
      <c r="C144" s="837" t="s"/>
      <c r="D144" s="838" t="s"/>
      <c r="E144" s="837" t="s"/>
      <c r="F144" s="839" t="s"/>
      <c r="G144" s="839" t="s"/>
      <c r="H144" s="840" t="s"/>
      <c r="I144" s="508" t="s"/>
      <c r="J144" s="508" t="s"/>
      <c r="K144" s="508" t="s"/>
      <c r="L144" s="508" t="s"/>
      <c r="M144" s="508" t="s"/>
      <c r="N144" s="508" t="s"/>
      <c r="O144" s="508" t="s"/>
      <c r="P144" s="508" t="s"/>
      <c r="Q144" s="508" t="s"/>
      <c r="R144" s="508" t="s"/>
      <c r="S144" s="508" t="s"/>
      <c r="T144" s="508" t="s"/>
      <c r="U144" s="508" t="s"/>
      <c r="V144" s="508" t="s"/>
      <c r="W144" s="508" t="s"/>
      <c r="X144" s="508" t="s"/>
      <c r="Y144" s="508" t="s"/>
    </row>
    <row r="145" spans="1:25">
      <c r="A145" s="680" t="s"/>
      <c r="B145" s="837" t="s"/>
      <c r="C145" s="837" t="s"/>
      <c r="D145" s="838" t="s"/>
      <c r="E145" s="837" t="s"/>
      <c r="F145" s="839" t="s"/>
      <c r="G145" s="839" t="s"/>
      <c r="H145" s="840" t="s"/>
      <c r="I145" s="508" t="s"/>
      <c r="J145" s="508" t="s"/>
      <c r="K145" s="508" t="s"/>
      <c r="L145" s="508" t="s"/>
      <c r="M145" s="508" t="s"/>
      <c r="N145" s="508" t="s"/>
      <c r="O145" s="508" t="s"/>
      <c r="P145" s="508" t="s"/>
      <c r="Q145" s="508" t="s"/>
      <c r="R145" s="508" t="s"/>
      <c r="S145" s="508" t="s"/>
      <c r="T145" s="508" t="s"/>
      <c r="U145" s="508" t="s"/>
      <c r="V145" s="508" t="s"/>
      <c r="W145" s="508" t="s"/>
      <c r="X145" s="508" t="s"/>
      <c r="Y145" s="508" t="s"/>
    </row>
    <row r="146" spans="1:25">
      <c r="A146" s="680" t="s"/>
      <c r="B146" s="837" t="s"/>
      <c r="C146" s="837" t="s"/>
      <c r="D146" s="838" t="s"/>
      <c r="E146" s="837" t="s"/>
      <c r="F146" s="839" t="s"/>
      <c r="G146" s="839" t="s"/>
      <c r="H146" s="840" t="s"/>
      <c r="I146" s="508" t="s"/>
      <c r="J146" s="508" t="s"/>
      <c r="K146" s="508" t="s"/>
      <c r="L146" s="508" t="s"/>
      <c r="M146" s="508" t="s"/>
      <c r="N146" s="508" t="s"/>
      <c r="O146" s="508" t="s"/>
      <c r="P146" s="508" t="s"/>
      <c r="Q146" s="508" t="s"/>
      <c r="R146" s="508" t="s"/>
      <c r="S146" s="508" t="s"/>
      <c r="T146" s="508" t="s"/>
      <c r="U146" s="508" t="s"/>
      <c r="V146" s="508" t="s"/>
      <c r="W146" s="508" t="s"/>
      <c r="X146" s="508" t="s"/>
      <c r="Y146" s="508" t="s"/>
    </row>
    <row r="147" spans="1:25">
      <c r="A147" s="680" t="s"/>
      <c r="B147" s="837" t="s"/>
      <c r="C147" s="837" t="s"/>
      <c r="D147" s="838" t="s"/>
      <c r="E147" s="837" t="s"/>
      <c r="F147" s="839" t="s"/>
      <c r="G147" s="839" t="s"/>
      <c r="H147" s="840" t="s"/>
      <c r="I147" s="508" t="s"/>
      <c r="J147" s="508" t="s"/>
      <c r="K147" s="508" t="s"/>
      <c r="L147" s="508" t="s"/>
      <c r="M147" s="508" t="s"/>
      <c r="N147" s="508" t="s"/>
      <c r="O147" s="508" t="s"/>
      <c r="P147" s="508" t="s"/>
      <c r="Q147" s="508" t="s"/>
      <c r="R147" s="508" t="s"/>
      <c r="S147" s="508" t="s"/>
      <c r="T147" s="508" t="s"/>
      <c r="U147" s="508" t="s"/>
      <c r="V147" s="508" t="s"/>
      <c r="W147" s="508" t="s"/>
      <c r="X147" s="508" t="s"/>
      <c r="Y147" s="508" t="s"/>
    </row>
    <row r="148" spans="1:25">
      <c r="A148" s="680" t="s"/>
      <c r="B148" s="837" t="s"/>
      <c r="C148" s="837" t="s"/>
      <c r="D148" s="838" t="s"/>
      <c r="E148" s="837" t="s"/>
      <c r="F148" s="839" t="s"/>
      <c r="G148" s="839" t="s"/>
      <c r="H148" s="840" t="s"/>
      <c r="I148" s="508" t="s"/>
      <c r="J148" s="508" t="s"/>
      <c r="K148" s="508" t="s"/>
      <c r="L148" s="508" t="s"/>
      <c r="M148" s="508" t="s"/>
      <c r="N148" s="508" t="s"/>
      <c r="O148" s="508" t="s"/>
      <c r="P148" s="508" t="s"/>
      <c r="Q148" s="508" t="s"/>
      <c r="R148" s="508" t="s"/>
      <c r="S148" s="508" t="s"/>
      <c r="T148" s="508" t="s"/>
      <c r="U148" s="508" t="s"/>
      <c r="V148" s="508" t="s"/>
      <c r="W148" s="508" t="s"/>
      <c r="X148" s="508" t="s"/>
      <c r="Y148" s="508" t="s"/>
    </row>
    <row r="149" spans="1:25">
      <c r="A149" s="680" t="s"/>
      <c r="B149" s="837" t="s"/>
      <c r="C149" s="837" t="s"/>
      <c r="D149" s="838" t="s"/>
      <c r="E149" s="837" t="s"/>
      <c r="F149" s="839" t="s"/>
      <c r="G149" s="839" t="s"/>
      <c r="H149" s="840" t="s"/>
      <c r="I149" s="508" t="s"/>
      <c r="J149" s="508" t="s"/>
      <c r="K149" s="508" t="s"/>
      <c r="L149" s="508" t="s"/>
      <c r="M149" s="508" t="s"/>
      <c r="N149" s="508" t="s"/>
      <c r="O149" s="508" t="s"/>
      <c r="P149" s="508" t="s"/>
      <c r="Q149" s="508" t="s"/>
      <c r="R149" s="508" t="s"/>
      <c r="S149" s="508" t="s"/>
      <c r="T149" s="508" t="s"/>
      <c r="U149" s="508" t="s"/>
      <c r="V149" s="508" t="s"/>
      <c r="W149" s="508" t="s"/>
      <c r="X149" s="508" t="s"/>
      <c r="Y149" s="508" t="s"/>
    </row>
    <row r="150" spans="1:25">
      <c r="A150" s="680" t="s"/>
      <c r="B150" s="837" t="s"/>
      <c r="C150" s="837" t="s"/>
      <c r="D150" s="838" t="s"/>
      <c r="E150" s="837" t="s"/>
      <c r="F150" s="839" t="s"/>
      <c r="G150" s="839" t="s"/>
      <c r="H150" s="840" t="s"/>
      <c r="I150" s="508" t="s"/>
      <c r="J150" s="508" t="s"/>
      <c r="K150" s="508" t="s"/>
      <c r="L150" s="508" t="s"/>
      <c r="M150" s="508" t="s"/>
      <c r="N150" s="508" t="s"/>
      <c r="O150" s="508" t="s"/>
      <c r="P150" s="508" t="s"/>
      <c r="Q150" s="508" t="s"/>
      <c r="R150" s="508" t="s"/>
      <c r="S150" s="508" t="s"/>
      <c r="T150" s="508" t="s"/>
      <c r="U150" s="508" t="s"/>
      <c r="V150" s="508" t="s"/>
      <c r="W150" s="508" t="s"/>
      <c r="X150" s="508" t="s"/>
      <c r="Y150" s="508" t="s"/>
    </row>
    <row r="151" spans="1:25">
      <c r="A151" s="680" t="s"/>
      <c r="B151" s="837" t="s"/>
      <c r="C151" s="837" t="s"/>
      <c r="D151" s="838" t="s"/>
      <c r="E151" s="837" t="s"/>
      <c r="F151" s="839" t="s"/>
      <c r="G151" s="839" t="s"/>
      <c r="H151" s="840" t="s"/>
      <c r="I151" s="508" t="s"/>
      <c r="J151" s="508" t="s"/>
      <c r="K151" s="508" t="s"/>
      <c r="L151" s="508" t="s"/>
      <c r="M151" s="508" t="s"/>
      <c r="N151" s="508" t="s"/>
      <c r="O151" s="508" t="s"/>
      <c r="P151" s="508" t="s"/>
      <c r="Q151" s="508" t="s"/>
      <c r="R151" s="508" t="s"/>
      <c r="S151" s="508" t="s"/>
      <c r="T151" s="508" t="s"/>
      <c r="U151" s="508" t="s"/>
      <c r="V151" s="508" t="s"/>
      <c r="W151" s="508" t="s"/>
      <c r="X151" s="508" t="s"/>
      <c r="Y151" s="508" t="s"/>
    </row>
    <row r="152" spans="1:25">
      <c r="A152" s="680" t="s"/>
      <c r="B152" s="837" t="s"/>
      <c r="C152" s="837" t="s"/>
      <c r="D152" s="838" t="s"/>
      <c r="E152" s="837" t="s"/>
      <c r="F152" s="839" t="s"/>
      <c r="G152" s="839" t="s"/>
      <c r="H152" s="840" t="s"/>
      <c r="I152" s="508" t="s"/>
      <c r="J152" s="508" t="s"/>
      <c r="K152" s="508" t="s"/>
      <c r="L152" s="508" t="s"/>
      <c r="M152" s="508" t="s"/>
      <c r="N152" s="508" t="s"/>
      <c r="O152" s="508" t="s"/>
      <c r="P152" s="508" t="s"/>
      <c r="Q152" s="508" t="s"/>
      <c r="R152" s="508" t="s"/>
      <c r="S152" s="508" t="s"/>
      <c r="T152" s="508" t="s"/>
      <c r="U152" s="508" t="s"/>
      <c r="V152" s="508" t="s"/>
      <c r="W152" s="508" t="s"/>
      <c r="X152" s="508" t="s"/>
      <c r="Y152" s="508" t="s"/>
    </row>
    <row r="153" spans="1:25">
      <c r="A153" s="680" t="s"/>
      <c r="B153" s="837" t="s"/>
      <c r="C153" s="837" t="s"/>
      <c r="D153" s="838" t="s"/>
      <c r="E153" s="837" t="s"/>
      <c r="F153" s="839" t="s"/>
      <c r="G153" s="839" t="s"/>
      <c r="H153" s="840" t="s"/>
      <c r="I153" s="508" t="s"/>
      <c r="J153" s="508" t="s"/>
      <c r="K153" s="508" t="s"/>
      <c r="L153" s="508" t="s"/>
      <c r="M153" s="508" t="s"/>
      <c r="N153" s="508" t="s"/>
      <c r="O153" s="508" t="s"/>
      <c r="P153" s="508" t="s"/>
      <c r="Q153" s="508" t="s"/>
      <c r="R153" s="508" t="s"/>
      <c r="S153" s="508" t="s"/>
      <c r="T153" s="508" t="s"/>
      <c r="U153" s="508" t="s"/>
      <c r="V153" s="508" t="s"/>
      <c r="W153" s="508" t="s"/>
      <c r="X153" s="508" t="s"/>
      <c r="Y153" s="508" t="s"/>
    </row>
    <row r="154" spans="1:25">
      <c r="A154" s="680" t="s"/>
      <c r="B154" s="837" t="s"/>
      <c r="C154" s="837" t="s"/>
      <c r="D154" s="838" t="s"/>
      <c r="E154" s="837" t="s"/>
      <c r="F154" s="839" t="s"/>
      <c r="G154" s="839" t="s"/>
      <c r="H154" s="840" t="s"/>
      <c r="I154" s="508" t="s"/>
      <c r="J154" s="508" t="s"/>
      <c r="K154" s="508" t="s"/>
      <c r="L154" s="508" t="s"/>
      <c r="M154" s="508" t="s"/>
      <c r="N154" s="508" t="s"/>
      <c r="O154" s="508" t="s"/>
      <c r="P154" s="508" t="s"/>
      <c r="Q154" s="508" t="s"/>
      <c r="R154" s="508" t="s"/>
      <c r="S154" s="508" t="s"/>
      <c r="T154" s="508" t="s"/>
      <c r="U154" s="508" t="s"/>
      <c r="V154" s="508" t="s"/>
      <c r="W154" s="508" t="s"/>
      <c r="X154" s="508" t="s"/>
      <c r="Y154" s="508" t="s"/>
    </row>
    <row r="155" spans="1:25">
      <c r="A155" s="680" t="s"/>
      <c r="B155" s="837" t="s"/>
      <c r="C155" s="837" t="s"/>
      <c r="D155" s="838" t="s"/>
      <c r="E155" s="837" t="s"/>
      <c r="F155" s="839" t="s"/>
      <c r="G155" s="839" t="s"/>
      <c r="H155" s="840" t="s"/>
      <c r="I155" s="508" t="s"/>
      <c r="J155" s="508" t="s"/>
      <c r="K155" s="508" t="s"/>
      <c r="L155" s="508" t="s"/>
      <c r="M155" s="508" t="s"/>
      <c r="N155" s="508" t="s"/>
      <c r="O155" s="508" t="s"/>
      <c r="P155" s="508" t="s"/>
      <c r="Q155" s="508" t="s"/>
      <c r="R155" s="508" t="s"/>
      <c r="S155" s="508" t="s"/>
      <c r="T155" s="508" t="s"/>
      <c r="U155" s="508" t="s"/>
      <c r="V155" s="508" t="s"/>
      <c r="W155" s="508" t="s"/>
      <c r="X155" s="508" t="s"/>
      <c r="Y155" s="508" t="s"/>
    </row>
    <row r="156" spans="1:25">
      <c r="A156" s="680" t="s"/>
      <c r="B156" s="837" t="s"/>
      <c r="C156" s="837" t="s"/>
      <c r="D156" s="838" t="s"/>
      <c r="E156" s="837" t="s"/>
      <c r="F156" s="839" t="s"/>
      <c r="G156" s="839" t="s"/>
      <c r="H156" s="840" t="s"/>
      <c r="I156" s="508" t="s"/>
      <c r="J156" s="508" t="s"/>
      <c r="K156" s="508" t="s"/>
      <c r="L156" s="508" t="s"/>
      <c r="M156" s="508" t="s"/>
      <c r="N156" s="508" t="s"/>
      <c r="O156" s="508" t="s"/>
      <c r="P156" s="508" t="s"/>
      <c r="Q156" s="508" t="s"/>
      <c r="R156" s="508" t="s"/>
      <c r="S156" s="508" t="s"/>
      <c r="T156" s="508" t="s"/>
      <c r="U156" s="508" t="s"/>
      <c r="V156" s="508" t="s"/>
      <c r="W156" s="508" t="s"/>
      <c r="X156" s="508" t="s"/>
      <c r="Y156" s="508" t="s"/>
    </row>
    <row r="157" spans="1:25">
      <c r="A157" s="680" t="s"/>
      <c r="B157" s="837" t="s"/>
      <c r="C157" s="837" t="s"/>
      <c r="D157" s="838" t="s"/>
      <c r="E157" s="837" t="s"/>
      <c r="F157" s="839" t="s"/>
      <c r="G157" s="839" t="s"/>
      <c r="H157" s="840" t="s"/>
      <c r="I157" s="508" t="s"/>
      <c r="J157" s="508" t="s"/>
      <c r="K157" s="508" t="s"/>
      <c r="L157" s="508" t="s"/>
      <c r="M157" s="508" t="s"/>
      <c r="N157" s="508" t="s"/>
      <c r="O157" s="508" t="s"/>
      <c r="P157" s="508" t="s"/>
      <c r="Q157" s="508" t="s"/>
      <c r="R157" s="508" t="s"/>
      <c r="S157" s="508" t="s"/>
      <c r="T157" s="508" t="s"/>
      <c r="U157" s="508" t="s"/>
      <c r="V157" s="508" t="s"/>
      <c r="W157" s="508" t="s"/>
      <c r="X157" s="508" t="s"/>
      <c r="Y157" s="508" t="s"/>
    </row>
    <row r="158" spans="1:25">
      <c r="A158" s="680" t="s"/>
      <c r="B158" s="837" t="s"/>
      <c r="C158" s="837" t="s"/>
      <c r="D158" s="838" t="s"/>
      <c r="E158" s="837" t="s"/>
      <c r="F158" s="839" t="s"/>
      <c r="G158" s="839" t="s"/>
      <c r="H158" s="840" t="s"/>
      <c r="I158" s="508" t="s"/>
      <c r="J158" s="508" t="s"/>
      <c r="K158" s="508" t="s"/>
      <c r="L158" s="508" t="s"/>
      <c r="M158" s="508" t="s"/>
      <c r="N158" s="508" t="s"/>
      <c r="O158" s="508" t="s"/>
      <c r="P158" s="508" t="s"/>
      <c r="Q158" s="508" t="s"/>
      <c r="R158" s="508" t="s"/>
      <c r="S158" s="508" t="s"/>
      <c r="T158" s="508" t="s"/>
      <c r="U158" s="508" t="s"/>
      <c r="V158" s="508" t="s"/>
      <c r="W158" s="508" t="s"/>
      <c r="X158" s="508" t="s"/>
      <c r="Y158" s="508" t="s"/>
    </row>
    <row r="159" spans="1:25">
      <c r="A159" s="680" t="s"/>
      <c r="B159" s="837" t="s"/>
      <c r="C159" s="837" t="s"/>
      <c r="D159" s="838" t="s"/>
      <c r="E159" s="837" t="s"/>
      <c r="F159" s="839" t="s"/>
      <c r="G159" s="839" t="s"/>
      <c r="H159" s="840" t="s"/>
      <c r="I159" s="508" t="s"/>
      <c r="J159" s="508" t="s"/>
      <c r="K159" s="508" t="s"/>
      <c r="L159" s="508" t="s"/>
      <c r="M159" s="508" t="s"/>
      <c r="N159" s="508" t="s"/>
      <c r="O159" s="508" t="s"/>
      <c r="P159" s="508" t="s"/>
      <c r="Q159" s="508" t="s"/>
      <c r="R159" s="508" t="s"/>
      <c r="S159" s="508" t="s"/>
      <c r="T159" s="508" t="s"/>
      <c r="U159" s="508" t="s"/>
      <c r="V159" s="508" t="s"/>
      <c r="W159" s="508" t="s"/>
      <c r="X159" s="508" t="s"/>
      <c r="Y159" s="508" t="s"/>
    </row>
    <row r="160" spans="1:25">
      <c r="A160" s="680" t="s"/>
      <c r="B160" s="837" t="s"/>
      <c r="C160" s="837" t="s"/>
      <c r="D160" s="838" t="s"/>
      <c r="E160" s="837" t="s"/>
      <c r="F160" s="839" t="s"/>
      <c r="G160" s="839" t="s"/>
      <c r="H160" s="840" t="s"/>
      <c r="I160" s="508" t="s"/>
      <c r="J160" s="508" t="s"/>
      <c r="K160" s="508" t="s"/>
      <c r="L160" s="508" t="s"/>
      <c r="M160" s="508" t="s"/>
      <c r="N160" s="508" t="s"/>
      <c r="O160" s="508" t="s"/>
      <c r="P160" s="508" t="s"/>
      <c r="Q160" s="508" t="s"/>
      <c r="R160" s="508" t="s"/>
      <c r="S160" s="508" t="s"/>
      <c r="T160" s="508" t="s"/>
      <c r="U160" s="508" t="s"/>
      <c r="V160" s="508" t="s"/>
      <c r="W160" s="508" t="s"/>
      <c r="X160" s="508" t="s"/>
      <c r="Y160" s="508" t="s"/>
    </row>
    <row r="161" spans="1:25">
      <c r="A161" s="680" t="s"/>
      <c r="B161" s="837" t="s"/>
      <c r="C161" s="837" t="s"/>
      <c r="D161" s="838" t="s"/>
      <c r="E161" s="837" t="s"/>
      <c r="F161" s="839" t="s"/>
      <c r="G161" s="839" t="s"/>
      <c r="H161" s="840" t="s"/>
      <c r="I161" s="508" t="s"/>
      <c r="J161" s="508" t="s"/>
      <c r="K161" s="508" t="s"/>
      <c r="L161" s="508" t="s"/>
      <c r="M161" s="508" t="s"/>
      <c r="N161" s="508" t="s"/>
      <c r="O161" s="508" t="s"/>
      <c r="P161" s="508" t="s"/>
      <c r="Q161" s="508" t="s"/>
      <c r="R161" s="508" t="s"/>
      <c r="S161" s="508" t="s"/>
      <c r="T161" s="508" t="s"/>
      <c r="U161" s="508" t="s"/>
      <c r="V161" s="508" t="s"/>
      <c r="W161" s="508" t="s"/>
      <c r="X161" s="508" t="s"/>
      <c r="Y161" s="508" t="s"/>
    </row>
    <row r="162" spans="1:25">
      <c r="A162" s="680" t="s"/>
      <c r="B162" s="837" t="s"/>
      <c r="C162" s="837" t="s"/>
      <c r="D162" s="838" t="s"/>
      <c r="E162" s="837" t="s"/>
      <c r="F162" s="839" t="s"/>
      <c r="G162" s="839" t="s"/>
      <c r="H162" s="840" t="s"/>
      <c r="I162" s="508" t="s"/>
      <c r="J162" s="508" t="s"/>
      <c r="K162" s="508" t="s"/>
      <c r="L162" s="508" t="s"/>
      <c r="M162" s="508" t="s"/>
      <c r="N162" s="508" t="s"/>
      <c r="O162" s="508" t="s"/>
      <c r="P162" s="508" t="s"/>
      <c r="Q162" s="508" t="s"/>
      <c r="R162" s="508" t="s"/>
      <c r="S162" s="508" t="s"/>
      <c r="T162" s="508" t="s"/>
      <c r="U162" s="508" t="s"/>
      <c r="V162" s="508" t="s"/>
      <c r="W162" s="508" t="s"/>
      <c r="X162" s="508" t="s"/>
      <c r="Y162" s="508" t="s"/>
    </row>
    <row r="163" spans="1:25">
      <c r="A163" s="680" t="s"/>
      <c r="B163" s="837" t="s"/>
      <c r="C163" s="837" t="s"/>
      <c r="D163" s="838" t="s"/>
      <c r="E163" s="837" t="s"/>
      <c r="F163" s="839" t="s"/>
      <c r="G163" s="839" t="s"/>
      <c r="H163" s="840" t="s"/>
      <c r="I163" s="508" t="s"/>
      <c r="J163" s="508" t="s"/>
      <c r="K163" s="508" t="s"/>
      <c r="L163" s="508" t="s"/>
      <c r="M163" s="508" t="s"/>
      <c r="N163" s="508" t="s"/>
      <c r="O163" s="508" t="s"/>
      <c r="P163" s="508" t="s"/>
      <c r="Q163" s="508" t="s"/>
      <c r="R163" s="508" t="s"/>
      <c r="S163" s="508" t="s"/>
      <c r="T163" s="508" t="s"/>
      <c r="U163" s="508" t="s"/>
      <c r="V163" s="508" t="s"/>
      <c r="W163" s="508" t="s"/>
      <c r="X163" s="508" t="s"/>
      <c r="Y163" s="508" t="s"/>
    </row>
    <row r="164" spans="1:25">
      <c r="A164" s="680" t="s"/>
      <c r="B164" s="837" t="s"/>
      <c r="C164" s="837" t="s"/>
      <c r="D164" s="838" t="s"/>
      <c r="E164" s="837" t="s"/>
      <c r="F164" s="839" t="s"/>
      <c r="G164" s="839" t="s"/>
      <c r="H164" s="840" t="s"/>
      <c r="I164" s="508" t="s"/>
      <c r="J164" s="508" t="s"/>
      <c r="K164" s="508" t="s"/>
      <c r="L164" s="508" t="s"/>
      <c r="M164" s="508" t="s"/>
      <c r="N164" s="508" t="s"/>
      <c r="O164" s="508" t="s"/>
      <c r="P164" s="508" t="s"/>
      <c r="Q164" s="508" t="s"/>
      <c r="R164" s="508" t="s"/>
      <c r="S164" s="508" t="s"/>
      <c r="T164" s="508" t="s"/>
      <c r="U164" s="508" t="s"/>
      <c r="V164" s="508" t="s"/>
      <c r="W164" s="508" t="s"/>
      <c r="X164" s="508" t="s"/>
      <c r="Y164" s="508" t="s"/>
    </row>
    <row r="165" spans="1:25">
      <c r="A165" s="680" t="s"/>
      <c r="B165" s="837" t="s"/>
      <c r="C165" s="837" t="s"/>
      <c r="D165" s="838" t="s"/>
      <c r="E165" s="837" t="s"/>
      <c r="F165" s="839" t="s"/>
      <c r="G165" s="839" t="s"/>
      <c r="H165" s="840" t="s"/>
      <c r="I165" s="508" t="s"/>
      <c r="J165" s="508" t="s"/>
      <c r="K165" s="508" t="s"/>
      <c r="L165" s="508" t="s"/>
      <c r="M165" s="508" t="s"/>
      <c r="N165" s="508" t="s"/>
      <c r="O165" s="508" t="s"/>
      <c r="P165" s="508" t="s"/>
      <c r="Q165" s="508" t="s"/>
      <c r="R165" s="508" t="s"/>
      <c r="S165" s="508" t="s"/>
      <c r="T165" s="508" t="s"/>
      <c r="U165" s="508" t="s"/>
      <c r="V165" s="508" t="s"/>
      <c r="W165" s="508" t="s"/>
      <c r="X165" s="508" t="s"/>
      <c r="Y165" s="508" t="s"/>
    </row>
    <row r="166" spans="1:25">
      <c r="A166" s="680" t="s"/>
      <c r="B166" s="837" t="s"/>
      <c r="C166" s="837" t="s"/>
      <c r="D166" s="838" t="s"/>
      <c r="E166" s="837" t="s"/>
      <c r="F166" s="839" t="s"/>
      <c r="G166" s="839" t="s"/>
      <c r="H166" s="840" t="s"/>
      <c r="I166" s="508" t="s"/>
      <c r="J166" s="508" t="s"/>
      <c r="K166" s="508" t="s"/>
      <c r="L166" s="508" t="s"/>
      <c r="M166" s="508" t="s"/>
      <c r="N166" s="508" t="s"/>
      <c r="O166" s="508" t="s"/>
      <c r="P166" s="508" t="s"/>
      <c r="Q166" s="508" t="s"/>
      <c r="R166" s="508" t="s"/>
      <c r="S166" s="508" t="s"/>
      <c r="T166" s="508" t="s"/>
      <c r="U166" s="508" t="s"/>
      <c r="V166" s="508" t="s"/>
      <c r="W166" s="508" t="s"/>
      <c r="X166" s="508" t="s"/>
      <c r="Y166" s="508" t="s"/>
    </row>
    <row r="167" spans="1:25">
      <c r="A167" s="680" t="s"/>
      <c r="B167" s="837" t="s"/>
      <c r="C167" s="837" t="s"/>
      <c r="D167" s="838" t="s"/>
      <c r="E167" s="837" t="s"/>
      <c r="F167" s="839" t="s"/>
      <c r="G167" s="839" t="s"/>
      <c r="H167" s="840" t="s"/>
      <c r="I167" s="508" t="s"/>
      <c r="J167" s="508" t="s"/>
      <c r="K167" s="508" t="s"/>
      <c r="L167" s="508" t="s"/>
      <c r="M167" s="508" t="s"/>
      <c r="N167" s="508" t="s"/>
      <c r="O167" s="508" t="s"/>
      <c r="P167" s="508" t="s"/>
      <c r="Q167" s="508" t="s"/>
      <c r="R167" s="508" t="s"/>
      <c r="S167" s="508" t="s"/>
      <c r="T167" s="508" t="s"/>
      <c r="U167" s="508" t="s"/>
      <c r="V167" s="508" t="s"/>
      <c r="W167" s="508" t="s"/>
      <c r="X167" s="508" t="s"/>
      <c r="Y167" s="508" t="s"/>
    </row>
    <row r="168" spans="1:25">
      <c r="A168" s="680" t="s"/>
      <c r="B168" s="837" t="s"/>
      <c r="C168" s="837" t="s"/>
      <c r="D168" s="838" t="s"/>
      <c r="E168" s="837" t="s"/>
      <c r="F168" s="839" t="s"/>
      <c r="G168" s="839" t="s"/>
      <c r="H168" s="840" t="s"/>
      <c r="I168" s="508" t="s"/>
      <c r="J168" s="508" t="s"/>
      <c r="K168" s="508" t="s"/>
      <c r="L168" s="508" t="s"/>
      <c r="M168" s="508" t="s"/>
      <c r="N168" s="508" t="s"/>
      <c r="O168" s="508" t="s"/>
      <c r="P168" s="508" t="s"/>
      <c r="Q168" s="508" t="s"/>
      <c r="R168" s="508" t="s"/>
      <c r="S168" s="508" t="s"/>
      <c r="T168" s="508" t="s"/>
      <c r="U168" s="508" t="s"/>
      <c r="V168" s="508" t="s"/>
      <c r="W168" s="508" t="s"/>
      <c r="X168" s="508" t="s"/>
      <c r="Y168" s="508" t="s"/>
    </row>
    <row r="169" spans="1:25">
      <c r="A169" s="680" t="s"/>
      <c r="B169" s="837" t="s"/>
      <c r="C169" s="837" t="s"/>
      <c r="D169" s="838" t="s"/>
      <c r="E169" s="837" t="s"/>
      <c r="F169" s="839" t="s"/>
      <c r="G169" s="839" t="s"/>
      <c r="H169" s="840" t="s"/>
      <c r="I169" s="508" t="s"/>
      <c r="J169" s="508" t="s"/>
      <c r="K169" s="508" t="s"/>
      <c r="L169" s="508" t="s"/>
      <c r="M169" s="508" t="s"/>
      <c r="N169" s="508" t="s"/>
      <c r="O169" s="508" t="s"/>
      <c r="P169" s="508" t="s"/>
      <c r="Q169" s="508" t="s"/>
      <c r="R169" s="508" t="s"/>
      <c r="S169" s="508" t="s"/>
      <c r="T169" s="508" t="s"/>
      <c r="U169" s="508" t="s"/>
      <c r="V169" s="508" t="s"/>
      <c r="W169" s="508" t="s"/>
      <c r="X169" s="508" t="s"/>
      <c r="Y169" s="508" t="s"/>
    </row>
    <row r="170" spans="1:25">
      <c r="A170" s="680" t="s"/>
      <c r="B170" s="837" t="s"/>
      <c r="C170" s="837" t="s"/>
      <c r="D170" s="838" t="s"/>
      <c r="E170" s="837" t="s"/>
      <c r="F170" s="839" t="s"/>
      <c r="G170" s="839" t="s"/>
      <c r="H170" s="840" t="s"/>
      <c r="I170" s="508" t="s"/>
      <c r="J170" s="508" t="s"/>
      <c r="K170" s="508" t="s"/>
      <c r="L170" s="508" t="s"/>
      <c r="M170" s="508" t="s"/>
      <c r="N170" s="508" t="s"/>
      <c r="O170" s="508" t="s"/>
      <c r="P170" s="508" t="s"/>
      <c r="Q170" s="508" t="s"/>
      <c r="R170" s="508" t="s"/>
      <c r="S170" s="508" t="s"/>
      <c r="T170" s="508" t="s"/>
      <c r="U170" s="508" t="s"/>
      <c r="V170" s="508" t="s"/>
      <c r="W170" s="508" t="s"/>
      <c r="X170" s="508" t="s"/>
      <c r="Y170" s="508" t="s"/>
    </row>
    <row r="171" spans="1:25">
      <c r="A171" s="680" t="s"/>
      <c r="B171" s="837" t="s"/>
      <c r="C171" s="837" t="s"/>
      <c r="D171" s="838" t="s"/>
      <c r="E171" s="837" t="s"/>
      <c r="F171" s="839" t="s"/>
      <c r="G171" s="839" t="s"/>
      <c r="H171" s="840" t="s"/>
      <c r="I171" s="508" t="s"/>
      <c r="J171" s="508" t="s"/>
      <c r="K171" s="508" t="s"/>
      <c r="L171" s="508" t="s"/>
      <c r="M171" s="508" t="s"/>
      <c r="N171" s="508" t="s"/>
      <c r="O171" s="508" t="s"/>
      <c r="P171" s="508" t="s"/>
      <c r="Q171" s="508" t="s"/>
      <c r="R171" s="508" t="s"/>
      <c r="S171" s="508" t="s"/>
      <c r="T171" s="508" t="s"/>
      <c r="U171" s="508" t="s"/>
      <c r="V171" s="508" t="s"/>
      <c r="W171" s="508" t="s"/>
      <c r="X171" s="508" t="s"/>
      <c r="Y171" s="508" t="s"/>
    </row>
    <row r="172" spans="1:25">
      <c r="A172" s="680" t="s"/>
      <c r="B172" s="837" t="s"/>
      <c r="C172" s="837" t="s"/>
      <c r="D172" s="838" t="s"/>
      <c r="E172" s="837" t="s"/>
      <c r="F172" s="839" t="s"/>
      <c r="G172" s="839" t="s"/>
      <c r="H172" s="840" t="s"/>
      <c r="I172" s="508" t="s"/>
      <c r="J172" s="508" t="s"/>
      <c r="K172" s="508" t="s"/>
      <c r="L172" s="508" t="s"/>
      <c r="M172" s="508" t="s"/>
      <c r="N172" s="508" t="s"/>
      <c r="O172" s="508" t="s"/>
      <c r="P172" s="508" t="s"/>
      <c r="Q172" s="508" t="s"/>
      <c r="R172" s="508" t="s"/>
      <c r="S172" s="508" t="s"/>
      <c r="T172" s="508" t="s"/>
      <c r="U172" s="508" t="s"/>
      <c r="V172" s="508" t="s"/>
      <c r="W172" s="508" t="s"/>
      <c r="X172" s="508" t="s"/>
      <c r="Y172" s="508" t="s"/>
    </row>
    <row r="173" spans="1:25">
      <c r="A173" s="680" t="s"/>
      <c r="B173" s="837" t="s"/>
      <c r="C173" s="837" t="s"/>
      <c r="D173" s="838" t="s"/>
      <c r="E173" s="837" t="s"/>
      <c r="F173" s="839" t="s"/>
      <c r="G173" s="839" t="s"/>
      <c r="H173" s="840" t="s"/>
      <c r="I173" s="508" t="s"/>
      <c r="J173" s="508" t="s"/>
      <c r="K173" s="508" t="s"/>
      <c r="L173" s="508" t="s"/>
      <c r="M173" s="508" t="s"/>
      <c r="N173" s="508" t="s"/>
      <c r="O173" s="508" t="s"/>
      <c r="P173" s="508" t="s"/>
      <c r="Q173" s="508" t="s"/>
      <c r="R173" s="508" t="s"/>
      <c r="S173" s="508" t="s"/>
      <c r="T173" s="508" t="s"/>
      <c r="U173" s="508" t="s"/>
      <c r="V173" s="508" t="s"/>
      <c r="W173" s="508" t="s"/>
      <c r="X173" s="508" t="s"/>
      <c r="Y173" s="508" t="s"/>
    </row>
    <row r="174" spans="1:25">
      <c r="A174" s="680" t="s"/>
      <c r="B174" s="837" t="s"/>
      <c r="C174" s="837" t="s"/>
      <c r="D174" s="838" t="s"/>
      <c r="E174" s="837" t="s"/>
      <c r="F174" s="839" t="s"/>
      <c r="G174" s="839" t="s"/>
      <c r="H174" s="840" t="s"/>
      <c r="I174" s="508" t="s"/>
      <c r="J174" s="508" t="s"/>
      <c r="K174" s="508" t="s"/>
      <c r="L174" s="508" t="s"/>
      <c r="M174" s="508" t="s"/>
      <c r="N174" s="508" t="s"/>
      <c r="O174" s="508" t="s"/>
      <c r="P174" s="508" t="s"/>
      <c r="Q174" s="508" t="s"/>
      <c r="R174" s="508" t="s"/>
      <c r="S174" s="508" t="s"/>
      <c r="T174" s="508" t="s"/>
      <c r="U174" s="508" t="s"/>
      <c r="V174" s="508" t="s"/>
      <c r="W174" s="508" t="s"/>
      <c r="X174" s="508" t="s"/>
      <c r="Y174" s="508" t="s"/>
    </row>
    <row r="175" spans="1:25">
      <c r="A175" s="680" t="s"/>
      <c r="B175" s="837" t="s"/>
      <c r="C175" s="837" t="s"/>
      <c r="D175" s="838" t="s"/>
      <c r="E175" s="837" t="s"/>
      <c r="F175" s="839" t="s"/>
      <c r="G175" s="839" t="s"/>
      <c r="H175" s="840" t="s"/>
      <c r="I175" s="508" t="s"/>
      <c r="J175" s="508" t="s"/>
      <c r="K175" s="508" t="s"/>
      <c r="L175" s="508" t="s"/>
      <c r="M175" s="508" t="s"/>
      <c r="N175" s="508" t="s"/>
      <c r="O175" s="508" t="s"/>
      <c r="P175" s="508" t="s"/>
      <c r="Q175" s="508" t="s"/>
      <c r="R175" s="508" t="s"/>
      <c r="S175" s="508" t="s"/>
      <c r="T175" s="508" t="s"/>
      <c r="U175" s="508" t="s"/>
      <c r="V175" s="508" t="s"/>
      <c r="W175" s="508" t="s"/>
      <c r="X175" s="508" t="s"/>
      <c r="Y175" s="508" t="s"/>
    </row>
    <row r="176" spans="1:25">
      <c r="A176" s="680" t="s"/>
      <c r="B176" s="837" t="s"/>
      <c r="C176" s="837" t="s"/>
      <c r="D176" s="838" t="s"/>
      <c r="E176" s="837" t="s"/>
      <c r="F176" s="839" t="s"/>
      <c r="G176" s="839" t="s"/>
      <c r="H176" s="840" t="s"/>
      <c r="I176" s="508" t="s"/>
      <c r="J176" s="508" t="s"/>
      <c r="K176" s="508" t="s"/>
      <c r="L176" s="508" t="s"/>
      <c r="M176" s="508" t="s"/>
      <c r="N176" s="508" t="s"/>
      <c r="O176" s="508" t="s"/>
      <c r="P176" s="508" t="s"/>
      <c r="Q176" s="508" t="s"/>
      <c r="R176" s="508" t="s"/>
      <c r="S176" s="508" t="s"/>
      <c r="T176" s="508" t="s"/>
      <c r="U176" s="508" t="s"/>
      <c r="V176" s="508" t="s"/>
      <c r="W176" s="508" t="s"/>
      <c r="X176" s="508" t="s"/>
      <c r="Y176" s="508" t="s"/>
    </row>
    <row r="177" spans="1:25">
      <c r="A177" s="680" t="s"/>
      <c r="B177" s="837" t="s"/>
      <c r="C177" s="837" t="s"/>
      <c r="D177" s="838" t="s"/>
      <c r="E177" s="837" t="s"/>
      <c r="F177" s="839" t="s"/>
      <c r="G177" s="839" t="s"/>
      <c r="H177" s="840" t="s"/>
      <c r="I177" s="508" t="s"/>
      <c r="J177" s="508" t="s"/>
      <c r="K177" s="508" t="s"/>
      <c r="L177" s="508" t="s"/>
      <c r="M177" s="508" t="s"/>
      <c r="N177" s="508" t="s"/>
      <c r="O177" s="508" t="s"/>
      <c r="P177" s="508" t="s"/>
      <c r="Q177" s="508" t="s"/>
      <c r="R177" s="508" t="s"/>
      <c r="S177" s="508" t="s"/>
      <c r="T177" s="508" t="s"/>
      <c r="U177" s="508" t="s"/>
      <c r="V177" s="508" t="s"/>
      <c r="W177" s="508" t="s"/>
      <c r="X177" s="508" t="s"/>
      <c r="Y177" s="508" t="s"/>
    </row>
    <row r="178" spans="1:25">
      <c r="A178" s="680" t="s"/>
      <c r="B178" s="837" t="s"/>
      <c r="C178" s="837" t="s"/>
      <c r="D178" s="838" t="s"/>
      <c r="E178" s="837" t="s"/>
      <c r="F178" s="839" t="s"/>
      <c r="G178" s="839" t="s"/>
      <c r="H178" s="840" t="s"/>
      <c r="I178" s="508" t="s"/>
      <c r="J178" s="508" t="s"/>
      <c r="K178" s="508" t="s"/>
      <c r="L178" s="508" t="s"/>
      <c r="M178" s="508" t="s"/>
      <c r="N178" s="508" t="s"/>
      <c r="O178" s="508" t="s"/>
      <c r="P178" s="508" t="s"/>
      <c r="Q178" s="508" t="s"/>
      <c r="R178" s="508" t="s"/>
      <c r="S178" s="508" t="s"/>
      <c r="T178" s="508" t="s"/>
      <c r="U178" s="508" t="s"/>
      <c r="V178" s="508" t="s"/>
      <c r="W178" s="508" t="s"/>
      <c r="X178" s="508" t="s"/>
      <c r="Y178" s="508" t="s"/>
    </row>
    <row r="179" spans="1:25">
      <c r="A179" s="680" t="s"/>
      <c r="B179" s="837" t="s"/>
      <c r="C179" s="837" t="s"/>
      <c r="D179" s="838" t="s"/>
      <c r="E179" s="837" t="s"/>
      <c r="F179" s="839" t="s"/>
      <c r="G179" s="839" t="s"/>
      <c r="H179" s="840" t="s"/>
      <c r="I179" s="508" t="s"/>
      <c r="J179" s="508" t="s"/>
      <c r="K179" s="508" t="s"/>
      <c r="L179" s="508" t="s"/>
      <c r="M179" s="508" t="s"/>
      <c r="N179" s="508" t="s"/>
      <c r="O179" s="508" t="s"/>
      <c r="P179" s="508" t="s"/>
      <c r="Q179" s="508" t="s"/>
      <c r="R179" s="508" t="s"/>
      <c r="S179" s="508" t="s"/>
      <c r="T179" s="508" t="s"/>
      <c r="U179" s="508" t="s"/>
      <c r="V179" s="508" t="s"/>
      <c r="W179" s="508" t="s"/>
      <c r="X179" s="508" t="s"/>
      <c r="Y179" s="508" t="s"/>
    </row>
    <row r="180" spans="1:25">
      <c r="A180" s="680" t="s"/>
      <c r="B180" s="837" t="s"/>
      <c r="C180" s="837" t="s"/>
      <c r="D180" s="838" t="s"/>
      <c r="E180" s="837" t="s"/>
      <c r="F180" s="839" t="s"/>
      <c r="G180" s="839" t="s"/>
      <c r="H180" s="840" t="s"/>
      <c r="I180" s="508" t="s"/>
      <c r="J180" s="508" t="s"/>
      <c r="K180" s="508" t="s"/>
      <c r="L180" s="508" t="s"/>
      <c r="M180" s="508" t="s"/>
      <c r="N180" s="508" t="s"/>
      <c r="O180" s="508" t="s"/>
      <c r="P180" s="508" t="s"/>
      <c r="Q180" s="508" t="s"/>
      <c r="R180" s="508" t="s"/>
      <c r="S180" s="508" t="s"/>
      <c r="T180" s="508" t="s"/>
      <c r="U180" s="508" t="s"/>
      <c r="V180" s="508" t="s"/>
      <c r="W180" s="508" t="s"/>
      <c r="X180" s="508" t="s"/>
      <c r="Y180" s="508" t="s"/>
    </row>
    <row r="181" spans="1:25">
      <c r="A181" s="680" t="s"/>
      <c r="B181" s="837" t="s"/>
      <c r="C181" s="837" t="s"/>
      <c r="D181" s="838" t="s"/>
      <c r="E181" s="837" t="s"/>
      <c r="F181" s="839" t="s"/>
      <c r="G181" s="839" t="s"/>
      <c r="H181" s="840" t="s"/>
      <c r="I181" s="508" t="s"/>
      <c r="J181" s="508" t="s"/>
      <c r="K181" s="508" t="s"/>
      <c r="L181" s="508" t="s"/>
      <c r="M181" s="508" t="s"/>
      <c r="N181" s="508" t="s"/>
      <c r="O181" s="508" t="s"/>
      <c r="P181" s="508" t="s"/>
      <c r="Q181" s="508" t="s"/>
      <c r="R181" s="508" t="s"/>
      <c r="S181" s="508" t="s"/>
      <c r="T181" s="508" t="s"/>
      <c r="U181" s="508" t="s"/>
      <c r="V181" s="508" t="s"/>
      <c r="W181" s="508" t="s"/>
      <c r="X181" s="508" t="s"/>
      <c r="Y181" s="508" t="s"/>
    </row>
    <row r="182" spans="1:25">
      <c r="A182" s="680" t="s"/>
      <c r="B182" s="837" t="s"/>
      <c r="C182" s="837" t="s"/>
      <c r="D182" s="838" t="s"/>
      <c r="E182" s="837" t="s"/>
      <c r="F182" s="839" t="s"/>
      <c r="G182" s="839" t="s"/>
      <c r="H182" s="840" t="s"/>
      <c r="I182" s="508" t="s"/>
      <c r="J182" s="508" t="s"/>
      <c r="K182" s="508" t="s"/>
      <c r="L182" s="508" t="s"/>
      <c r="M182" s="508" t="s"/>
      <c r="N182" s="508" t="s"/>
      <c r="O182" s="508" t="s"/>
      <c r="P182" s="508" t="s"/>
      <c r="Q182" s="508" t="s"/>
      <c r="R182" s="508" t="s"/>
      <c r="S182" s="508" t="s"/>
      <c r="T182" s="508" t="s"/>
      <c r="U182" s="508" t="s"/>
      <c r="V182" s="508" t="s"/>
      <c r="W182" s="508" t="s"/>
      <c r="X182" s="508" t="s"/>
      <c r="Y182" s="508" t="s"/>
    </row>
    <row r="183" spans="1:25">
      <c r="A183" s="680" t="s"/>
      <c r="B183" s="837" t="s"/>
      <c r="C183" s="837" t="s"/>
      <c r="D183" s="838" t="s"/>
      <c r="E183" s="837" t="s"/>
      <c r="F183" s="839" t="s"/>
      <c r="G183" s="839" t="s"/>
      <c r="H183" s="840" t="s"/>
      <c r="I183" s="508" t="s"/>
      <c r="J183" s="508" t="s"/>
      <c r="K183" s="508" t="s"/>
      <c r="L183" s="508" t="s"/>
      <c r="M183" s="508" t="s"/>
      <c r="N183" s="508" t="s"/>
      <c r="O183" s="508" t="s"/>
      <c r="P183" s="508" t="s"/>
      <c r="Q183" s="508" t="s"/>
      <c r="R183" s="508" t="s"/>
      <c r="S183" s="508" t="s"/>
      <c r="T183" s="508" t="s"/>
      <c r="U183" s="508" t="s"/>
      <c r="V183" s="508" t="s"/>
      <c r="W183" s="508" t="s"/>
      <c r="X183" s="508" t="s"/>
      <c r="Y183" s="508" t="s"/>
    </row>
    <row r="184" spans="1:25">
      <c r="A184" s="680" t="s"/>
      <c r="B184" s="837" t="s"/>
      <c r="C184" s="837" t="s"/>
      <c r="D184" s="838" t="s"/>
      <c r="E184" s="837" t="s"/>
      <c r="F184" s="839" t="s"/>
      <c r="G184" s="839" t="s"/>
      <c r="H184" s="840" t="s"/>
      <c r="I184" s="508" t="s"/>
      <c r="J184" s="508" t="s"/>
      <c r="K184" s="508" t="s"/>
      <c r="L184" s="508" t="s"/>
      <c r="M184" s="508" t="s"/>
      <c r="N184" s="508" t="s"/>
      <c r="O184" s="508" t="s"/>
      <c r="P184" s="508" t="s"/>
      <c r="Q184" s="508" t="s"/>
      <c r="R184" s="508" t="s"/>
      <c r="S184" s="508" t="s"/>
      <c r="T184" s="508" t="s"/>
      <c r="U184" s="508" t="s"/>
      <c r="V184" s="508" t="s"/>
      <c r="W184" s="508" t="s"/>
      <c r="X184" s="508" t="s"/>
      <c r="Y184" s="508" t="s"/>
    </row>
    <row r="185" spans="1:25">
      <c r="A185" s="680" t="s"/>
      <c r="B185" s="837" t="s"/>
      <c r="C185" s="837" t="s"/>
      <c r="D185" s="838" t="s"/>
      <c r="E185" s="837" t="s"/>
      <c r="F185" s="839" t="s"/>
      <c r="G185" s="839" t="s"/>
      <c r="H185" s="840" t="s"/>
      <c r="I185" s="508" t="s"/>
      <c r="J185" s="508" t="s"/>
      <c r="K185" s="508" t="s"/>
      <c r="L185" s="508" t="s"/>
      <c r="M185" s="508" t="s"/>
      <c r="N185" s="508" t="s"/>
      <c r="O185" s="508" t="s"/>
      <c r="P185" s="508" t="s"/>
      <c r="Q185" s="508" t="s"/>
      <c r="R185" s="508" t="s"/>
      <c r="S185" s="508" t="s"/>
      <c r="T185" s="508" t="s"/>
      <c r="U185" s="508" t="s"/>
      <c r="V185" s="508" t="s"/>
      <c r="W185" s="508" t="s"/>
      <c r="X185" s="508" t="s"/>
      <c r="Y185" s="508" t="s"/>
    </row>
    <row r="186" spans="1:25">
      <c r="A186" s="680" t="s"/>
      <c r="B186" s="837" t="s"/>
      <c r="C186" s="837" t="s"/>
      <c r="D186" s="838" t="s"/>
      <c r="E186" s="837" t="s"/>
      <c r="F186" s="839" t="s"/>
      <c r="G186" s="839" t="s"/>
      <c r="H186" s="840" t="s"/>
      <c r="I186" s="508" t="s"/>
      <c r="J186" s="508" t="s"/>
      <c r="K186" s="508" t="s"/>
      <c r="L186" s="508" t="s"/>
      <c r="M186" s="508" t="s"/>
      <c r="N186" s="508" t="s"/>
      <c r="O186" s="508" t="s"/>
      <c r="P186" s="508" t="s"/>
      <c r="Q186" s="508" t="s"/>
      <c r="R186" s="508" t="s"/>
      <c r="S186" s="508" t="s"/>
      <c r="T186" s="508" t="s"/>
      <c r="U186" s="508" t="s"/>
      <c r="V186" s="508" t="s"/>
      <c r="W186" s="508" t="s"/>
      <c r="X186" s="508" t="s"/>
      <c r="Y186" s="508" t="s"/>
    </row>
    <row r="187" spans="1:25">
      <c r="A187" s="680" t="s"/>
      <c r="B187" s="837" t="s"/>
      <c r="C187" s="837" t="s"/>
      <c r="D187" s="838" t="s"/>
      <c r="E187" s="837" t="s"/>
      <c r="F187" s="839" t="s"/>
      <c r="G187" s="839" t="s"/>
      <c r="H187" s="840" t="s"/>
      <c r="I187" s="508" t="s"/>
      <c r="J187" s="508" t="s"/>
      <c r="K187" s="508" t="s"/>
      <c r="L187" s="508" t="s"/>
      <c r="M187" s="508" t="s"/>
      <c r="N187" s="508" t="s"/>
      <c r="O187" s="508" t="s"/>
      <c r="P187" s="508" t="s"/>
      <c r="Q187" s="508" t="s"/>
      <c r="R187" s="508" t="s"/>
      <c r="S187" s="508" t="s"/>
      <c r="T187" s="508" t="s"/>
      <c r="U187" s="508" t="s"/>
      <c r="V187" s="508" t="s"/>
      <c r="W187" s="508" t="s"/>
      <c r="X187" s="508" t="s"/>
      <c r="Y187" s="508" t="s"/>
    </row>
    <row r="188" spans="1:25">
      <c r="A188" s="680" t="s"/>
      <c r="B188" s="837" t="s"/>
      <c r="C188" s="837" t="s"/>
      <c r="D188" s="838" t="s"/>
      <c r="E188" s="837" t="s"/>
      <c r="F188" s="839" t="s"/>
      <c r="G188" s="839" t="s"/>
      <c r="H188" s="840" t="s"/>
      <c r="I188" s="508" t="s"/>
      <c r="J188" s="508" t="s"/>
      <c r="K188" s="508" t="s"/>
      <c r="L188" s="508" t="s"/>
      <c r="M188" s="508" t="s"/>
      <c r="N188" s="508" t="s"/>
      <c r="O188" s="508" t="s"/>
      <c r="P188" s="508" t="s"/>
      <c r="Q188" s="508" t="s"/>
      <c r="R188" s="508" t="s"/>
      <c r="S188" s="508" t="s"/>
      <c r="T188" s="508" t="s"/>
      <c r="U188" s="508" t="s"/>
      <c r="V188" s="508" t="s"/>
      <c r="W188" s="508" t="s"/>
      <c r="X188" s="508" t="s"/>
      <c r="Y188" s="508" t="s"/>
    </row>
    <row r="189" spans="1:25">
      <c r="A189" s="680" t="s"/>
      <c r="B189" s="837" t="s"/>
      <c r="C189" s="837" t="s"/>
      <c r="D189" s="838" t="s"/>
      <c r="E189" s="837" t="s"/>
      <c r="F189" s="839" t="s"/>
      <c r="G189" s="839" t="s"/>
      <c r="H189" s="840" t="s"/>
      <c r="I189" s="508" t="s"/>
      <c r="J189" s="508" t="s"/>
      <c r="K189" s="508" t="s"/>
      <c r="L189" s="508" t="s"/>
      <c r="M189" s="508" t="s"/>
      <c r="N189" s="508" t="s"/>
      <c r="O189" s="508" t="s"/>
      <c r="P189" s="508" t="s"/>
      <c r="Q189" s="508" t="s"/>
      <c r="R189" s="508" t="s"/>
      <c r="S189" s="508" t="s"/>
      <c r="T189" s="508" t="s"/>
      <c r="U189" s="508" t="s"/>
      <c r="V189" s="508" t="s"/>
      <c r="W189" s="508" t="s"/>
      <c r="X189" s="508" t="s"/>
      <c r="Y189" s="508" t="s"/>
    </row>
    <row r="190" spans="1:25">
      <c r="A190" s="680" t="s"/>
      <c r="B190" s="837" t="s"/>
      <c r="C190" s="837" t="s"/>
      <c r="D190" s="838" t="s"/>
      <c r="E190" s="837" t="s"/>
      <c r="F190" s="839" t="s"/>
      <c r="G190" s="839" t="s"/>
      <c r="H190" s="840" t="s"/>
      <c r="I190" s="508" t="s"/>
      <c r="J190" s="508" t="s"/>
      <c r="K190" s="508" t="s"/>
      <c r="L190" s="508" t="s"/>
      <c r="M190" s="508" t="s"/>
      <c r="N190" s="508" t="s"/>
      <c r="O190" s="508" t="s"/>
      <c r="P190" s="508" t="s"/>
      <c r="Q190" s="508" t="s"/>
      <c r="R190" s="508" t="s"/>
      <c r="S190" s="508" t="s"/>
      <c r="T190" s="508" t="s"/>
      <c r="U190" s="508" t="s"/>
      <c r="V190" s="508" t="s"/>
      <c r="W190" s="508" t="s"/>
      <c r="X190" s="508" t="s"/>
      <c r="Y190" s="508" t="s"/>
    </row>
    <row r="191" spans="1:25">
      <c r="A191" s="680" t="s"/>
      <c r="B191" s="837" t="s"/>
      <c r="C191" s="837" t="s"/>
      <c r="D191" s="838" t="s"/>
      <c r="E191" s="837" t="s"/>
      <c r="F191" s="839" t="s"/>
      <c r="G191" s="839" t="s"/>
      <c r="H191" s="840" t="s"/>
      <c r="I191" s="508" t="s"/>
      <c r="J191" s="508" t="s"/>
      <c r="K191" s="508" t="s"/>
      <c r="L191" s="508" t="s"/>
      <c r="M191" s="508" t="s"/>
      <c r="N191" s="508" t="s"/>
      <c r="O191" s="508" t="s"/>
      <c r="P191" s="508" t="s"/>
      <c r="Q191" s="508" t="s"/>
      <c r="R191" s="508" t="s"/>
      <c r="S191" s="508" t="s"/>
      <c r="T191" s="508" t="s"/>
      <c r="U191" s="508" t="s"/>
      <c r="V191" s="508" t="s"/>
      <c r="W191" s="508" t="s"/>
      <c r="X191" s="508" t="s"/>
      <c r="Y191" s="508" t="s"/>
    </row>
    <row r="192" spans="1:25">
      <c r="A192" s="680" t="s"/>
      <c r="B192" s="837" t="s"/>
      <c r="C192" s="837" t="s"/>
      <c r="D192" s="838" t="s"/>
      <c r="E192" s="837" t="s"/>
      <c r="F192" s="839" t="s"/>
      <c r="G192" s="839" t="s"/>
      <c r="H192" s="840" t="s"/>
      <c r="I192" s="508" t="s"/>
      <c r="J192" s="508" t="s"/>
      <c r="K192" s="508" t="s"/>
      <c r="L192" s="508" t="s"/>
      <c r="M192" s="508" t="s"/>
      <c r="N192" s="508" t="s"/>
      <c r="O192" s="508" t="s"/>
      <c r="P192" s="508" t="s"/>
      <c r="Q192" s="508" t="s"/>
      <c r="R192" s="508" t="s"/>
      <c r="S192" s="508" t="s"/>
      <c r="T192" s="508" t="s"/>
      <c r="U192" s="508" t="s"/>
      <c r="V192" s="508" t="s"/>
      <c r="W192" s="508" t="s"/>
      <c r="X192" s="508" t="s"/>
      <c r="Y192" s="508" t="s"/>
    </row>
    <row r="193" spans="1:25">
      <c r="A193" s="680" t="s"/>
      <c r="B193" s="837" t="s"/>
      <c r="C193" s="837" t="s"/>
      <c r="D193" s="838" t="s"/>
      <c r="E193" s="837" t="s"/>
      <c r="F193" s="839" t="s"/>
      <c r="G193" s="839" t="s"/>
      <c r="H193" s="840" t="s"/>
      <c r="I193" s="508" t="s"/>
      <c r="J193" s="508" t="s"/>
      <c r="K193" s="508" t="s"/>
      <c r="L193" s="508" t="s"/>
      <c r="M193" s="508" t="s"/>
      <c r="N193" s="508" t="s"/>
      <c r="O193" s="508" t="s"/>
      <c r="P193" s="508" t="s"/>
      <c r="Q193" s="508" t="s"/>
      <c r="R193" s="508" t="s"/>
      <c r="S193" s="508" t="s"/>
      <c r="T193" s="508" t="s"/>
      <c r="U193" s="508" t="s"/>
      <c r="V193" s="508" t="s"/>
      <c r="W193" s="508" t="s"/>
      <c r="X193" s="508" t="s"/>
      <c r="Y193" s="508" t="s"/>
    </row>
    <row r="194" spans="1:25">
      <c r="A194" s="680" t="s"/>
      <c r="B194" s="837" t="s"/>
      <c r="C194" s="837" t="s"/>
      <c r="D194" s="838" t="s"/>
      <c r="E194" s="837" t="s"/>
      <c r="F194" s="839" t="s"/>
      <c r="G194" s="839" t="s"/>
      <c r="H194" s="840" t="s"/>
      <c r="I194" s="508" t="s"/>
      <c r="J194" s="508" t="s"/>
      <c r="K194" s="508" t="s"/>
      <c r="L194" s="508" t="s"/>
      <c r="M194" s="508" t="s"/>
      <c r="N194" s="508" t="s"/>
      <c r="O194" s="508" t="s"/>
      <c r="P194" s="508" t="s"/>
      <c r="Q194" s="508" t="s"/>
      <c r="R194" s="508" t="s"/>
      <c r="S194" s="508" t="s"/>
      <c r="T194" s="508" t="s"/>
      <c r="U194" s="508" t="s"/>
      <c r="V194" s="508" t="s"/>
      <c r="W194" s="508" t="s"/>
      <c r="X194" s="508" t="s"/>
      <c r="Y194" s="508" t="s"/>
    </row>
    <row r="195" spans="1:25">
      <c r="A195" s="680" t="s"/>
      <c r="B195" s="837" t="s"/>
      <c r="C195" s="837" t="s"/>
      <c r="D195" s="838" t="s"/>
      <c r="E195" s="837" t="s"/>
      <c r="F195" s="839" t="s"/>
      <c r="G195" s="839" t="s"/>
      <c r="H195" s="840" t="s"/>
      <c r="I195" s="508" t="s"/>
      <c r="J195" s="508" t="s"/>
      <c r="K195" s="508" t="s"/>
      <c r="L195" s="508" t="s"/>
      <c r="M195" s="508" t="s"/>
      <c r="N195" s="508" t="s"/>
      <c r="O195" s="508" t="s"/>
      <c r="P195" s="508" t="s"/>
      <c r="Q195" s="508" t="s"/>
      <c r="R195" s="508" t="s"/>
      <c r="S195" s="508" t="s"/>
      <c r="T195" s="508" t="s"/>
      <c r="U195" s="508" t="s"/>
      <c r="V195" s="508" t="s"/>
      <c r="W195" s="508" t="s"/>
      <c r="X195" s="508" t="s"/>
      <c r="Y195" s="508" t="s"/>
    </row>
    <row r="196" spans="1:25">
      <c r="A196" s="680" t="s"/>
      <c r="B196" s="837" t="s"/>
      <c r="C196" s="837" t="s"/>
      <c r="D196" s="838" t="s"/>
      <c r="E196" s="837" t="s"/>
      <c r="F196" s="839" t="s"/>
      <c r="G196" s="839" t="s"/>
      <c r="H196" s="840" t="s"/>
      <c r="I196" s="508" t="s"/>
      <c r="J196" s="508" t="s"/>
      <c r="K196" s="508" t="s"/>
      <c r="L196" s="508" t="s"/>
      <c r="M196" s="508" t="s"/>
      <c r="N196" s="508" t="s"/>
      <c r="O196" s="508" t="s"/>
      <c r="P196" s="508" t="s"/>
      <c r="Q196" s="508" t="s"/>
      <c r="R196" s="508" t="s"/>
      <c r="S196" s="508" t="s"/>
      <c r="T196" s="508" t="s"/>
      <c r="U196" s="508" t="s"/>
      <c r="V196" s="508" t="s"/>
      <c r="W196" s="508" t="s"/>
      <c r="X196" s="508" t="s"/>
      <c r="Y196" s="508" t="s"/>
    </row>
    <row r="197" spans="1:25">
      <c r="A197" s="680" t="s"/>
      <c r="B197" s="837" t="s"/>
      <c r="C197" s="837" t="s"/>
      <c r="D197" s="838" t="s"/>
      <c r="E197" s="837" t="s"/>
      <c r="F197" s="839" t="s"/>
      <c r="G197" s="839" t="s"/>
      <c r="H197" s="840" t="s"/>
      <c r="I197" s="508" t="s"/>
      <c r="J197" s="508" t="s"/>
      <c r="K197" s="508" t="s"/>
      <c r="L197" s="508" t="s"/>
      <c r="M197" s="508" t="s"/>
      <c r="N197" s="508" t="s"/>
      <c r="O197" s="508" t="s"/>
      <c r="P197" s="508" t="s"/>
      <c r="Q197" s="508" t="s"/>
      <c r="R197" s="508" t="s"/>
      <c r="S197" s="508" t="s"/>
      <c r="T197" s="508" t="s"/>
      <c r="U197" s="508" t="s"/>
      <c r="V197" s="508" t="s"/>
      <c r="W197" s="508" t="s"/>
      <c r="X197" s="508" t="s"/>
      <c r="Y197" s="508" t="s"/>
    </row>
    <row r="198" spans="1:25">
      <c r="A198" s="680" t="s"/>
      <c r="B198" s="837" t="s"/>
      <c r="C198" s="837" t="s"/>
      <c r="D198" s="838" t="s"/>
      <c r="E198" s="837" t="s"/>
      <c r="F198" s="839" t="s"/>
      <c r="G198" s="839" t="s"/>
      <c r="H198" s="840" t="s"/>
      <c r="I198" s="508" t="s"/>
      <c r="J198" s="508" t="s"/>
      <c r="K198" s="508" t="s"/>
      <c r="L198" s="508" t="s"/>
      <c r="M198" s="508" t="s"/>
      <c r="N198" s="508" t="s"/>
      <c r="O198" s="508" t="s"/>
      <c r="P198" s="508" t="s"/>
      <c r="Q198" s="508" t="s"/>
      <c r="R198" s="508" t="s"/>
      <c r="S198" s="508" t="s"/>
      <c r="T198" s="508" t="s"/>
      <c r="U198" s="508" t="s"/>
      <c r="V198" s="508" t="s"/>
      <c r="W198" s="508" t="s"/>
      <c r="X198" s="508" t="s"/>
      <c r="Y198" s="508" t="s"/>
    </row>
    <row r="199" spans="1:25">
      <c r="A199" s="680" t="s"/>
      <c r="B199" s="837" t="s"/>
      <c r="C199" s="837" t="s"/>
      <c r="D199" s="838" t="s"/>
      <c r="E199" s="837" t="s"/>
      <c r="F199" s="839" t="s"/>
      <c r="G199" s="839" t="s"/>
      <c r="H199" s="840" t="s"/>
      <c r="I199" s="508" t="s"/>
      <c r="J199" s="508" t="s"/>
      <c r="K199" s="508" t="s"/>
      <c r="L199" s="508" t="s"/>
      <c r="M199" s="508" t="s"/>
      <c r="N199" s="508" t="s"/>
      <c r="O199" s="508" t="s"/>
      <c r="P199" s="508" t="s"/>
      <c r="Q199" s="508" t="s"/>
      <c r="R199" s="508" t="s"/>
      <c r="S199" s="508" t="s"/>
      <c r="T199" s="508" t="s"/>
      <c r="U199" s="508" t="s"/>
      <c r="V199" s="508" t="s"/>
      <c r="W199" s="508" t="s"/>
      <c r="X199" s="508" t="s"/>
      <c r="Y199" s="508" t="s"/>
    </row>
    <row r="200" spans="1:25">
      <c r="A200" s="680" t="s"/>
      <c r="B200" s="837" t="s"/>
      <c r="C200" s="837" t="s"/>
      <c r="D200" s="838" t="s"/>
      <c r="E200" s="837" t="s"/>
      <c r="F200" s="839" t="s"/>
      <c r="G200" s="839" t="s"/>
      <c r="H200" s="840" t="s"/>
      <c r="I200" s="508" t="s"/>
      <c r="J200" s="508" t="s"/>
      <c r="K200" s="508" t="s"/>
      <c r="L200" s="508" t="s"/>
      <c r="M200" s="508" t="s"/>
      <c r="N200" s="508" t="s"/>
      <c r="O200" s="508" t="s"/>
      <c r="P200" s="508" t="s"/>
      <c r="Q200" s="508" t="s"/>
      <c r="R200" s="508" t="s"/>
      <c r="S200" s="508" t="s"/>
      <c r="T200" s="508" t="s"/>
      <c r="U200" s="508" t="s"/>
      <c r="V200" s="508" t="s"/>
      <c r="W200" s="508" t="s"/>
      <c r="X200" s="508" t="s"/>
      <c r="Y200" s="508" t="s"/>
    </row>
    <row r="201" spans="1:25">
      <c r="A201" s="680" t="s"/>
      <c r="B201" s="837" t="s"/>
      <c r="C201" s="837" t="s"/>
      <c r="D201" s="838" t="s"/>
      <c r="E201" s="837" t="s"/>
      <c r="F201" s="839" t="s"/>
      <c r="G201" s="839" t="s"/>
      <c r="H201" s="840" t="s"/>
      <c r="I201" s="508" t="s"/>
      <c r="J201" s="508" t="s"/>
      <c r="K201" s="508" t="s"/>
      <c r="L201" s="508" t="s"/>
      <c r="M201" s="508" t="s"/>
      <c r="N201" s="508" t="s"/>
      <c r="O201" s="508" t="s"/>
      <c r="P201" s="508" t="s"/>
      <c r="Q201" s="508" t="s"/>
      <c r="R201" s="508" t="s"/>
      <c r="S201" s="508" t="s"/>
      <c r="T201" s="508" t="s"/>
      <c r="U201" s="508" t="s"/>
      <c r="V201" s="508" t="s"/>
      <c r="W201" s="508" t="s"/>
      <c r="X201" s="508" t="s"/>
      <c r="Y201" s="508" t="s"/>
    </row>
    <row r="202" spans="1:25">
      <c r="A202" s="680" t="s"/>
      <c r="B202" s="837" t="s"/>
      <c r="C202" s="837" t="s"/>
      <c r="D202" s="838" t="s"/>
      <c r="E202" s="837" t="s"/>
      <c r="F202" s="839" t="s"/>
      <c r="G202" s="839" t="s"/>
      <c r="H202" s="840" t="s"/>
      <c r="I202" s="508" t="s"/>
      <c r="J202" s="508" t="s"/>
      <c r="K202" s="508" t="s"/>
      <c r="L202" s="508" t="s"/>
      <c r="M202" s="508" t="s"/>
      <c r="N202" s="508" t="s"/>
      <c r="O202" s="508" t="s"/>
      <c r="P202" s="508" t="s"/>
      <c r="Q202" s="508" t="s"/>
      <c r="R202" s="508" t="s"/>
      <c r="S202" s="508" t="s"/>
      <c r="T202" s="508" t="s"/>
      <c r="U202" s="508" t="s"/>
      <c r="V202" s="508" t="s"/>
      <c r="W202" s="508" t="s"/>
      <c r="X202" s="508" t="s"/>
      <c r="Y202" s="508" t="s"/>
    </row>
    <row r="203" spans="1:25">
      <c r="A203" s="680" t="s"/>
      <c r="B203" s="837" t="s"/>
      <c r="C203" s="837" t="s"/>
      <c r="D203" s="838" t="s"/>
      <c r="E203" s="837" t="s"/>
      <c r="F203" s="839" t="s"/>
      <c r="G203" s="839" t="s"/>
      <c r="H203" s="840" t="s"/>
      <c r="I203" s="508" t="s"/>
      <c r="J203" s="508" t="s"/>
      <c r="K203" s="508" t="s"/>
      <c r="L203" s="508" t="s"/>
      <c r="M203" s="508" t="s"/>
      <c r="N203" s="508" t="s"/>
      <c r="O203" s="508" t="s"/>
      <c r="P203" s="508" t="s"/>
      <c r="Q203" s="508" t="s"/>
      <c r="R203" s="508" t="s"/>
      <c r="S203" s="508" t="s"/>
      <c r="T203" s="508" t="s"/>
      <c r="U203" s="508" t="s"/>
      <c r="V203" s="508" t="s"/>
      <c r="W203" s="508" t="s"/>
      <c r="X203" s="508" t="s"/>
      <c r="Y203" s="508" t="s"/>
    </row>
    <row r="204" spans="1:25">
      <c r="A204" s="680" t="s"/>
      <c r="B204" s="837" t="s"/>
      <c r="C204" s="837" t="s"/>
      <c r="D204" s="838" t="s"/>
      <c r="E204" s="837" t="s"/>
      <c r="F204" s="839" t="s"/>
      <c r="G204" s="839" t="s"/>
      <c r="H204" s="840" t="s"/>
      <c r="I204" s="508" t="s"/>
      <c r="J204" s="508" t="s"/>
      <c r="K204" s="508" t="s"/>
      <c r="L204" s="508" t="s"/>
      <c r="M204" s="508" t="s"/>
      <c r="N204" s="508" t="s"/>
      <c r="O204" s="508" t="s"/>
      <c r="P204" s="508" t="s"/>
      <c r="Q204" s="508" t="s"/>
      <c r="R204" s="508" t="s"/>
      <c r="S204" s="508" t="s"/>
      <c r="T204" s="508" t="s"/>
      <c r="U204" s="508" t="s"/>
      <c r="V204" s="508" t="s"/>
      <c r="W204" s="508" t="s"/>
      <c r="X204" s="508" t="s"/>
      <c r="Y204" s="508" t="s"/>
    </row>
    <row r="205" spans="1:25">
      <c r="A205" s="680" t="s"/>
      <c r="B205" s="837" t="s"/>
      <c r="C205" s="837" t="s"/>
      <c r="D205" s="838" t="s"/>
      <c r="E205" s="837" t="s"/>
      <c r="F205" s="839" t="s"/>
      <c r="G205" s="839" t="s"/>
      <c r="H205" s="840" t="s"/>
      <c r="I205" s="508" t="s"/>
      <c r="J205" s="508" t="s"/>
      <c r="K205" s="508" t="s"/>
      <c r="L205" s="508" t="s"/>
      <c r="M205" s="508" t="s"/>
      <c r="N205" s="508" t="s"/>
      <c r="O205" s="508" t="s"/>
      <c r="P205" s="508" t="s"/>
      <c r="Q205" s="508" t="s"/>
      <c r="R205" s="508" t="s"/>
      <c r="S205" s="508" t="s"/>
      <c r="T205" s="508" t="s"/>
      <c r="U205" s="508" t="s"/>
      <c r="V205" s="508" t="s"/>
      <c r="W205" s="508" t="s"/>
      <c r="X205" s="508" t="s"/>
      <c r="Y205" s="508" t="s"/>
    </row>
    <row r="206" spans="1:25">
      <c r="A206" s="680" t="s"/>
      <c r="B206" s="837" t="s"/>
      <c r="C206" s="837" t="s"/>
      <c r="D206" s="838" t="s"/>
      <c r="E206" s="837" t="s"/>
      <c r="F206" s="839" t="s"/>
      <c r="G206" s="839" t="s"/>
      <c r="H206" s="840" t="s"/>
      <c r="I206" s="508" t="s"/>
      <c r="J206" s="508" t="s"/>
      <c r="K206" s="508" t="s"/>
      <c r="L206" s="508" t="s"/>
      <c r="M206" s="508" t="s"/>
      <c r="N206" s="508" t="s"/>
      <c r="O206" s="508" t="s"/>
      <c r="P206" s="508" t="s"/>
      <c r="Q206" s="508" t="s"/>
      <c r="R206" s="508" t="s"/>
      <c r="S206" s="508" t="s"/>
      <c r="T206" s="508" t="s"/>
      <c r="U206" s="508" t="s"/>
      <c r="V206" s="508" t="s"/>
      <c r="W206" s="508" t="s"/>
      <c r="X206" s="508" t="s"/>
      <c r="Y206" s="508" t="s"/>
    </row>
    <row r="207" spans="1:25">
      <c r="A207" s="680" t="s"/>
      <c r="B207" s="837" t="s"/>
      <c r="C207" s="837" t="s"/>
      <c r="D207" s="838" t="s"/>
      <c r="E207" s="837" t="s"/>
      <c r="F207" s="839" t="s"/>
      <c r="G207" s="839" t="s"/>
      <c r="H207" s="840" t="s"/>
      <c r="I207" s="508" t="s"/>
      <c r="J207" s="508" t="s"/>
      <c r="K207" s="508" t="s"/>
      <c r="L207" s="508" t="s"/>
      <c r="M207" s="508" t="s"/>
      <c r="N207" s="508" t="s"/>
      <c r="O207" s="508" t="s"/>
      <c r="P207" s="508" t="s"/>
      <c r="Q207" s="508" t="s"/>
      <c r="R207" s="508" t="s"/>
      <c r="S207" s="508" t="s"/>
      <c r="T207" s="508" t="s"/>
      <c r="U207" s="508" t="s"/>
      <c r="V207" s="508" t="s"/>
      <c r="W207" s="508" t="s"/>
      <c r="X207" s="508" t="s"/>
      <c r="Y207" s="508" t="s"/>
    </row>
    <row r="208" spans="1:25">
      <c r="A208" s="680" t="s"/>
      <c r="B208" s="837" t="s"/>
      <c r="C208" s="837" t="s"/>
      <c r="D208" s="838" t="s"/>
      <c r="E208" s="837" t="s"/>
      <c r="F208" s="839" t="s"/>
      <c r="G208" s="839" t="s"/>
      <c r="H208" s="840" t="s"/>
      <c r="I208" s="508" t="s"/>
      <c r="J208" s="508" t="s"/>
      <c r="K208" s="508" t="s"/>
      <c r="L208" s="508" t="s"/>
      <c r="M208" s="508" t="s"/>
      <c r="N208" s="508" t="s"/>
      <c r="O208" s="508" t="s"/>
      <c r="P208" s="508" t="s"/>
      <c r="Q208" s="508" t="s"/>
      <c r="R208" s="508" t="s"/>
      <c r="S208" s="508" t="s"/>
      <c r="T208" s="508" t="s"/>
      <c r="U208" s="508" t="s"/>
      <c r="V208" s="508" t="s"/>
      <c r="W208" s="508" t="s"/>
      <c r="X208" s="508" t="s"/>
      <c r="Y208" s="508" t="s"/>
    </row>
    <row r="209" spans="1:25">
      <c r="A209" s="680" t="s"/>
      <c r="B209" s="837" t="s"/>
      <c r="C209" s="837" t="s"/>
      <c r="D209" s="838" t="s"/>
      <c r="E209" s="837" t="s"/>
      <c r="F209" s="839" t="s"/>
      <c r="G209" s="839" t="s"/>
      <c r="H209" s="840" t="s"/>
      <c r="I209" s="508" t="s"/>
      <c r="J209" s="508" t="s"/>
      <c r="K209" s="508" t="s"/>
      <c r="L209" s="508" t="s"/>
      <c r="M209" s="508" t="s"/>
      <c r="N209" s="508" t="s"/>
      <c r="O209" s="508" t="s"/>
      <c r="P209" s="508" t="s"/>
      <c r="Q209" s="508" t="s"/>
      <c r="R209" s="508" t="s"/>
      <c r="S209" s="508" t="s"/>
      <c r="T209" s="508" t="s"/>
      <c r="U209" s="508" t="s"/>
      <c r="V209" s="508" t="s"/>
      <c r="W209" s="508" t="s"/>
      <c r="X209" s="508" t="s"/>
      <c r="Y209" s="508" t="s"/>
    </row>
    <row r="210" spans="1:25">
      <c r="A210" s="680" t="s"/>
      <c r="B210" s="837" t="s"/>
      <c r="C210" s="837" t="s"/>
      <c r="D210" s="838" t="s"/>
      <c r="E210" s="837" t="s"/>
      <c r="F210" s="839" t="s"/>
      <c r="G210" s="839" t="s"/>
      <c r="H210" s="840" t="s"/>
      <c r="I210" s="508" t="s"/>
      <c r="J210" s="508" t="s"/>
      <c r="K210" s="508" t="s"/>
      <c r="L210" s="508" t="s"/>
      <c r="M210" s="508" t="s"/>
      <c r="N210" s="508" t="s"/>
      <c r="O210" s="508" t="s"/>
      <c r="P210" s="508" t="s"/>
      <c r="Q210" s="508" t="s"/>
      <c r="R210" s="508" t="s"/>
      <c r="S210" s="508" t="s"/>
      <c r="T210" s="508" t="s"/>
      <c r="U210" s="508" t="s"/>
      <c r="V210" s="508" t="s"/>
      <c r="W210" s="508" t="s"/>
      <c r="X210" s="508" t="s"/>
      <c r="Y210" s="508" t="s"/>
    </row>
    <row r="211" spans="1:25">
      <c r="A211" s="680" t="s"/>
      <c r="B211" s="837" t="s"/>
      <c r="C211" s="837" t="s"/>
      <c r="D211" s="838" t="s"/>
      <c r="E211" s="837" t="s"/>
      <c r="F211" s="839" t="s"/>
      <c r="G211" s="839" t="s"/>
      <c r="H211" s="840" t="s"/>
      <c r="I211" s="508" t="s"/>
      <c r="J211" s="508" t="s"/>
      <c r="K211" s="508" t="s"/>
      <c r="L211" s="508" t="s"/>
      <c r="M211" s="508" t="s"/>
      <c r="N211" s="508" t="s"/>
      <c r="O211" s="508" t="s"/>
      <c r="P211" s="508" t="s"/>
      <c r="Q211" s="508" t="s"/>
      <c r="R211" s="508" t="s"/>
      <c r="S211" s="508" t="s"/>
      <c r="T211" s="508" t="s"/>
      <c r="U211" s="508" t="s"/>
      <c r="V211" s="508" t="s"/>
      <c r="W211" s="508" t="s"/>
      <c r="X211" s="508" t="s"/>
      <c r="Y211" s="508" t="s"/>
    </row>
    <row r="212" spans="1:25">
      <c r="A212" s="680" t="s"/>
      <c r="B212" s="837" t="s"/>
      <c r="C212" s="837" t="s"/>
      <c r="D212" s="838" t="s"/>
      <c r="E212" s="837" t="s"/>
      <c r="F212" s="839" t="s"/>
      <c r="G212" s="839" t="s"/>
      <c r="H212" s="840" t="s"/>
      <c r="I212" s="508" t="s"/>
      <c r="J212" s="508" t="s"/>
      <c r="K212" s="508" t="s"/>
      <c r="L212" s="508" t="s"/>
      <c r="M212" s="508" t="s"/>
      <c r="N212" s="508" t="s"/>
      <c r="O212" s="508" t="s"/>
      <c r="P212" s="508" t="s"/>
      <c r="Q212" s="508" t="s"/>
      <c r="R212" s="508" t="s"/>
      <c r="S212" s="508" t="s"/>
      <c r="T212" s="508" t="s"/>
      <c r="U212" s="508" t="s"/>
      <c r="V212" s="508" t="s"/>
      <c r="W212" s="508" t="s"/>
      <c r="X212" s="508" t="s"/>
      <c r="Y212" s="508" t="s"/>
    </row>
    <row r="213" spans="1:25">
      <c r="A213" s="680" t="s"/>
      <c r="B213" s="837" t="s"/>
      <c r="C213" s="837" t="s"/>
      <c r="D213" s="838" t="s"/>
      <c r="E213" s="837" t="s"/>
      <c r="F213" s="839" t="s"/>
      <c r="G213" s="839" t="s"/>
      <c r="H213" s="840" t="s"/>
      <c r="I213" s="508" t="s"/>
      <c r="J213" s="508" t="s"/>
      <c r="K213" s="508" t="s"/>
      <c r="L213" s="508" t="s"/>
      <c r="M213" s="508" t="s"/>
      <c r="N213" s="508" t="s"/>
      <c r="O213" s="508" t="s"/>
      <c r="P213" s="508" t="s"/>
      <c r="Q213" s="508" t="s"/>
      <c r="R213" s="508" t="s"/>
      <c r="S213" s="508" t="s"/>
      <c r="T213" s="508" t="s"/>
      <c r="U213" s="508" t="s"/>
      <c r="V213" s="508" t="s"/>
      <c r="W213" s="508" t="s"/>
      <c r="X213" s="508" t="s"/>
      <c r="Y213" s="508" t="s"/>
    </row>
    <row r="214" spans="1:25">
      <c r="A214" s="680" t="s"/>
      <c r="B214" s="837" t="s"/>
      <c r="C214" s="837" t="s"/>
      <c r="D214" s="838" t="s"/>
      <c r="E214" s="837" t="s"/>
      <c r="F214" s="839" t="s"/>
      <c r="G214" s="839" t="s"/>
      <c r="H214" s="840" t="s"/>
      <c r="I214" s="508" t="s"/>
      <c r="J214" s="508" t="s"/>
      <c r="K214" s="508" t="s"/>
      <c r="L214" s="508" t="s"/>
      <c r="M214" s="508" t="s"/>
      <c r="N214" s="508" t="s"/>
      <c r="O214" s="508" t="s"/>
      <c r="P214" s="508" t="s"/>
      <c r="Q214" s="508" t="s"/>
      <c r="R214" s="508" t="s"/>
      <c r="S214" s="508" t="s"/>
      <c r="T214" s="508" t="s"/>
      <c r="U214" s="508" t="s"/>
      <c r="V214" s="508" t="s"/>
      <c r="W214" s="508" t="s"/>
      <c r="X214" s="508" t="s"/>
      <c r="Y214" s="508" t="s"/>
    </row>
    <row r="215" spans="1:25">
      <c r="A215" s="680" t="s"/>
      <c r="B215" s="837" t="s"/>
      <c r="C215" s="837" t="s"/>
      <c r="D215" s="838" t="s"/>
      <c r="E215" s="837" t="s"/>
      <c r="F215" s="839" t="s"/>
      <c r="G215" s="839" t="s"/>
      <c r="H215" s="840" t="s"/>
      <c r="I215" s="508" t="s"/>
      <c r="J215" s="508" t="s"/>
      <c r="K215" s="508" t="s"/>
      <c r="L215" s="508" t="s"/>
      <c r="M215" s="508" t="s"/>
      <c r="N215" s="508" t="s"/>
      <c r="O215" s="508" t="s"/>
      <c r="P215" s="508" t="s"/>
      <c r="Q215" s="508" t="s"/>
      <c r="R215" s="508" t="s"/>
      <c r="S215" s="508" t="s"/>
      <c r="T215" s="508" t="s"/>
      <c r="U215" s="508" t="s"/>
      <c r="V215" s="508" t="s"/>
      <c r="W215" s="508" t="s"/>
      <c r="X215" s="508" t="s"/>
      <c r="Y215" s="508" t="s"/>
    </row>
    <row r="216" spans="1:25">
      <c r="A216" s="680" t="s"/>
      <c r="B216" s="837" t="s"/>
      <c r="C216" s="837" t="s"/>
      <c r="D216" s="680" t="s"/>
      <c r="E216" s="837" t="s"/>
      <c r="F216" s="837" t="s"/>
      <c r="G216" s="680" t="s"/>
      <c r="H216" s="840" t="s"/>
      <c r="I216" s="508" t="s"/>
      <c r="J216" s="508" t="s"/>
      <c r="K216" s="508" t="s"/>
      <c r="L216" s="508" t="s"/>
      <c r="M216" s="508" t="s"/>
      <c r="N216" s="508" t="s"/>
      <c r="O216" s="508" t="s"/>
      <c r="P216" s="508" t="s"/>
      <c r="Q216" s="508" t="s"/>
      <c r="R216" s="508" t="s"/>
      <c r="S216" s="508" t="s"/>
      <c r="T216" s="508" t="s"/>
      <c r="U216" s="508" t="s"/>
      <c r="V216" s="508" t="s"/>
      <c r="W216" s="508" t="s"/>
      <c r="X216" s="508" t="s"/>
      <c r="Y216" s="508" t="s"/>
    </row>
    <row r="217" spans="1:25">
      <c r="A217" s="680" t="s"/>
      <c r="B217" s="837" t="s"/>
      <c r="C217" s="837" t="s"/>
      <c r="D217" s="680" t="s"/>
      <c r="E217" s="837" t="s"/>
      <c r="F217" s="837" t="s"/>
      <c r="G217" s="680" t="s"/>
      <c r="H217" s="840" t="s"/>
      <c r="I217" s="508" t="s"/>
      <c r="J217" s="508" t="s"/>
      <c r="K217" s="508" t="s"/>
      <c r="L217" s="508" t="s"/>
      <c r="M217" s="508" t="s"/>
      <c r="N217" s="508" t="s"/>
      <c r="O217" s="508" t="s"/>
      <c r="P217" s="508" t="s"/>
      <c r="Q217" s="508" t="s"/>
      <c r="R217" s="508" t="s"/>
      <c r="S217" s="508" t="s"/>
      <c r="T217" s="508" t="s"/>
      <c r="U217" s="508" t="s"/>
      <c r="V217" s="508" t="s"/>
      <c r="W217" s="508" t="s"/>
      <c r="X217" s="508" t="s"/>
      <c r="Y217" s="508" t="s"/>
    </row>
  </sheetData>
  <autoFilter ref="A3:L47">
    <sortState ref="A4:L47"/>
  </autoFilter>
  <mergeCells count="39">
    <mergeCell ref="J1:L1"/>
    <mergeCell ref="A2:H2"/>
    <mergeCell ref="I2:L2"/>
    <mergeCell ref="A1:H1"/>
    <mergeCell ref="A4:A7"/>
    <mergeCell ref="B4:B7"/>
    <mergeCell ref="C4:C7"/>
    <mergeCell ref="A8:A17"/>
    <mergeCell ref="B8:B17"/>
    <mergeCell ref="C8:C17"/>
    <mergeCell ref="A18:A21"/>
    <mergeCell ref="B18:B21"/>
    <mergeCell ref="C18:C21"/>
    <mergeCell ref="A35:A39"/>
    <mergeCell ref="B35:B39"/>
    <mergeCell ref="C35:C39"/>
    <mergeCell ref="A40:A47"/>
    <mergeCell ref="B40:B47"/>
    <mergeCell ref="C40:C47"/>
    <mergeCell ref="L40:L47"/>
    <mergeCell ref="L35:L39"/>
    <mergeCell ref="L18:L21"/>
    <mergeCell ref="L8:L17"/>
    <mergeCell ref="L4:L7"/>
    <mergeCell ref="K4:K7"/>
    <mergeCell ref="K8:K17"/>
    <mergeCell ref="K18:K21"/>
    <mergeCell ref="K22:K26"/>
    <mergeCell ref="K27:K33"/>
    <mergeCell ref="K35:K39"/>
    <mergeCell ref="K40:K47"/>
    <mergeCell ref="A22:A26"/>
    <mergeCell ref="B22:B26"/>
    <mergeCell ref="C22:C26"/>
    <mergeCell ref="L22:L26"/>
    <mergeCell ref="A27:A33"/>
    <mergeCell ref="B27:B33"/>
    <mergeCell ref="C27:C33"/>
    <mergeCell ref="L27:L33"/>
  </mergeCells>
  <dataValidations>
    <dataValidation type="list" errorStyle="stop" allowBlank="true" showDropDown="false" showInputMessage="true" showErrorMessage="true" prompt="" sqref="G3:G1048576">
      <formula1>"社招,校招,社招&amp;校招,"</formula1>
    </dataValidation>
    <dataValidation type="list" errorStyle="stop" allowBlank="true" showDropDown="false" showInputMessage="true" showErrorMessage="true" prompt="" sqref="A3:A1048576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D3:D1048576">
      <formula1>"新增需求,替补需求,储备需求,上个月未交付延期本月,临时需求,"</formula1>
    </dataValidation>
  </dataValidations>
</worksheet>
</file>

<file path=xl/worksheets/sheet8.xml><?xml version="1.0" encoding="utf-8"?>
<worksheet xmlns="http://schemas.openxmlformats.org/spreadsheetml/2006/main">
  <sheetPr codeName="周度招聘统计">
    <tabColor/>
  </sheetPr>
  <dimension ref="AA212"/>
  <sheetViews>
    <sheetView showGridLines="true" workbookViewId="0"/>
  </sheetViews>
  <sheetFormatPr baseColWidth="13" defaultRowHeight="18" customHeight="true"/>
  <cols>
    <col min="1" max="17" width="13.6719" style="314"/>
    <col min="18" max="19" width="13.6719" style="4"/>
    <col min="20" max="20" width="17.4023" style="4" customWidth="true"/>
    <col min="21" max="23" width="13.6719" style="4"/>
    <col min="24" max="24" width="13.6719"/>
    <col min="25" max="25" width="13.6719" style="4"/>
  </cols>
  <sheetData>
    <row r="1" spans="12:43">
      <c r="L1" s="4" t="s"/>
      <c r="AI1" s="5" t="s">
        <v>1</v>
      </c>
      <c r="AJ1" s="6" t="s"/>
      <c r="AK1" s="6" t="s"/>
      <c r="AL1" s="6" t="s"/>
      <c r="AM1" s="6" t="s"/>
      <c r="AN1" s="6" t="s"/>
      <c r="AO1" s="6" t="s"/>
      <c r="AP1" s="6" t="s"/>
      <c r="AQ1" s="6" t="s"/>
    </row>
    <row r="2" spans="1:43">
      <c r="A2" s="7" t="s"/>
      <c r="B2" s="7" t="s"/>
      <c r="C2" s="7" t="s"/>
      <c r="D2" s="7" t="s"/>
      <c r="E2" s="7" t="s"/>
      <c r="F2" s="7" t="s"/>
      <c r="G2" s="7" t="s"/>
      <c r="H2" s="7" t="s"/>
      <c r="I2" s="7" t="s"/>
      <c r="J2" s="8" t="s"/>
      <c r="K2" s="9" t="s"/>
      <c r="L2" s="9" t="s"/>
      <c r="M2" s="9" t="s"/>
      <c r="N2" s="9" t="s"/>
      <c r="O2" s="10" t="s"/>
      <c r="P2" s="11" t="s"/>
      <c r="Q2" s="12" t="s"/>
      <c r="R2" s="13" t="s">
        <v>2</v>
      </c>
      <c r="S2" s="14" t="s"/>
      <c r="T2" s="14" t="s"/>
      <c r="U2" s="14" t="s"/>
      <c r="V2" s="15" t="s"/>
      <c r="W2" s="16" t="s">
        <v>3</v>
      </c>
      <c r="X2" s="15" t="s"/>
      <c r="Y2" s="12" t="s"/>
      <c r="Z2" s="17" t="s">
        <v>4</v>
      </c>
      <c r="AA2" s="18" t="s"/>
      <c r="AB2" s="14" t="s"/>
      <c r="AC2" s="14" t="s"/>
      <c r="AD2" s="19" t="s"/>
      <c r="AE2" s="20" t="s">
        <v>5</v>
      </c>
      <c r="AF2" s="15" t="s"/>
      <c r="AI2" s="21" t="s"/>
      <c r="AJ2" s="22" t="s">
        <v>6</v>
      </c>
      <c r="AK2" s="22" t="s">
        <v>7</v>
      </c>
      <c r="AL2" s="22" t="s">
        <v>8</v>
      </c>
      <c r="AM2" s="22" t="s">
        <v>9</v>
      </c>
      <c r="AN2" s="22" t="s">
        <v>10</v>
      </c>
      <c r="AO2" s="22" t="s">
        <v>11</v>
      </c>
      <c r="AP2" s="23" t="s">
        <v>12</v>
      </c>
      <c r="AQ2" s="23" t="s">
        <v>13</v>
      </c>
    </row>
    <row r="3" spans="1:43">
      <c r="A3" s="7" t="s"/>
      <c r="B3" s="24" t="s"/>
      <c r="C3" s="25" t="s"/>
      <c r="D3" s="25" t="s"/>
      <c r="E3" s="9" t="s"/>
      <c r="F3" s="9" t="s"/>
      <c r="G3" s="10" t="s"/>
      <c r="H3" s="11" t="s"/>
      <c r="I3" s="7" t="s"/>
      <c r="J3" s="26" t="s">
        <v>14</v>
      </c>
      <c r="K3" s="27" t="s"/>
      <c r="L3" s="28" t="s"/>
      <c r="M3" s="28" t="s"/>
      <c r="N3" s="29" t="s"/>
      <c r="O3" s="30" t="s">
        <v>15</v>
      </c>
      <c r="P3" s="31" t="s"/>
      <c r="Q3" s="12" t="s"/>
      <c r="R3" s="32" t="s"/>
      <c r="S3" s="33" t="s"/>
      <c r="T3" s="34" t="s">
        <v>9</v>
      </c>
      <c r="U3" s="34" t="s">
        <v>10</v>
      </c>
      <c r="V3" s="35" t="s">
        <v>11</v>
      </c>
      <c r="W3" s="36" t="s">
        <v>16</v>
      </c>
      <c r="X3" s="37" t="s">
        <v>17</v>
      </c>
      <c r="Y3" s="38" t="s"/>
      <c r="Z3" s="32" t="s"/>
      <c r="AA3" s="34" t="s">
        <v>8</v>
      </c>
      <c r="AB3" s="34" t="s">
        <v>9</v>
      </c>
      <c r="AC3" s="34" t="s">
        <v>10</v>
      </c>
      <c r="AD3" s="39" t="s">
        <v>11</v>
      </c>
      <c r="AE3" s="40" t="s">
        <v>16</v>
      </c>
      <c r="AF3" s="41" t="s">
        <v>17</v>
      </c>
      <c r="AI3" s="42" t="s">
        <v>18</v>
      </c>
      <c r="AJ3" s="43" t="s">
        <v>19</v>
      </c>
      <c r="AK3" s="44">
        <f>=SUM(AN3:AN7)</f>
        <v>35</v>
      </c>
      <c r="AL3" s="45" t="s">
        <v>20</v>
      </c>
      <c r="AM3" s="46" t="s">
        <v>21</v>
      </c>
      <c r="AN3" s="45">
        <v>30</v>
      </c>
      <c r="AO3" s="47" t="s">
        <v>22</v>
      </c>
      <c r="AP3" s="44">
        <v>62</v>
      </c>
      <c r="AQ3" s="44">
        <v>50</v>
      </c>
    </row>
    <row r="4" spans="1:43">
      <c r="A4" s="48" t="s"/>
      <c r="B4" s="26" t="s">
        <v>23</v>
      </c>
      <c r="C4" s="27" t="s"/>
      <c r="D4" s="49" t="s"/>
      <c r="E4" s="50" t="s"/>
      <c r="F4" s="51" t="s"/>
      <c r="G4" s="52" t="s">
        <v>24</v>
      </c>
      <c r="H4" s="53" t="s"/>
      <c r="I4" s="48" t="s"/>
      <c r="J4" s="54" t="s"/>
      <c r="K4" s="55" t="s"/>
      <c r="L4" s="56" t="s">
        <v>9</v>
      </c>
      <c r="M4" s="56" t="s">
        <v>10</v>
      </c>
      <c r="N4" s="57" t="s">
        <v>11</v>
      </c>
      <c r="O4" s="58" t="s">
        <v>16</v>
      </c>
      <c r="P4" s="59" t="s">
        <v>17</v>
      </c>
      <c r="Q4" s="12" t="s"/>
      <c r="R4" s="60" t="s">
        <v>19</v>
      </c>
      <c r="S4" s="61" t="s">
        <v>25</v>
      </c>
      <c r="T4" s="62" t="s">
        <v>21</v>
      </c>
      <c r="U4" s="63" t="s"/>
      <c r="V4" s="64" t="s"/>
      <c r="W4" s="65">
        <v>6</v>
      </c>
      <c r="X4" s="66">
        <v>1</v>
      </c>
      <c r="Y4" s="12" t="s"/>
      <c r="Z4" s="67" t="s"/>
      <c r="AA4" s="68" t="s"/>
      <c r="AB4" s="69" t="s"/>
      <c r="AC4" s="70" t="s"/>
      <c r="AD4" s="71" t="s"/>
      <c r="AE4" s="72" t="s"/>
      <c r="AF4" s="73" t="s"/>
      <c r="AI4" s="42" t="s"/>
      <c r="AJ4" s="74" t="s"/>
      <c r="AK4" s="75" t="s"/>
      <c r="AL4" s="45" t="s"/>
      <c r="AM4" s="46" t="s"/>
      <c r="AN4" s="45" t="s"/>
      <c r="AO4" s="47" t="s"/>
      <c r="AP4" s="44" t="s"/>
      <c r="AQ4" s="44" t="s"/>
    </row>
    <row r="5" spans="1:43">
      <c r="A5" s="76" t="s"/>
      <c r="B5" s="77" t="s">
        <v>6</v>
      </c>
      <c r="C5" s="78" t="s">
        <v>26</v>
      </c>
      <c r="D5" s="56" t="s">
        <v>9</v>
      </c>
      <c r="E5" s="56" t="s">
        <v>10</v>
      </c>
      <c r="F5" s="57" t="s">
        <v>11</v>
      </c>
      <c r="G5" s="79" t="s">
        <v>16</v>
      </c>
      <c r="H5" s="80" t="s">
        <v>17</v>
      </c>
      <c r="I5" s="76" t="s"/>
      <c r="J5" s="81" t="s">
        <v>19</v>
      </c>
      <c r="K5" s="82" t="s"/>
      <c r="L5" s="83" t="s">
        <v>27</v>
      </c>
      <c r="M5" s="84">
        <v>0</v>
      </c>
      <c r="N5" s="85" t="s"/>
      <c r="O5" s="86" t="s"/>
      <c r="P5" s="87" t="s"/>
      <c r="Q5" s="12" t="s"/>
      <c r="R5" s="88" t="s"/>
      <c r="S5" s="61" t="s">
        <v>20</v>
      </c>
      <c r="T5" s="62" t="s">
        <v>28</v>
      </c>
      <c r="U5" s="63">
        <v>15</v>
      </c>
      <c r="V5" s="64" t="s">
        <v>22</v>
      </c>
      <c r="W5" s="65">
        <v>16</v>
      </c>
      <c r="X5" s="89" t="s"/>
      <c r="Y5" s="12" t="s"/>
      <c r="Z5" s="90" t="s">
        <v>19</v>
      </c>
      <c r="AA5" s="68" t="s">
        <v>20</v>
      </c>
      <c r="AB5" s="69" t="s">
        <v>29</v>
      </c>
      <c r="AC5" s="70">
        <v>4</v>
      </c>
      <c r="AD5" s="71" t="s">
        <v>30</v>
      </c>
      <c r="AE5" s="72">
        <v>3</v>
      </c>
      <c r="AF5" s="73">
        <v>2</v>
      </c>
      <c r="AI5" s="6" t="s"/>
      <c r="AJ5" s="91" t="s"/>
      <c r="AK5" s="6" t="s"/>
      <c r="AL5" s="45" t="s">
        <v>20</v>
      </c>
      <c r="AM5" s="46" t="s">
        <v>29</v>
      </c>
      <c r="AN5" s="45">
        <v>3</v>
      </c>
      <c r="AO5" s="47" t="s">
        <v>30</v>
      </c>
      <c r="AP5" s="44">
        <v>3</v>
      </c>
      <c r="AQ5" s="44">
        <v>6</v>
      </c>
    </row>
    <row r="6" spans="1:43">
      <c r="A6" s="92" t="s"/>
      <c r="B6" s="93" t="s">
        <v>19</v>
      </c>
      <c r="C6" s="68" t="s">
        <v>20</v>
      </c>
      <c r="D6" s="94" t="s">
        <v>31</v>
      </c>
      <c r="E6" s="95">
        <v>10</v>
      </c>
      <c r="F6" s="96" t="s">
        <v>22</v>
      </c>
      <c r="G6" s="97">
        <v>2</v>
      </c>
      <c r="H6" s="97">
        <v>2</v>
      </c>
      <c r="I6" s="92" t="s"/>
      <c r="J6" s="98" t="s">
        <v>32</v>
      </c>
      <c r="K6" s="99" t="s">
        <v>33</v>
      </c>
      <c r="L6" s="100" t="s">
        <v>34</v>
      </c>
      <c r="M6" s="101">
        <v>2</v>
      </c>
      <c r="N6" s="102" t="s">
        <v>35</v>
      </c>
      <c r="O6" s="86">
        <v>1</v>
      </c>
      <c r="P6" s="87">
        <v>1</v>
      </c>
      <c r="Q6" s="12" t="s"/>
      <c r="R6" s="103" t="s">
        <v>32</v>
      </c>
      <c r="S6" s="104" t="s">
        <v>20</v>
      </c>
      <c r="T6" s="105" t="s">
        <v>34</v>
      </c>
      <c r="U6" s="106">
        <v>1</v>
      </c>
      <c r="V6" s="107" t="s">
        <v>35</v>
      </c>
      <c r="W6" s="108" t="s"/>
      <c r="X6" s="109" t="s"/>
      <c r="Y6" s="12" t="s"/>
      <c r="Z6" s="67" t="s"/>
      <c r="AA6" s="68" t="s">
        <v>25</v>
      </c>
      <c r="AB6" s="69" t="s">
        <v>36</v>
      </c>
      <c r="AC6" s="68" t="s"/>
      <c r="AD6" s="110" t="s">
        <v>30</v>
      </c>
      <c r="AE6" s="72">
        <v>1</v>
      </c>
      <c r="AF6" s="73" t="s"/>
      <c r="AI6" s="6" t="s"/>
      <c r="AJ6" s="91" t="s"/>
      <c r="AK6" s="6" t="s"/>
      <c r="AL6" s="45" t="s">
        <v>20</v>
      </c>
      <c r="AM6" s="46" t="s">
        <v>37</v>
      </c>
      <c r="AN6" s="45">
        <v>1</v>
      </c>
      <c r="AO6" s="47" t="s">
        <v>30</v>
      </c>
      <c r="AP6" s="44">
        <v>1</v>
      </c>
      <c r="AQ6" s="44">
        <v>1</v>
      </c>
    </row>
    <row r="7" spans="1:43">
      <c r="A7" s="76" t="s"/>
      <c r="B7" s="111" t="s"/>
      <c r="C7" s="61" t="s"/>
      <c r="D7" s="62" t="s">
        <v>38</v>
      </c>
      <c r="E7" s="63" t="s"/>
      <c r="F7" s="112" t="s"/>
      <c r="G7" s="113" t="s"/>
      <c r="H7" s="113">
        <v>3</v>
      </c>
      <c r="I7" s="76" t="s"/>
      <c r="J7" s="114" t="s">
        <v>39</v>
      </c>
      <c r="K7" s="115" t="s">
        <v>20</v>
      </c>
      <c r="L7" s="116" t="s">
        <v>40</v>
      </c>
      <c r="M7" s="116">
        <v>3</v>
      </c>
      <c r="N7" s="117" t="s">
        <v>30</v>
      </c>
      <c r="O7" s="86" t="s"/>
      <c r="P7" s="87" t="s"/>
      <c r="Q7" s="12" t="s"/>
      <c r="R7" s="88" t="s"/>
      <c r="S7" s="104" t="s">
        <v>20</v>
      </c>
      <c r="T7" s="118" t="s">
        <v>41</v>
      </c>
      <c r="U7" s="106">
        <v>1</v>
      </c>
      <c r="V7" s="107" t="s">
        <v>35</v>
      </c>
      <c r="W7" s="108" t="s"/>
      <c r="X7" s="109" t="s"/>
      <c r="Y7" s="12" t="s"/>
      <c r="Z7" s="119" t="s"/>
      <c r="AA7" s="68" t="s">
        <v>20</v>
      </c>
      <c r="AB7" s="69" t="s">
        <v>42</v>
      </c>
      <c r="AC7" s="68">
        <v>10</v>
      </c>
      <c r="AD7" s="110" t="s">
        <v>22</v>
      </c>
      <c r="AE7" s="72">
        <v>27</v>
      </c>
      <c r="AF7" s="73">
        <v>11</v>
      </c>
      <c r="AI7" s="6" t="s"/>
      <c r="AJ7" s="91" t="s"/>
      <c r="AK7" s="6" t="s"/>
      <c r="AL7" s="45" t="s">
        <v>20</v>
      </c>
      <c r="AM7" s="46" t="s">
        <v>38</v>
      </c>
      <c r="AN7" s="45">
        <v>1</v>
      </c>
      <c r="AO7" s="47" t="s">
        <v>30</v>
      </c>
      <c r="AP7" s="120">
        <v>0</v>
      </c>
      <c r="AQ7" s="44">
        <v>1</v>
      </c>
    </row>
    <row r="8" spans="1:43">
      <c r="A8" s="76" t="s"/>
      <c r="B8" s="111" t="s"/>
      <c r="C8" s="61" t="s"/>
      <c r="D8" s="62" t="s">
        <v>43</v>
      </c>
      <c r="E8" s="63" t="s"/>
      <c r="F8" s="112" t="s"/>
      <c r="G8" s="113" t="s"/>
      <c r="H8" s="113">
        <v>1</v>
      </c>
      <c r="I8" s="76" t="s"/>
      <c r="J8" s="114" t="s"/>
      <c r="K8" s="115" t="s"/>
      <c r="L8" s="116" t="s"/>
      <c r="M8" s="116" t="s"/>
      <c r="N8" s="117" t="s"/>
      <c r="O8" s="86" t="s"/>
      <c r="P8" s="87" t="s"/>
      <c r="Q8" s="12" t="s"/>
      <c r="R8" s="121" t="s"/>
      <c r="S8" s="104" t="s"/>
      <c r="T8" s="118" t="s"/>
      <c r="U8" s="106" t="s"/>
      <c r="V8" s="107" t="s"/>
      <c r="W8" s="108" t="s"/>
      <c r="X8" s="109" t="s"/>
      <c r="Y8" s="12" t="s"/>
      <c r="Z8" s="67" t="s"/>
      <c r="AA8" s="68" t="s"/>
      <c r="AB8" s="69" t="s"/>
      <c r="AC8" s="68" t="s"/>
      <c r="AD8" s="110" t="s"/>
      <c r="AE8" s="72" t="s"/>
      <c r="AF8" s="73" t="s"/>
      <c r="AI8" s="42" t="s"/>
      <c r="AJ8" s="74" t="s"/>
      <c r="AK8" s="75" t="s"/>
      <c r="AL8" s="45" t="s"/>
      <c r="AM8" s="46" t="s"/>
      <c r="AN8" s="45" t="s"/>
      <c r="AO8" s="47" t="s"/>
      <c r="AP8" s="120" t="s"/>
      <c r="AQ8" s="44" t="s"/>
    </row>
    <row r="9" spans="1:43">
      <c r="A9" s="122" t="s"/>
      <c r="B9" s="123" t="s">
        <v>32</v>
      </c>
      <c r="C9" s="104" t="s">
        <v>44</v>
      </c>
      <c r="D9" s="124" t="s">
        <v>45</v>
      </c>
      <c r="E9" s="106">
        <v>1</v>
      </c>
      <c r="F9" s="125" t="s">
        <v>30</v>
      </c>
      <c r="G9" s="113" t="s"/>
      <c r="H9" s="113" t="s"/>
      <c r="I9" s="122" t="s"/>
      <c r="J9" s="126" t="s"/>
      <c r="K9" s="115" t="s">
        <v>20</v>
      </c>
      <c r="L9" s="116" t="s">
        <v>46</v>
      </c>
      <c r="M9" s="116">
        <v>1</v>
      </c>
      <c r="N9" s="117" t="s">
        <v>30</v>
      </c>
      <c r="O9" s="86">
        <v>1</v>
      </c>
      <c r="P9" s="87" t="s"/>
      <c r="Q9" s="12" t="s"/>
      <c r="R9" s="127" t="s">
        <v>39</v>
      </c>
      <c r="S9" s="128" t="s">
        <v>20</v>
      </c>
      <c r="T9" s="129" t="s">
        <v>40</v>
      </c>
      <c r="U9" s="129">
        <v>5</v>
      </c>
      <c r="V9" s="130" t="s">
        <v>30</v>
      </c>
      <c r="W9" s="131" t="s"/>
      <c r="X9" s="132" t="s"/>
      <c r="Y9" s="12" t="s"/>
      <c r="Z9" s="133" t="s">
        <v>32</v>
      </c>
      <c r="AA9" s="134" t="s">
        <v>44</v>
      </c>
      <c r="AB9" s="135" t="s">
        <v>34</v>
      </c>
      <c r="AC9" s="134">
        <v>3</v>
      </c>
      <c r="AD9" s="136" t="s">
        <v>35</v>
      </c>
      <c r="AE9" s="137" t="s"/>
      <c r="AF9" s="138" t="s"/>
      <c r="AI9" s="6" t="s"/>
      <c r="AJ9" s="139" t="s">
        <v>32</v>
      </c>
      <c r="AK9" s="140">
        <f>=SUM(AN9:AN16)</f>
        <v>12</v>
      </c>
      <c r="AL9" s="141" t="s">
        <v>47</v>
      </c>
      <c r="AM9" s="142" t="s">
        <v>48</v>
      </c>
      <c r="AN9" s="141">
        <v>1</v>
      </c>
      <c r="AO9" s="143" t="s">
        <v>30</v>
      </c>
      <c r="AP9" s="144">
        <v>0</v>
      </c>
      <c r="AQ9" s="144">
        <v>0</v>
      </c>
    </row>
    <row r="10" spans="1:43">
      <c r="A10" s="122" t="s"/>
      <c r="B10" s="145" t="s"/>
      <c r="C10" s="104" t="s">
        <v>44</v>
      </c>
      <c r="D10" s="124" t="s">
        <v>48</v>
      </c>
      <c r="E10" s="106">
        <v>1</v>
      </c>
      <c r="F10" s="125" t="s">
        <v>30</v>
      </c>
      <c r="G10" s="113" t="s"/>
      <c r="H10" s="113" t="s"/>
      <c r="I10" s="122" t="s"/>
      <c r="J10" s="146" t="s"/>
      <c r="K10" s="147" t="s">
        <v>25</v>
      </c>
      <c r="L10" s="148" t="s">
        <v>49</v>
      </c>
      <c r="M10" s="148" t="s"/>
      <c r="N10" s="149" t="s"/>
      <c r="O10" s="86">
        <v>1</v>
      </c>
      <c r="P10" s="87" t="s"/>
      <c r="Q10" s="12" t="s"/>
      <c r="R10" s="127" t="s"/>
      <c r="S10" s="128" t="s"/>
      <c r="T10" s="129" t="s"/>
      <c r="U10" s="129" t="s"/>
      <c r="V10" s="130" t="s"/>
      <c r="W10" s="131" t="s"/>
      <c r="X10" s="132" t="s"/>
      <c r="Y10" s="12" t="s"/>
      <c r="Z10" s="133" t="s"/>
      <c r="AA10" s="134" t="s"/>
      <c r="AB10" s="150" t="s"/>
      <c r="AC10" s="134" t="s"/>
      <c r="AD10" s="136" t="s"/>
      <c r="AE10" s="137" t="s"/>
      <c r="AF10" s="138" t="s"/>
      <c r="AI10" s="42" t="s"/>
      <c r="AJ10" s="151" t="s"/>
      <c r="AK10" s="152" t="s"/>
      <c r="AL10" s="141" t="s"/>
      <c r="AM10" s="142" t="s"/>
      <c r="AN10" s="141" t="s"/>
      <c r="AO10" s="143" t="s"/>
      <c r="AP10" s="140" t="s"/>
      <c r="AQ10" s="140" t="s"/>
    </row>
    <row r="11" spans="1:43">
      <c r="A11" s="122" t="s"/>
      <c r="B11" s="153" t="s">
        <v>39</v>
      </c>
      <c r="C11" s="128" t="s">
        <v>20</v>
      </c>
      <c r="D11" s="129" t="s">
        <v>40</v>
      </c>
      <c r="E11" s="129">
        <v>2</v>
      </c>
      <c r="F11" s="154" t="s">
        <v>30</v>
      </c>
      <c r="G11" s="113" t="s"/>
      <c r="H11" s="113">
        <v>1</v>
      </c>
      <c r="I11" s="122" t="s"/>
      <c r="J11" s="146" t="s">
        <v>50</v>
      </c>
      <c r="K11" s="147" t="s">
        <v>20</v>
      </c>
      <c r="L11" s="148" t="s">
        <v>51</v>
      </c>
      <c r="M11" s="148">
        <v>2</v>
      </c>
      <c r="N11" s="149" t="s">
        <v>35</v>
      </c>
      <c r="O11" s="86" t="s"/>
      <c r="P11" s="87" t="s"/>
      <c r="Q11" s="12" t="s"/>
      <c r="R11" s="155" t="s"/>
      <c r="S11" s="128" t="s">
        <v>20</v>
      </c>
      <c r="T11" s="129" t="s">
        <v>46</v>
      </c>
      <c r="U11" s="129">
        <v>2</v>
      </c>
      <c r="V11" s="130" t="s">
        <v>30</v>
      </c>
      <c r="W11" s="131" t="s"/>
      <c r="X11" s="132" t="s"/>
      <c r="Y11" s="12" t="s"/>
      <c r="Z11" s="156" t="s"/>
      <c r="AA11" s="134" t="s">
        <v>44</v>
      </c>
      <c r="AB11" s="150" t="s">
        <v>52</v>
      </c>
      <c r="AC11" s="134">
        <v>1</v>
      </c>
      <c r="AD11" s="136" t="s">
        <v>30</v>
      </c>
      <c r="AE11" s="137" t="s"/>
      <c r="AF11" s="138" t="s"/>
      <c r="AI11" s="6" t="s"/>
      <c r="AJ11" s="91" t="s"/>
      <c r="AK11" s="6" t="s"/>
      <c r="AL11" s="141" t="s">
        <v>47</v>
      </c>
      <c r="AM11" s="142" t="s">
        <v>53</v>
      </c>
      <c r="AN11" s="141">
        <v>1</v>
      </c>
      <c r="AO11" s="143" t="s">
        <v>30</v>
      </c>
      <c r="AP11" s="140">
        <v>1</v>
      </c>
      <c r="AQ11" s="140">
        <v>1</v>
      </c>
    </row>
    <row r="12" spans="1:43">
      <c r="A12" s="76" t="s"/>
      <c r="B12" s="157" t="s">
        <v>50</v>
      </c>
      <c r="C12" s="158" t="s"/>
      <c r="D12" s="159" t="s">
        <v>27</v>
      </c>
      <c r="E12" s="159" t="s">
        <v>27</v>
      </c>
      <c r="F12" s="160" t="s"/>
      <c r="G12" s="113" t="s"/>
      <c r="H12" s="113" t="s"/>
      <c r="I12" s="76" t="s"/>
      <c r="J12" s="161" t="s">
        <v>54</v>
      </c>
      <c r="K12" s="162" t="s">
        <v>20</v>
      </c>
      <c r="L12" s="163" t="s">
        <v>55</v>
      </c>
      <c r="M12" s="164">
        <v>4</v>
      </c>
      <c r="N12" s="165" t="s">
        <v>35</v>
      </c>
      <c r="O12" s="86" t="s"/>
      <c r="P12" s="87">
        <v>1</v>
      </c>
      <c r="Q12" s="12" t="s"/>
      <c r="R12" s="155" t="s"/>
      <c r="S12" s="128" t="s">
        <v>20</v>
      </c>
      <c r="T12" s="129" t="s">
        <v>49</v>
      </c>
      <c r="U12" s="129">
        <v>2</v>
      </c>
      <c r="V12" s="130" t="s">
        <v>30</v>
      </c>
      <c r="W12" s="131" t="s"/>
      <c r="X12" s="132" t="s"/>
      <c r="Y12" s="12" t="s"/>
      <c r="Z12" s="166" t="s">
        <v>39</v>
      </c>
      <c r="AA12" s="167" t="s">
        <v>20</v>
      </c>
      <c r="AB12" s="168" t="s">
        <v>40</v>
      </c>
      <c r="AC12" s="169">
        <v>6</v>
      </c>
      <c r="AD12" s="170" t="s">
        <v>35</v>
      </c>
      <c r="AE12" s="171" t="s"/>
      <c r="AF12" s="172" t="s"/>
      <c r="AI12" s="6" t="s"/>
      <c r="AJ12" s="91" t="s"/>
      <c r="AK12" s="6" t="s"/>
      <c r="AL12" s="141" t="s">
        <v>20</v>
      </c>
      <c r="AM12" s="142" t="s">
        <v>56</v>
      </c>
      <c r="AN12" s="141">
        <v>3</v>
      </c>
      <c r="AO12" s="143" t="s">
        <v>30</v>
      </c>
      <c r="AP12" s="140">
        <v>2</v>
      </c>
      <c r="AQ12" s="140">
        <v>2</v>
      </c>
    </row>
    <row r="13" spans="1:43">
      <c r="A13" s="76" t="s"/>
      <c r="B13" s="173" t="s">
        <v>54</v>
      </c>
      <c r="C13" s="174" t="s">
        <v>20</v>
      </c>
      <c r="D13" s="175" t="s">
        <v>57</v>
      </c>
      <c r="E13" s="176">
        <v>4</v>
      </c>
      <c r="F13" s="177" t="s">
        <v>35</v>
      </c>
      <c r="G13" s="113" t="s"/>
      <c r="H13" s="113">
        <v>1</v>
      </c>
      <c r="I13" s="76" t="s"/>
      <c r="J13" s="178" t="s">
        <v>54</v>
      </c>
      <c r="K13" s="179" t="s">
        <v>25</v>
      </c>
      <c r="L13" s="180" t="s">
        <v>58</v>
      </c>
      <c r="M13" s="181" t="s"/>
      <c r="N13" s="182" t="s">
        <v>30</v>
      </c>
      <c r="O13" s="183">
        <v>1</v>
      </c>
      <c r="P13" s="184">
        <v>1</v>
      </c>
      <c r="Q13" s="12" t="s"/>
      <c r="R13" s="185" t="s">
        <v>50</v>
      </c>
      <c r="S13" s="158" t="s">
        <v>20</v>
      </c>
      <c r="T13" s="159" t="s">
        <v>59</v>
      </c>
      <c r="U13" s="159">
        <v>3</v>
      </c>
      <c r="V13" s="186" t="s">
        <v>30</v>
      </c>
      <c r="W13" s="187" t="s"/>
      <c r="X13" s="188" t="s"/>
      <c r="Y13" s="12" t="s"/>
      <c r="Z13" s="119" t="s"/>
      <c r="AA13" s="167" t="s">
        <v>20</v>
      </c>
      <c r="AB13" s="189" t="s">
        <v>46</v>
      </c>
      <c r="AC13" s="168">
        <v>3</v>
      </c>
      <c r="AD13" s="190" t="s">
        <v>30</v>
      </c>
      <c r="AE13" s="171">
        <v>1</v>
      </c>
      <c r="AF13" s="172" t="s"/>
      <c r="AI13" s="6" t="s"/>
      <c r="AJ13" s="91" t="s"/>
      <c r="AK13" s="6" t="s"/>
      <c r="AL13" s="141" t="s">
        <v>20</v>
      </c>
      <c r="AM13" s="142" t="s">
        <v>60</v>
      </c>
      <c r="AN13" s="141">
        <v>2</v>
      </c>
      <c r="AO13" s="143" t="s">
        <v>30</v>
      </c>
      <c r="AP13" s="140">
        <v>2</v>
      </c>
      <c r="AQ13" s="140">
        <v>1</v>
      </c>
    </row>
    <row r="14" spans="1:43">
      <c r="A14" s="122" t="s"/>
      <c r="B14" s="191" t="s"/>
      <c r="C14" s="174" t="s">
        <v>44</v>
      </c>
      <c r="D14" s="175" t="s">
        <v>57</v>
      </c>
      <c r="E14" s="176">
        <v>2</v>
      </c>
      <c r="F14" s="177" t="s">
        <v>35</v>
      </c>
      <c r="G14" s="113" t="s"/>
      <c r="H14" s="113" t="s"/>
      <c r="I14" s="122" t="s"/>
      <c r="J14" s="192" t="s"/>
      <c r="K14" s="162" t="s">
        <v>20</v>
      </c>
      <c r="L14" s="163" t="s">
        <v>57</v>
      </c>
      <c r="M14" s="164">
        <v>8</v>
      </c>
      <c r="N14" s="165" t="s">
        <v>35</v>
      </c>
      <c r="O14" s="86">
        <v>2</v>
      </c>
      <c r="P14" s="193" t="s"/>
      <c r="Q14" s="12" t="s"/>
      <c r="R14" s="194" t="s"/>
      <c r="S14" s="158" t="s">
        <v>20</v>
      </c>
      <c r="T14" s="159" t="s">
        <v>61</v>
      </c>
      <c r="U14" s="159">
        <v>1</v>
      </c>
      <c r="V14" s="186" t="s">
        <v>30</v>
      </c>
      <c r="W14" s="187" t="s"/>
      <c r="X14" s="188" t="s"/>
      <c r="Y14" s="12" t="s"/>
      <c r="Z14" s="127" t="s"/>
      <c r="AA14" s="128" t="s">
        <v>25</v>
      </c>
      <c r="AB14" s="195" t="s">
        <v>62</v>
      </c>
      <c r="AC14" s="189" t="s"/>
      <c r="AD14" s="196" t="s">
        <v>35</v>
      </c>
      <c r="AE14" s="197">
        <v>1</v>
      </c>
      <c r="AF14" s="198">
        <v>1</v>
      </c>
      <c r="AI14" s="6" t="s"/>
      <c r="AJ14" s="91" t="s"/>
      <c r="AK14" s="6" t="s"/>
      <c r="AL14" s="141" t="s">
        <v>20</v>
      </c>
      <c r="AM14" s="142" t="s">
        <v>34</v>
      </c>
      <c r="AN14" s="141">
        <v>3</v>
      </c>
      <c r="AO14" s="143" t="s">
        <v>35</v>
      </c>
      <c r="AP14" s="140">
        <v>6</v>
      </c>
      <c r="AQ14" s="140">
        <v>5</v>
      </c>
    </row>
    <row r="15" spans="1:43">
      <c r="A15" s="76" t="s"/>
      <c r="B15" s="199" t="s"/>
      <c r="C15" s="174" t="s">
        <v>44</v>
      </c>
      <c r="D15" s="175" t="s">
        <v>55</v>
      </c>
      <c r="E15" s="176">
        <v>3</v>
      </c>
      <c r="F15" s="177" t="s">
        <v>35</v>
      </c>
      <c r="G15" s="113" t="s"/>
      <c r="H15" s="113" t="s"/>
      <c r="I15" s="76" t="s"/>
      <c r="J15" s="200" t="s">
        <v>63</v>
      </c>
      <c r="K15" s="201" t="s">
        <v>20</v>
      </c>
      <c r="L15" s="202" t="s">
        <v>45</v>
      </c>
      <c r="M15" s="203">
        <v>1</v>
      </c>
      <c r="N15" s="204" t="s">
        <v>35</v>
      </c>
      <c r="O15" s="86" t="s"/>
      <c r="P15" s="87" t="s"/>
      <c r="Q15" s="12" t="s"/>
      <c r="R15" s="205" t="s">
        <v>54</v>
      </c>
      <c r="S15" s="174" t="s">
        <v>20</v>
      </c>
      <c r="T15" s="175" t="s">
        <v>55</v>
      </c>
      <c r="U15" s="176">
        <v>6</v>
      </c>
      <c r="V15" s="206" t="s">
        <v>35</v>
      </c>
      <c r="W15" s="207">
        <v>1</v>
      </c>
      <c r="X15" s="208" t="s"/>
      <c r="Y15" s="12" t="s"/>
      <c r="Z15" s="119" t="s"/>
      <c r="AA15" s="167" t="s">
        <v>20</v>
      </c>
      <c r="AB15" s="209" t="s">
        <v>49</v>
      </c>
      <c r="AC15" s="168">
        <v>2</v>
      </c>
      <c r="AD15" s="190" t="s">
        <v>35</v>
      </c>
      <c r="AE15" s="171" t="s"/>
      <c r="AF15" s="172" t="s"/>
      <c r="AI15" s="6" t="s"/>
      <c r="AJ15" s="91" t="s"/>
      <c r="AK15" s="6" t="s"/>
      <c r="AL15" s="141" t="s">
        <v>20</v>
      </c>
      <c r="AM15" s="142" t="s">
        <v>52</v>
      </c>
      <c r="AN15" s="141">
        <v>1</v>
      </c>
      <c r="AO15" s="143" t="s">
        <v>30</v>
      </c>
      <c r="AP15" s="144">
        <v>0</v>
      </c>
      <c r="AQ15" s="144">
        <v>0</v>
      </c>
    </row>
    <row r="16" spans="1:43">
      <c r="A16" s="210" t="s"/>
      <c r="B16" s="211" t="s">
        <v>63</v>
      </c>
      <c r="C16" s="212" t="s">
        <v>44</v>
      </c>
      <c r="D16" s="213" t="s">
        <v>38</v>
      </c>
      <c r="E16" s="214">
        <v>1</v>
      </c>
      <c r="F16" s="215" t="s">
        <v>30</v>
      </c>
      <c r="G16" s="113">
        <v>1</v>
      </c>
      <c r="H16" s="113">
        <v>1</v>
      </c>
      <c r="I16" s="210" t="s"/>
      <c r="J16" s="183" t="s"/>
      <c r="K16" s="216" t="s">
        <v>33</v>
      </c>
      <c r="L16" s="217" t="s">
        <v>64</v>
      </c>
      <c r="M16" s="217" t="s"/>
      <c r="N16" s="218" t="s">
        <v>30</v>
      </c>
      <c r="O16" s="183" t="s"/>
      <c r="P16" s="184">
        <v>1</v>
      </c>
      <c r="Q16" s="12" t="s"/>
      <c r="R16" s="219" t="s"/>
      <c r="S16" s="174" t="s">
        <v>20</v>
      </c>
      <c r="T16" s="175" t="s">
        <v>57</v>
      </c>
      <c r="U16" s="176">
        <v>5</v>
      </c>
      <c r="V16" s="206" t="s">
        <v>35</v>
      </c>
      <c r="W16" s="207" t="s"/>
      <c r="X16" s="208">
        <v>2</v>
      </c>
      <c r="Y16" s="12" t="s"/>
      <c r="Z16" s="220" t="s">
        <v>54</v>
      </c>
      <c r="AA16" s="221" t="s">
        <v>47</v>
      </c>
      <c r="AB16" s="222" t="s">
        <v>57</v>
      </c>
      <c r="AC16" s="221">
        <v>2</v>
      </c>
      <c r="AD16" s="223" t="s">
        <v>35</v>
      </c>
      <c r="AE16" s="224" t="s"/>
      <c r="AF16" s="225" t="s"/>
      <c r="AI16" s="6" t="s"/>
      <c r="AJ16" s="91" t="s"/>
      <c r="AK16" s="6" t="s"/>
      <c r="AL16" s="141" t="s">
        <v>20</v>
      </c>
      <c r="AM16" s="142" t="s">
        <v>60</v>
      </c>
      <c r="AN16" s="141">
        <v>1</v>
      </c>
      <c r="AO16" s="143" t="s">
        <v>30</v>
      </c>
      <c r="AP16" s="144">
        <v>0</v>
      </c>
      <c r="AQ16" s="144">
        <v>0</v>
      </c>
    </row>
    <row r="17" spans="1:43">
      <c r="A17" s="76" t="s"/>
      <c r="B17" s="226" t="s">
        <v>65</v>
      </c>
      <c r="C17" s="227" t="s">
        <v>20</v>
      </c>
      <c r="D17" s="228" t="s">
        <v>66</v>
      </c>
      <c r="E17" s="229">
        <v>1</v>
      </c>
      <c r="F17" s="230" t="s">
        <v>30</v>
      </c>
      <c r="G17" s="113">
        <v>1</v>
      </c>
      <c r="H17" s="113">
        <v>1</v>
      </c>
      <c r="I17" s="76" t="s"/>
      <c r="J17" s="231" t="s">
        <v>65</v>
      </c>
      <c r="K17" s="232" t="s">
        <v>44</v>
      </c>
      <c r="L17" s="233" t="s">
        <v>67</v>
      </c>
      <c r="M17" s="234">
        <v>1</v>
      </c>
      <c r="N17" s="235" t="s">
        <v>30</v>
      </c>
      <c r="O17" s="86" t="s"/>
      <c r="P17" s="87" t="s"/>
      <c r="Q17" s="12" t="s"/>
      <c r="R17" s="88" t="s"/>
      <c r="S17" s="174" t="s">
        <v>20</v>
      </c>
      <c r="T17" s="175" t="s">
        <v>68</v>
      </c>
      <c r="U17" s="176">
        <v>1</v>
      </c>
      <c r="V17" s="206" t="s">
        <v>35</v>
      </c>
      <c r="W17" s="207" t="s"/>
      <c r="X17" s="208" t="s"/>
      <c r="Y17" s="12" t="s"/>
      <c r="Z17" s="220" t="s"/>
      <c r="AA17" s="221" t="s">
        <v>20</v>
      </c>
      <c r="AB17" s="236" t="s">
        <v>57</v>
      </c>
      <c r="AC17" s="221">
        <v>4</v>
      </c>
      <c r="AD17" s="223" t="s">
        <v>35</v>
      </c>
      <c r="AE17" s="224">
        <v>5</v>
      </c>
      <c r="AF17" s="225">
        <v>3</v>
      </c>
      <c r="AI17" s="6" t="s"/>
      <c r="AJ17" s="237" t="s">
        <v>39</v>
      </c>
      <c r="AK17" s="238">
        <f>=SUM(AN17:AN20)</f>
        <v>7</v>
      </c>
      <c r="AL17" s="239" t="s">
        <v>20</v>
      </c>
      <c r="AM17" s="240" t="s">
        <v>36</v>
      </c>
      <c r="AN17" s="239">
        <v>1</v>
      </c>
      <c r="AO17" s="241" t="s">
        <v>30</v>
      </c>
      <c r="AP17" s="242">
        <v>0</v>
      </c>
      <c r="AQ17" s="242">
        <v>0</v>
      </c>
    </row>
    <row r="18" spans="1:43">
      <c r="A18" s="76" t="s"/>
      <c r="B18" s="226" t="s"/>
      <c r="C18" s="227" t="s">
        <v>44</v>
      </c>
      <c r="D18" s="228" t="s">
        <v>69</v>
      </c>
      <c r="E18" s="229">
        <v>1</v>
      </c>
      <c r="F18" s="230" t="s">
        <v>30</v>
      </c>
      <c r="G18" s="113" t="s"/>
      <c r="H18" s="113" t="s"/>
      <c r="I18" s="76" t="s"/>
      <c r="J18" s="243" t="s">
        <v>70</v>
      </c>
      <c r="K18" s="244" t="s"/>
      <c r="L18" s="245" t="s">
        <v>27</v>
      </c>
      <c r="M18" s="246" t="s"/>
      <c r="N18" s="247" t="s"/>
      <c r="O18" s="86" t="s"/>
      <c r="P18" s="87" t="s"/>
      <c r="Q18" s="12" t="s"/>
      <c r="R18" s="248" t="s">
        <v>63</v>
      </c>
      <c r="S18" s="212" t="s">
        <v>20</v>
      </c>
      <c r="T18" s="213" t="s">
        <v>38</v>
      </c>
      <c r="U18" s="214">
        <v>2</v>
      </c>
      <c r="V18" s="249" t="s">
        <v>35</v>
      </c>
      <c r="W18" s="250" t="s"/>
      <c r="X18" s="251" t="s"/>
      <c r="Y18" s="12" t="s"/>
      <c r="Z18" s="119" t="s"/>
      <c r="AA18" s="252" t="s">
        <v>44</v>
      </c>
      <c r="AB18" s="236" t="s">
        <v>55</v>
      </c>
      <c r="AC18" s="252">
        <v>1</v>
      </c>
      <c r="AD18" s="223" t="s">
        <v>35</v>
      </c>
      <c r="AE18" s="224">
        <v>1</v>
      </c>
      <c r="AF18" s="253">
        <v>1</v>
      </c>
      <c r="AI18" s="6" t="s"/>
      <c r="AJ18" s="91" t="s"/>
      <c r="AK18" s="6" t="s"/>
      <c r="AL18" s="239" t="s">
        <v>20</v>
      </c>
      <c r="AM18" s="240" t="s">
        <v>40</v>
      </c>
      <c r="AN18" s="240">
        <v>1</v>
      </c>
      <c r="AO18" s="241" t="s">
        <v>35</v>
      </c>
      <c r="AP18" s="238">
        <v>2</v>
      </c>
      <c r="AQ18" s="238">
        <v>2</v>
      </c>
    </row>
    <row r="19" spans="1:43">
      <c r="A19" s="76" t="s"/>
      <c r="B19" s="254" t="s">
        <v>70</v>
      </c>
      <c r="C19" s="255" t="s"/>
      <c r="D19" s="256" t="s">
        <v>27</v>
      </c>
      <c r="E19" s="257" t="s">
        <v>27</v>
      </c>
      <c r="F19" s="258" t="s"/>
      <c r="G19" s="113" t="s"/>
      <c r="H19" s="113" t="s"/>
      <c r="I19" s="76" t="s"/>
      <c r="J19" s="259" t="s">
        <v>71</v>
      </c>
      <c r="K19" s="260" t="s">
        <v>20</v>
      </c>
      <c r="L19" s="261" t="s">
        <v>72</v>
      </c>
      <c r="M19" s="262">
        <v>1</v>
      </c>
      <c r="N19" s="263" t="s">
        <v>30</v>
      </c>
      <c r="O19" s="86" t="s"/>
      <c r="P19" s="87" t="s"/>
      <c r="Q19" s="12" t="s"/>
      <c r="R19" s="88" t="s"/>
      <c r="S19" s="212" t="s">
        <v>33</v>
      </c>
      <c r="T19" s="213" t="s">
        <v>73</v>
      </c>
      <c r="U19" s="214">
        <v>1</v>
      </c>
      <c r="V19" s="249" t="s">
        <v>30</v>
      </c>
      <c r="W19" s="250">
        <v>2</v>
      </c>
      <c r="X19" s="251" t="s"/>
      <c r="Y19" s="12" t="s"/>
      <c r="Z19" s="220" t="s"/>
      <c r="AA19" s="252" t="s">
        <v>44</v>
      </c>
      <c r="AB19" s="236" t="s">
        <v>74</v>
      </c>
      <c r="AC19" s="252">
        <v>1</v>
      </c>
      <c r="AD19" s="223" t="s">
        <v>30</v>
      </c>
      <c r="AE19" s="224" t="s"/>
      <c r="AF19" s="253" t="s"/>
      <c r="AI19" s="6" t="s"/>
      <c r="AJ19" s="91" t="s"/>
      <c r="AK19" s="6" t="s"/>
      <c r="AL19" s="239" t="s">
        <v>20</v>
      </c>
      <c r="AM19" s="240" t="s">
        <v>46</v>
      </c>
      <c r="AN19" s="240">
        <v>3</v>
      </c>
      <c r="AO19" s="241" t="s">
        <v>35</v>
      </c>
      <c r="AP19" s="242">
        <v>0</v>
      </c>
      <c r="AQ19" s="242">
        <v>0</v>
      </c>
    </row>
    <row r="20" spans="1:43">
      <c r="A20" s="76" t="s"/>
      <c r="B20" s="264" t="s">
        <v>75</v>
      </c>
      <c r="C20" s="265" t="s"/>
      <c r="D20" s="266" t="s">
        <v>76</v>
      </c>
      <c r="E20" s="267" t="s"/>
      <c r="F20" s="268" t="s"/>
      <c r="G20" s="113" t="s"/>
      <c r="H20" s="113">
        <v>1</v>
      </c>
      <c r="I20" s="76" t="s"/>
      <c r="J20" s="269" t="s">
        <v>71</v>
      </c>
      <c r="K20" s="270" t="s">
        <v>33</v>
      </c>
      <c r="L20" s="271" t="s">
        <v>77</v>
      </c>
      <c r="M20" s="272" t="s"/>
      <c r="N20" s="273" t="s">
        <v>30</v>
      </c>
      <c r="O20" s="274" t="s"/>
      <c r="P20" s="275">
        <v>1</v>
      </c>
      <c r="Q20" s="12" t="s"/>
      <c r="R20" s="276" t="s">
        <v>65</v>
      </c>
      <c r="S20" s="227" t="s">
        <v>20</v>
      </c>
      <c r="T20" s="228" t="s">
        <v>46</v>
      </c>
      <c r="U20" s="229">
        <v>1</v>
      </c>
      <c r="V20" s="277" t="s">
        <v>30</v>
      </c>
      <c r="W20" s="278" t="s"/>
      <c r="X20" s="279">
        <v>1</v>
      </c>
      <c r="Y20" s="12" t="s"/>
      <c r="Z20" s="280" t="s">
        <v>63</v>
      </c>
      <c r="AA20" s="281" t="s">
        <v>20</v>
      </c>
      <c r="AB20" s="282" t="s">
        <v>64</v>
      </c>
      <c r="AC20" s="281">
        <v>1</v>
      </c>
      <c r="AD20" s="283" t="s">
        <v>30</v>
      </c>
      <c r="AE20" s="284" t="s"/>
      <c r="AF20" s="285" t="s"/>
      <c r="AI20" s="6" t="s"/>
      <c r="AJ20" s="91" t="s"/>
      <c r="AK20" s="6" t="s"/>
      <c r="AL20" s="239" t="s">
        <v>20</v>
      </c>
      <c r="AM20" s="240" t="s">
        <v>49</v>
      </c>
      <c r="AN20" s="240">
        <v>2</v>
      </c>
      <c r="AO20" s="241" t="s">
        <v>35</v>
      </c>
      <c r="AP20" s="242">
        <v>0</v>
      </c>
      <c r="AQ20" s="242">
        <v>0</v>
      </c>
    </row>
    <row r="21" spans="1:43">
      <c r="A21" s="286" t="s"/>
      <c r="B21" s="287" t="s">
        <v>71</v>
      </c>
      <c r="C21" s="288" t="s">
        <v>20</v>
      </c>
      <c r="D21" s="289" t="s">
        <v>72</v>
      </c>
      <c r="E21" s="290">
        <v>2</v>
      </c>
      <c r="F21" s="291" t="s">
        <v>35</v>
      </c>
      <c r="G21" s="113" t="s"/>
      <c r="H21" s="113" t="s"/>
      <c r="I21" s="286" t="s"/>
      <c r="J21" s="292" t="s">
        <v>7</v>
      </c>
      <c r="K21" s="293">
        <f>=SUM(M5:M20)</f>
        <v>23</v>
      </c>
      <c r="L21" s="294" t="s"/>
      <c r="M21" s="294" t="s"/>
      <c r="N21" s="295" t="s"/>
      <c r="O21" s="296">
        <f>=SUM(O5:O20)</f>
        <v>6</v>
      </c>
      <c r="P21" s="297">
        <f>=SUM(P5:P20)</f>
        <v>5</v>
      </c>
      <c r="Q21" s="12" t="s"/>
      <c r="R21" s="298" t="s">
        <v>70</v>
      </c>
      <c r="S21" s="299" t="s">
        <v>20</v>
      </c>
      <c r="T21" s="300" t="s">
        <v>78</v>
      </c>
      <c r="U21" s="301">
        <v>1</v>
      </c>
      <c r="V21" s="302" t="s">
        <v>30</v>
      </c>
      <c r="W21" s="303" t="s"/>
      <c r="X21" s="304" t="s"/>
      <c r="Y21" s="12" t="s"/>
      <c r="Z21" s="119" t="s"/>
      <c r="AA21" s="305" t="s">
        <v>20</v>
      </c>
      <c r="AB21" s="282" t="s">
        <v>38</v>
      </c>
      <c r="AC21" s="281">
        <v>1</v>
      </c>
      <c r="AD21" s="283" t="s">
        <v>35</v>
      </c>
      <c r="AE21" s="284">
        <v>2</v>
      </c>
      <c r="AF21" s="285">
        <v>1</v>
      </c>
      <c r="AI21" s="6" t="s"/>
      <c r="AJ21" s="306" t="s">
        <v>50</v>
      </c>
      <c r="AK21" s="307">
        <f>=SUM(AN21:AN26)</f>
        <v>22</v>
      </c>
      <c r="AL21" s="308" t="s">
        <v>20</v>
      </c>
      <c r="AM21" s="308" t="s">
        <v>57</v>
      </c>
      <c r="AN21" s="308">
        <v>6</v>
      </c>
      <c r="AO21" s="309" t="s">
        <v>35</v>
      </c>
      <c r="AP21" s="307">
        <v>2</v>
      </c>
      <c r="AQ21" s="307">
        <v>2</v>
      </c>
    </row>
    <row r="22" spans="1:43">
      <c r="A22" s="286" t="s"/>
      <c r="B22" s="287" t="s"/>
      <c r="C22" s="288" t="s">
        <v>20</v>
      </c>
      <c r="D22" s="289" t="s">
        <v>79</v>
      </c>
      <c r="E22" s="290">
        <v>1</v>
      </c>
      <c r="F22" s="291" t="s">
        <v>30</v>
      </c>
      <c r="G22" s="113" t="s"/>
      <c r="H22" s="113" t="s"/>
      <c r="I22" s="286" t="s"/>
      <c r="J22" s="310" t="s"/>
      <c r="K22" s="286" t="s"/>
      <c r="L22" s="286" t="s"/>
      <c r="M22" s="286" t="s"/>
      <c r="N22" s="286" t="s"/>
      <c r="O22" s="286" t="s"/>
      <c r="P22" s="286" t="s"/>
      <c r="Q22" s="12" t="s"/>
      <c r="R22" s="298" t="s"/>
      <c r="S22" s="299" t="s"/>
      <c r="T22" s="300" t="s"/>
      <c r="U22" s="301" t="s"/>
      <c r="V22" s="302" t="s"/>
      <c r="W22" s="303" t="s"/>
      <c r="X22" s="304" t="s"/>
      <c r="Y22" s="12" t="s"/>
      <c r="Z22" s="311" t="s"/>
      <c r="AA22" s="305" t="s"/>
      <c r="AB22" s="282" t="s"/>
      <c r="AC22" s="281" t="s"/>
      <c r="AD22" s="283" t="s"/>
      <c r="AE22" s="284" t="s"/>
      <c r="AF22" s="285" t="s"/>
      <c r="AI22" s="42" t="s"/>
      <c r="AJ22" s="312" t="s"/>
      <c r="AK22" s="313" t="s"/>
      <c r="AL22" s="308" t="s"/>
      <c r="AM22" s="308" t="s"/>
      <c r="AN22" s="308" t="s"/>
      <c r="AO22" s="309" t="s"/>
      <c r="AP22" s="307" t="s"/>
      <c r="AQ22" s="307" t="s"/>
    </row>
    <row r="23" spans="1:43">
      <c r="A23" s="314" t="s"/>
      <c r="B23" s="199" t="s"/>
      <c r="C23" s="288" t="s">
        <v>44</v>
      </c>
      <c r="D23" s="289" t="s">
        <v>80</v>
      </c>
      <c r="E23" s="315">
        <v>1</v>
      </c>
      <c r="F23" s="316" t="s">
        <v>30</v>
      </c>
      <c r="G23" s="317" t="s"/>
      <c r="H23" s="113" t="s"/>
      <c r="I23" s="314" t="s"/>
      <c r="J23" s="4" t="s"/>
      <c r="K23" s="4" t="s"/>
      <c r="L23" s="4" t="s"/>
      <c r="M23" s="4" t="s"/>
      <c r="N23" s="4" t="s"/>
      <c r="O23" s="12" t="s"/>
      <c r="P23" s="12" t="s"/>
      <c r="Q23" s="12" t="s"/>
      <c r="R23" s="318" t="s"/>
      <c r="S23" s="319" t="s">
        <v>20</v>
      </c>
      <c r="T23" s="256" t="s">
        <v>81</v>
      </c>
      <c r="U23" s="257">
        <v>1</v>
      </c>
      <c r="V23" s="320" t="s">
        <v>35</v>
      </c>
      <c r="W23" s="321" t="s"/>
      <c r="X23" s="304" t="s"/>
      <c r="Y23" s="38" t="s"/>
      <c r="Z23" s="322" t="s">
        <v>65</v>
      </c>
      <c r="AA23" s="323" t="s">
        <v>20</v>
      </c>
      <c r="AB23" s="324" t="s">
        <v>60</v>
      </c>
      <c r="AC23" s="323">
        <v>3</v>
      </c>
      <c r="AD23" s="325" t="s">
        <v>30</v>
      </c>
      <c r="AE23" s="326">
        <v>2</v>
      </c>
      <c r="AF23" s="327" t="s"/>
      <c r="AI23" s="6" t="s"/>
      <c r="AJ23" s="91" t="s"/>
      <c r="AK23" s="6" t="s"/>
      <c r="AL23" s="308" t="s">
        <v>20</v>
      </c>
      <c r="AM23" s="308" t="s">
        <v>82</v>
      </c>
      <c r="AN23" s="308">
        <v>6</v>
      </c>
      <c r="AO23" s="309" t="s">
        <v>35</v>
      </c>
      <c r="AP23" s="307">
        <v>3</v>
      </c>
      <c r="AQ23" s="307">
        <v>3</v>
      </c>
    </row>
    <row r="24" spans="1:43">
      <c r="A24" s="314" t="s"/>
      <c r="B24" s="328" t="s"/>
      <c r="C24" s="329" t="s">
        <v>44</v>
      </c>
      <c r="D24" s="330" t="s">
        <v>83</v>
      </c>
      <c r="E24" s="331">
        <v>1</v>
      </c>
      <c r="F24" s="332" t="s">
        <v>30</v>
      </c>
      <c r="G24" s="333" t="s"/>
      <c r="H24" s="334" t="s"/>
      <c r="I24" s="314" t="s"/>
      <c r="J24" s="4" t="s"/>
      <c r="K24" s="4" t="s"/>
      <c r="L24" s="4" t="s"/>
      <c r="M24" s="4" t="s"/>
      <c r="N24" s="4" t="s"/>
      <c r="O24" s="12" t="s"/>
      <c r="P24" s="12" t="s"/>
      <c r="Q24" s="12" t="s"/>
      <c r="R24" s="335" t="s">
        <v>71</v>
      </c>
      <c r="S24" s="288" t="s">
        <v>33</v>
      </c>
      <c r="T24" s="289" t="s">
        <v>72</v>
      </c>
      <c r="U24" s="290">
        <v>1</v>
      </c>
      <c r="V24" s="336" t="s">
        <v>30</v>
      </c>
      <c r="W24" s="337" t="s"/>
      <c r="X24" s="338" t="s"/>
      <c r="Y24" s="12" t="s"/>
      <c r="Z24" s="339" t="s">
        <v>71</v>
      </c>
      <c r="AA24" s="340" t="s">
        <v>44</v>
      </c>
      <c r="AB24" s="341" t="s">
        <v>84</v>
      </c>
      <c r="AC24" s="342">
        <v>1</v>
      </c>
      <c r="AD24" s="343" t="s">
        <v>30</v>
      </c>
      <c r="AE24" s="344" t="s"/>
      <c r="AF24" s="345" t="s"/>
      <c r="AI24" s="6" t="s"/>
      <c r="AJ24" s="91" t="s"/>
      <c r="AK24" s="6" t="s"/>
      <c r="AL24" s="308" t="s">
        <v>20</v>
      </c>
      <c r="AM24" s="308" t="s">
        <v>85</v>
      </c>
      <c r="AN24" s="308">
        <v>6</v>
      </c>
      <c r="AO24" s="309" t="s">
        <v>35</v>
      </c>
      <c r="AP24" s="307">
        <v>9</v>
      </c>
      <c r="AQ24" s="307">
        <v>8</v>
      </c>
    </row>
    <row r="25" spans="1:43">
      <c r="A25" s="76" t="s"/>
      <c r="B25" s="346" t="s">
        <v>86</v>
      </c>
      <c r="C25" s="347" t="s"/>
      <c r="D25" s="347" t="s"/>
      <c r="E25" s="347">
        <f>=SUM(E6:E24)</f>
        <v>31</v>
      </c>
      <c r="F25" s="347" t="s"/>
      <c r="G25" s="347">
        <f>=SUM(G6:G24)</f>
        <v>4</v>
      </c>
      <c r="H25" s="347">
        <f>=SUM(H6:H24)</f>
        <v>11</v>
      </c>
      <c r="I25" s="76" t="s"/>
      <c r="J25" s="26" t="s">
        <v>14</v>
      </c>
      <c r="K25" s="27" t="s"/>
      <c r="L25" s="28" t="s"/>
      <c r="M25" s="28" t="s"/>
      <c r="N25" s="29" t="s"/>
      <c r="O25" s="52" t="s">
        <v>87</v>
      </c>
      <c r="P25" s="53" t="s"/>
      <c r="Q25" s="12" t="s"/>
      <c r="R25" s="348" t="s"/>
      <c r="S25" s="288" t="s">
        <v>20</v>
      </c>
      <c r="T25" s="289" t="s">
        <v>80</v>
      </c>
      <c r="U25" s="290">
        <v>1</v>
      </c>
      <c r="V25" s="336" t="s">
        <v>30</v>
      </c>
      <c r="W25" s="337" t="s"/>
      <c r="X25" s="338" t="s"/>
      <c r="Y25" s="12" t="s"/>
      <c r="Z25" s="119" t="s"/>
      <c r="AA25" s="340" t="s">
        <v>20</v>
      </c>
      <c r="AB25" s="341" t="s">
        <v>72</v>
      </c>
      <c r="AC25" s="342">
        <v>1</v>
      </c>
      <c r="AD25" s="343" t="s">
        <v>30</v>
      </c>
      <c r="AE25" s="344" t="s"/>
      <c r="AF25" s="345" t="s"/>
      <c r="AI25" s="6" t="s"/>
      <c r="AJ25" s="91" t="s"/>
      <c r="AK25" s="6" t="s"/>
      <c r="AL25" s="308" t="s">
        <v>20</v>
      </c>
      <c r="AM25" s="308" t="s">
        <v>88</v>
      </c>
      <c r="AN25" s="308">
        <v>3</v>
      </c>
      <c r="AO25" s="309" t="s">
        <v>22</v>
      </c>
      <c r="AP25" s="307">
        <v>1</v>
      </c>
      <c r="AQ25" s="307">
        <v>1</v>
      </c>
    </row>
    <row r="26" spans="1:43">
      <c r="A26" s="349" t="s"/>
      <c r="B26" s="26" t="s">
        <v>23</v>
      </c>
      <c r="C26" s="27" t="s"/>
      <c r="D26" s="49" t="s"/>
      <c r="E26" s="49" t="s"/>
      <c r="F26" s="350" t="s"/>
      <c r="G26" s="30" t="s">
        <v>89</v>
      </c>
      <c r="H26" s="351" t="s"/>
      <c r="I26" s="349" t="s"/>
      <c r="J26" s="352" t="s"/>
      <c r="K26" s="353" t="s"/>
      <c r="L26" s="354" t="s">
        <v>9</v>
      </c>
      <c r="M26" s="354" t="s">
        <v>10</v>
      </c>
      <c r="N26" s="355" t="s">
        <v>11</v>
      </c>
      <c r="O26" s="356" t="s">
        <v>16</v>
      </c>
      <c r="P26" s="357" t="s">
        <v>17</v>
      </c>
      <c r="Q26" s="12" t="s"/>
      <c r="R26" s="348" t="s"/>
      <c r="S26" s="288" t="s">
        <v>20</v>
      </c>
      <c r="T26" s="289" t="s">
        <v>83</v>
      </c>
      <c r="U26" s="290">
        <v>1</v>
      </c>
      <c r="V26" s="336" t="s">
        <v>30</v>
      </c>
      <c r="W26" s="337" t="s"/>
      <c r="X26" s="338" t="s"/>
      <c r="Y26" s="12" t="s"/>
      <c r="Z26" s="119" t="s"/>
      <c r="AA26" s="340" t="s">
        <v>20</v>
      </c>
      <c r="AB26" s="358" t="s">
        <v>90</v>
      </c>
      <c r="AC26" s="359">
        <v>1</v>
      </c>
      <c r="AD26" s="360" t="s">
        <v>30</v>
      </c>
      <c r="AE26" s="344">
        <v>1</v>
      </c>
      <c r="AF26" s="345" t="s"/>
      <c r="AI26" s="6" t="s"/>
      <c r="AJ26" s="91" t="s"/>
      <c r="AK26" s="6" t="s"/>
      <c r="AL26" s="308" t="s">
        <v>91</v>
      </c>
      <c r="AM26" s="361" t="s">
        <v>92</v>
      </c>
      <c r="AN26" s="308">
        <v>1</v>
      </c>
      <c r="AO26" s="309" t="s">
        <v>30</v>
      </c>
      <c r="AP26" s="307">
        <v>1</v>
      </c>
      <c r="AQ26" s="362">
        <v>0</v>
      </c>
    </row>
    <row r="27" spans="1:43">
      <c r="A27" s="12" t="s"/>
      <c r="B27" s="363" t="s">
        <v>6</v>
      </c>
      <c r="C27" s="34" t="s">
        <v>26</v>
      </c>
      <c r="D27" s="354" t="s">
        <v>9</v>
      </c>
      <c r="E27" s="354" t="s">
        <v>10</v>
      </c>
      <c r="F27" s="355" t="s">
        <v>11</v>
      </c>
      <c r="G27" s="364" t="s">
        <v>16</v>
      </c>
      <c r="H27" s="365" t="s">
        <v>17</v>
      </c>
      <c r="I27" s="12" t="s"/>
      <c r="J27" s="366" t="s">
        <v>19</v>
      </c>
      <c r="K27" s="367" t="s">
        <v>25</v>
      </c>
      <c r="L27" s="368" t="s">
        <v>93</v>
      </c>
      <c r="M27" s="369">
        <v>5</v>
      </c>
      <c r="N27" s="369" t="s">
        <v>35</v>
      </c>
      <c r="O27" s="86" t="s"/>
      <c r="P27" s="87" t="s"/>
      <c r="Q27" s="76" t="s"/>
      <c r="R27" s="370" t="s"/>
      <c r="S27" s="371" t="s">
        <v>33</v>
      </c>
      <c r="T27" s="372" t="s">
        <v>94</v>
      </c>
      <c r="U27" s="373">
        <v>1</v>
      </c>
      <c r="V27" s="374" t="s">
        <v>30</v>
      </c>
      <c r="W27" s="375" t="s"/>
      <c r="X27" s="376">
        <v>1</v>
      </c>
      <c r="Y27" s="12" t="s"/>
      <c r="Z27" s="377" t="s"/>
      <c r="AA27" s="378" t="s">
        <v>20</v>
      </c>
      <c r="AB27" s="379" t="s">
        <v>83</v>
      </c>
      <c r="AC27" s="380">
        <v>3</v>
      </c>
      <c r="AD27" s="381" t="s">
        <v>30</v>
      </c>
      <c r="AE27" s="382">
        <v>1</v>
      </c>
      <c r="AF27" s="383">
        <v>1</v>
      </c>
      <c r="AI27" s="42" t="s">
        <v>95</v>
      </c>
      <c r="AJ27" s="384" t="s">
        <v>54</v>
      </c>
      <c r="AK27" s="385">
        <f>=SUM(AN27:AN31)</f>
        <v>10</v>
      </c>
      <c r="AL27" s="386" t="s">
        <v>20</v>
      </c>
      <c r="AM27" s="387" t="s">
        <v>57</v>
      </c>
      <c r="AN27" s="386">
        <v>7</v>
      </c>
      <c r="AO27" s="388" t="s">
        <v>35</v>
      </c>
      <c r="AP27" s="385">
        <v>12</v>
      </c>
      <c r="AQ27" s="385">
        <v>12</v>
      </c>
    </row>
    <row r="28" spans="1:43">
      <c r="A28" s="12" t="s"/>
      <c r="B28" s="389" t="s">
        <v>19</v>
      </c>
      <c r="C28" s="61" t="s">
        <v>20</v>
      </c>
      <c r="D28" s="62" t="s">
        <v>31</v>
      </c>
      <c r="E28" s="63">
        <v>10</v>
      </c>
      <c r="F28" s="112" t="s">
        <v>22</v>
      </c>
      <c r="G28" s="113">
        <v>5</v>
      </c>
      <c r="H28" s="113">
        <v>5</v>
      </c>
      <c r="I28" s="12" t="s"/>
      <c r="J28" s="390" t="s"/>
      <c r="K28" s="391" t="s">
        <v>25</v>
      </c>
      <c r="L28" s="392" t="s">
        <v>96</v>
      </c>
      <c r="M28" s="393" t="s"/>
      <c r="N28" s="393" t="s">
        <v>35</v>
      </c>
      <c r="O28" s="394" t="s"/>
      <c r="P28" s="395">
        <v>1</v>
      </c>
      <c r="Q28" s="349" t="s"/>
      <c r="R28" s="396" t="s">
        <v>7</v>
      </c>
      <c r="S28" s="397">
        <f>=SUM(U5:U30)</f>
        <v>52</v>
      </c>
      <c r="T28" s="398" t="s"/>
      <c r="U28" s="398" t="s"/>
      <c r="V28" s="399" t="s"/>
      <c r="W28" s="400">
        <f>=SUM(W4:W27)</f>
        <v>25</v>
      </c>
      <c r="X28" s="400">
        <f>=SUM(X4:X27)</f>
        <v>5</v>
      </c>
      <c r="Y28" s="38" t="s"/>
      <c r="Z28" s="401" t="s">
        <v>7</v>
      </c>
      <c r="AA28" s="402">
        <f>=SUM(AC5:AC27)</f>
        <v>48</v>
      </c>
      <c r="AB28" s="403" t="s"/>
      <c r="AC28" s="403" t="s"/>
      <c r="AD28" s="403" t="s"/>
      <c r="AE28" s="404">
        <f>=SUM(AE5:AE27)</f>
        <v>45</v>
      </c>
      <c r="AF28" s="405">
        <f>=SUM(AF5:AF27)</f>
        <v>20</v>
      </c>
      <c r="AI28" s="6" t="s"/>
      <c r="AJ28" s="91" t="s"/>
      <c r="AK28" s="6" t="s"/>
      <c r="AL28" s="386" t="s">
        <v>20</v>
      </c>
      <c r="AM28" s="387" t="s">
        <v>55</v>
      </c>
      <c r="AN28" s="386">
        <v>3</v>
      </c>
      <c r="AO28" s="388" t="s">
        <v>35</v>
      </c>
      <c r="AP28" s="385">
        <v>4</v>
      </c>
      <c r="AQ28" s="385">
        <v>4</v>
      </c>
    </row>
    <row r="29" spans="1:43">
      <c r="A29" s="7" t="s"/>
      <c r="B29" s="406" t="s"/>
      <c r="C29" s="68" t="s">
        <v>25</v>
      </c>
      <c r="D29" s="62" t="s">
        <v>66</v>
      </c>
      <c r="E29" s="95" t="s"/>
      <c r="F29" s="96" t="s">
        <v>22</v>
      </c>
      <c r="G29" s="407">
        <v>13</v>
      </c>
      <c r="H29" s="407">
        <v>2</v>
      </c>
      <c r="I29" s="7" t="s"/>
      <c r="J29" s="408" t="s">
        <v>32</v>
      </c>
      <c r="K29" s="99" t="s">
        <v>33</v>
      </c>
      <c r="L29" s="100" t="s">
        <v>34</v>
      </c>
      <c r="M29" s="101">
        <v>2</v>
      </c>
      <c r="N29" s="102" t="s">
        <v>35</v>
      </c>
      <c r="O29" s="86">
        <v>3</v>
      </c>
      <c r="P29" s="409">
        <v>2</v>
      </c>
      <c r="Y29" s="314" t="s"/>
      <c r="AA29" s="410" t="s"/>
      <c r="AI29" s="6" t="s"/>
      <c r="AJ29" s="91" t="s"/>
      <c r="AK29" s="6" t="s"/>
      <c r="AL29" s="386" t="s">
        <v>97</v>
      </c>
      <c r="AM29" s="411" t="s">
        <v>68</v>
      </c>
      <c r="AN29" s="412" t="s"/>
      <c r="AO29" s="413" t="s"/>
      <c r="AP29" s="385">
        <v>1</v>
      </c>
      <c r="AQ29" s="385">
        <v>1</v>
      </c>
    </row>
    <row r="30" spans="1:43">
      <c r="A30" s="48" t="s"/>
      <c r="B30" s="406" t="s"/>
      <c r="C30" s="61" t="s">
        <v>33</v>
      </c>
      <c r="D30" s="62" t="s">
        <v>38</v>
      </c>
      <c r="E30" s="63" t="s"/>
      <c r="F30" s="112" t="s"/>
      <c r="G30" s="113" t="s"/>
      <c r="H30" s="113">
        <v>3</v>
      </c>
      <c r="I30" s="48" t="s"/>
      <c r="J30" s="414" t="s">
        <v>39</v>
      </c>
      <c r="K30" s="115" t="s">
        <v>20</v>
      </c>
      <c r="L30" s="116" t="s">
        <v>40</v>
      </c>
      <c r="M30" s="116">
        <v>3</v>
      </c>
      <c r="N30" s="117" t="s">
        <v>30</v>
      </c>
      <c r="O30" s="86">
        <v>1</v>
      </c>
      <c r="P30" s="409" t="s"/>
      <c r="Y30" s="314" t="s"/>
      <c r="AA30" s="410" t="s"/>
      <c r="AI30" s="6" t="s"/>
      <c r="AJ30" s="91" t="s"/>
      <c r="AK30" s="6" t="s"/>
      <c r="AL30" s="386" t="s">
        <v>97</v>
      </c>
      <c r="AM30" s="411" t="s">
        <v>98</v>
      </c>
      <c r="AN30" s="412" t="s"/>
      <c r="AO30" s="413" t="s"/>
      <c r="AP30" s="385">
        <v>1</v>
      </c>
      <c r="AQ30" s="385">
        <v>1</v>
      </c>
    </row>
    <row r="31" spans="1:43">
      <c r="A31" s="76" t="s"/>
      <c r="B31" s="415" t="s"/>
      <c r="C31" s="61" t="s">
        <v>33</v>
      </c>
      <c r="D31" s="62" t="s">
        <v>43</v>
      </c>
      <c r="E31" s="63" t="s"/>
      <c r="F31" s="112" t="s"/>
      <c r="G31" s="113" t="s"/>
      <c r="H31" s="113">
        <v>1</v>
      </c>
      <c r="I31" s="76" t="s"/>
      <c r="J31" s="416" t="s"/>
      <c r="K31" s="115" t="s">
        <v>20</v>
      </c>
      <c r="L31" s="116" t="s">
        <v>46</v>
      </c>
      <c r="M31" s="116">
        <v>1</v>
      </c>
      <c r="N31" s="117" t="s">
        <v>30</v>
      </c>
      <c r="O31" s="86">
        <v>1</v>
      </c>
      <c r="P31" s="87">
        <v>1</v>
      </c>
      <c r="Q31" s="7" t="s"/>
      <c r="R31" s="17" t="s">
        <v>2</v>
      </c>
      <c r="S31" s="417" t="s"/>
      <c r="T31" s="417" t="s"/>
      <c r="U31" s="417" t="s"/>
      <c r="V31" s="418" t="s"/>
      <c r="W31" s="419" t="s">
        <v>99</v>
      </c>
      <c r="X31" s="15" t="s"/>
      <c r="Y31" s="12" t="s"/>
      <c r="Z31" s="17" t="s">
        <v>4</v>
      </c>
      <c r="AA31" s="420" t="s"/>
      <c r="AB31" s="14" t="s"/>
      <c r="AC31" s="14" t="s"/>
      <c r="AD31" s="19" t="s"/>
      <c r="AE31" s="421" t="s">
        <v>5</v>
      </c>
      <c r="AF31" s="422" t="s"/>
      <c r="AI31" s="6" t="s"/>
      <c r="AJ31" s="91" t="s"/>
      <c r="AK31" s="6" t="s"/>
      <c r="AL31" s="386" t="s">
        <v>97</v>
      </c>
      <c r="AM31" s="411" t="s">
        <v>58</v>
      </c>
      <c r="AN31" s="412" t="s"/>
      <c r="AO31" s="413" t="s"/>
      <c r="AP31" s="385">
        <v>1</v>
      </c>
      <c r="AQ31" s="385">
        <v>1</v>
      </c>
    </row>
    <row r="32" spans="1:43">
      <c r="A32" s="76" t="s"/>
      <c r="B32" s="153" t="s">
        <v>39</v>
      </c>
      <c r="C32" s="423" t="s">
        <v>20</v>
      </c>
      <c r="D32" s="129" t="s">
        <v>40</v>
      </c>
      <c r="E32" s="129">
        <v>2</v>
      </c>
      <c r="F32" s="154" t="s">
        <v>30</v>
      </c>
      <c r="G32" s="113" t="s"/>
      <c r="H32" s="113">
        <v>1</v>
      </c>
      <c r="I32" s="76" t="s"/>
      <c r="J32" s="424" t="s"/>
      <c r="K32" s="425" t="s">
        <v>25</v>
      </c>
      <c r="L32" s="426" t="s">
        <v>49</v>
      </c>
      <c r="M32" s="426" t="s"/>
      <c r="N32" s="427" t="s"/>
      <c r="O32" s="428">
        <v>1</v>
      </c>
      <c r="P32" s="87">
        <v>1</v>
      </c>
      <c r="Q32" s="48" t="s"/>
      <c r="R32" s="32" t="s"/>
      <c r="S32" s="33" t="s"/>
      <c r="T32" s="34" t="s">
        <v>9</v>
      </c>
      <c r="U32" s="34" t="s">
        <v>10</v>
      </c>
      <c r="V32" s="35" t="s">
        <v>11</v>
      </c>
      <c r="W32" s="36" t="s">
        <v>16</v>
      </c>
      <c r="X32" s="37" t="s">
        <v>17</v>
      </c>
      <c r="Y32" s="38" t="s"/>
      <c r="Z32" s="32" t="s"/>
      <c r="AA32" s="429" t="s">
        <v>8</v>
      </c>
      <c r="AB32" s="34" t="s">
        <v>9</v>
      </c>
      <c r="AC32" s="34" t="s">
        <v>10</v>
      </c>
      <c r="AD32" s="39" t="s">
        <v>11</v>
      </c>
      <c r="AE32" s="430" t="s">
        <v>16</v>
      </c>
      <c r="AF32" s="431" t="s">
        <v>17</v>
      </c>
      <c r="AI32" s="6" t="s"/>
      <c r="AJ32" s="432" t="s">
        <v>63</v>
      </c>
      <c r="AK32" s="433">
        <f>=SUM(AN32)</f>
        <v>1</v>
      </c>
      <c r="AL32" s="434" t="s">
        <v>47</v>
      </c>
      <c r="AM32" s="435" t="s">
        <v>100</v>
      </c>
      <c r="AN32" s="434">
        <v>1</v>
      </c>
      <c r="AO32" s="436" t="s">
        <v>30</v>
      </c>
      <c r="AP32" s="433">
        <v>2</v>
      </c>
      <c r="AQ32" s="433">
        <v>1</v>
      </c>
    </row>
    <row r="33" spans="1:43">
      <c r="A33" s="437" t="s"/>
      <c r="B33" s="173" t="s">
        <v>54</v>
      </c>
      <c r="C33" s="174" t="s">
        <v>20</v>
      </c>
      <c r="D33" s="175" t="s">
        <v>57</v>
      </c>
      <c r="E33" s="176">
        <v>4</v>
      </c>
      <c r="F33" s="177" t="s">
        <v>35</v>
      </c>
      <c r="G33" s="113">
        <v>1</v>
      </c>
      <c r="H33" s="113">
        <v>2</v>
      </c>
      <c r="I33" s="437" t="s"/>
      <c r="J33" s="438" t="s">
        <v>50</v>
      </c>
      <c r="K33" s="147" t="s">
        <v>20</v>
      </c>
      <c r="L33" s="148" t="s">
        <v>51</v>
      </c>
      <c r="M33" s="148">
        <v>2</v>
      </c>
      <c r="N33" s="149" t="s">
        <v>35</v>
      </c>
      <c r="O33" s="86">
        <v>2</v>
      </c>
      <c r="P33" s="87" t="s"/>
      <c r="Q33" s="437" t="s"/>
      <c r="R33" s="439" t="s">
        <v>19</v>
      </c>
      <c r="S33" s="68" t="s">
        <v>47</v>
      </c>
      <c r="T33" s="62" t="s">
        <v>66</v>
      </c>
      <c r="U33" s="95" t="s"/>
      <c r="V33" s="440" t="s"/>
      <c r="W33" s="441" t="s"/>
      <c r="X33" s="89">
        <v>1</v>
      </c>
      <c r="Y33" s="12" t="s"/>
      <c r="Z33" s="90" t="s">
        <v>19</v>
      </c>
      <c r="AA33" s="442" t="s">
        <v>20</v>
      </c>
      <c r="AB33" s="69" t="s">
        <v>29</v>
      </c>
      <c r="AC33" s="70">
        <v>4</v>
      </c>
      <c r="AD33" s="71" t="s">
        <v>30</v>
      </c>
      <c r="AE33" s="443">
        <v>4</v>
      </c>
      <c r="AF33" s="444">
        <v>3</v>
      </c>
      <c r="AI33" s="445" t="s">
        <v>101</v>
      </c>
      <c r="AJ33" s="446" t="s">
        <v>71</v>
      </c>
      <c r="AK33" s="447">
        <f>=SUM(AN33:AN39)</f>
        <v>7</v>
      </c>
      <c r="AL33" s="448" t="s">
        <v>91</v>
      </c>
      <c r="AM33" s="449" t="s">
        <v>102</v>
      </c>
      <c r="AN33" s="448">
        <v>1</v>
      </c>
      <c r="AO33" s="450" t="s">
        <v>30</v>
      </c>
      <c r="AP33" s="451">
        <v>2</v>
      </c>
      <c r="AQ33" s="451">
        <v>1</v>
      </c>
    </row>
    <row r="34" spans="1:43">
      <c r="A34" s="452" t="s"/>
      <c r="B34" s="211" t="s">
        <v>63</v>
      </c>
      <c r="C34" s="212" t="s">
        <v>44</v>
      </c>
      <c r="D34" s="213" t="s">
        <v>38</v>
      </c>
      <c r="E34" s="214">
        <v>1</v>
      </c>
      <c r="F34" s="215" t="s">
        <v>30</v>
      </c>
      <c r="G34" s="113" t="s"/>
      <c r="H34" s="113" t="s"/>
      <c r="I34" s="76" t="s"/>
      <c r="J34" s="453" t="s">
        <v>54</v>
      </c>
      <c r="K34" s="162" t="s">
        <v>20</v>
      </c>
      <c r="L34" s="163" t="s">
        <v>55</v>
      </c>
      <c r="M34" s="164">
        <v>4</v>
      </c>
      <c r="N34" s="165" t="s">
        <v>35</v>
      </c>
      <c r="O34" s="86">
        <v>2</v>
      </c>
      <c r="P34" s="87">
        <v>1</v>
      </c>
      <c r="Q34" s="76" t="s"/>
      <c r="R34" s="219" t="s"/>
      <c r="S34" s="68" t="s">
        <v>25</v>
      </c>
      <c r="T34" s="94" t="s">
        <v>21</v>
      </c>
      <c r="U34" s="95" t="s"/>
      <c r="V34" s="440" t="s"/>
      <c r="W34" s="441">
        <v>7</v>
      </c>
      <c r="X34" s="89">
        <v>5</v>
      </c>
      <c r="Y34" s="12" t="s"/>
      <c r="Z34" s="90" t="s"/>
      <c r="AA34" s="442" t="s">
        <v>25</v>
      </c>
      <c r="AB34" s="69" t="s">
        <v>36</v>
      </c>
      <c r="AC34" s="68" t="s"/>
      <c r="AD34" s="110" t="s">
        <v>30</v>
      </c>
      <c r="AE34" s="443">
        <v>1</v>
      </c>
      <c r="AF34" s="444" t="s"/>
      <c r="AI34" s="454" t="s"/>
      <c r="AJ34" s="455" t="s"/>
      <c r="AK34" s="454" t="s"/>
      <c r="AL34" s="448" t="s">
        <v>20</v>
      </c>
      <c r="AM34" s="449" t="s">
        <v>72</v>
      </c>
      <c r="AN34" s="448">
        <v>2</v>
      </c>
      <c r="AO34" s="450" t="s">
        <v>30</v>
      </c>
      <c r="AP34" s="451">
        <v>1</v>
      </c>
      <c r="AQ34" s="451">
        <v>1</v>
      </c>
    </row>
    <row r="35" spans="1:43">
      <c r="A35" s="452" t="s"/>
      <c r="B35" s="226" t="s">
        <v>65</v>
      </c>
      <c r="C35" s="227" t="s">
        <v>20</v>
      </c>
      <c r="D35" s="228" t="s">
        <v>66</v>
      </c>
      <c r="E35" s="229">
        <v>1</v>
      </c>
      <c r="F35" s="230" t="s">
        <v>30</v>
      </c>
      <c r="G35" s="113">
        <v>1</v>
      </c>
      <c r="H35" s="113">
        <v>1</v>
      </c>
      <c r="I35" s="76" t="s"/>
      <c r="J35" s="424" t="s"/>
      <c r="K35" s="162" t="s">
        <v>25</v>
      </c>
      <c r="L35" s="163" t="s">
        <v>58</v>
      </c>
      <c r="M35" s="164" t="s"/>
      <c r="N35" s="165" t="s">
        <v>30</v>
      </c>
      <c r="O35" s="86">
        <v>2</v>
      </c>
      <c r="P35" s="87">
        <v>1</v>
      </c>
      <c r="Q35" s="76" t="s"/>
      <c r="R35" s="88" t="s"/>
      <c r="S35" s="61" t="s">
        <v>20</v>
      </c>
      <c r="T35" s="62" t="s">
        <v>28</v>
      </c>
      <c r="U35" s="63">
        <v>15</v>
      </c>
      <c r="V35" s="64" t="s">
        <v>22</v>
      </c>
      <c r="W35" s="65">
        <v>16</v>
      </c>
      <c r="X35" s="89">
        <v>16</v>
      </c>
      <c r="Y35" s="12" t="s"/>
      <c r="Z35" s="119" t="s"/>
      <c r="AA35" s="442" t="s">
        <v>20</v>
      </c>
      <c r="AB35" s="69" t="s">
        <v>42</v>
      </c>
      <c r="AC35" s="68">
        <v>10</v>
      </c>
      <c r="AD35" s="110" t="s">
        <v>22</v>
      </c>
      <c r="AE35" s="443">
        <v>26</v>
      </c>
      <c r="AF35" s="444">
        <v>17</v>
      </c>
      <c r="AI35" s="454" t="s"/>
      <c r="AJ35" s="455" t="s"/>
      <c r="AK35" s="454" t="s"/>
      <c r="AL35" s="448" t="s">
        <v>97</v>
      </c>
      <c r="AM35" s="456" t="s">
        <v>103</v>
      </c>
      <c r="AN35" s="457" t="s"/>
      <c r="AO35" s="458" t="s"/>
      <c r="AP35" s="451">
        <v>1</v>
      </c>
      <c r="AQ35" s="451">
        <v>1</v>
      </c>
    </row>
    <row r="36" spans="1:43">
      <c r="A36" s="452" t="s"/>
      <c r="B36" s="264" t="s">
        <v>75</v>
      </c>
      <c r="C36" s="265" t="s">
        <v>33</v>
      </c>
      <c r="D36" s="266" t="s">
        <v>76</v>
      </c>
      <c r="E36" s="267" t="s"/>
      <c r="F36" s="268" t="s"/>
      <c r="G36" s="113" t="s"/>
      <c r="H36" s="113">
        <v>1</v>
      </c>
      <c r="I36" s="76" t="s"/>
      <c r="J36" s="459" t="s"/>
      <c r="K36" s="162" t="s">
        <v>20</v>
      </c>
      <c r="L36" s="163" t="s">
        <v>57</v>
      </c>
      <c r="M36" s="164">
        <v>8</v>
      </c>
      <c r="N36" s="165" t="s">
        <v>35</v>
      </c>
      <c r="O36" s="86">
        <v>2</v>
      </c>
      <c r="P36" s="193">
        <v>2</v>
      </c>
      <c r="Q36" s="76" t="s"/>
      <c r="R36" s="460" t="s">
        <v>32</v>
      </c>
      <c r="S36" s="104" t="s">
        <v>20</v>
      </c>
      <c r="T36" s="124" t="s">
        <v>34</v>
      </c>
      <c r="U36" s="106">
        <v>1</v>
      </c>
      <c r="V36" s="107" t="s">
        <v>35</v>
      </c>
      <c r="W36" s="108" t="s"/>
      <c r="X36" s="109" t="s"/>
      <c r="Y36" s="12" t="s"/>
      <c r="Z36" s="461" t="s">
        <v>32</v>
      </c>
      <c r="AA36" s="462" t="s">
        <v>44</v>
      </c>
      <c r="AB36" s="135" t="s">
        <v>34</v>
      </c>
      <c r="AC36" s="134">
        <v>3</v>
      </c>
      <c r="AD36" s="136" t="s">
        <v>35</v>
      </c>
      <c r="AE36" s="463" t="s"/>
      <c r="AF36" s="464" t="s"/>
      <c r="AI36" s="454" t="s"/>
      <c r="AJ36" s="455" t="s"/>
      <c r="AK36" s="454" t="s"/>
      <c r="AL36" s="448" t="s">
        <v>20</v>
      </c>
      <c r="AM36" s="449" t="s">
        <v>80</v>
      </c>
      <c r="AN36" s="448">
        <v>1</v>
      </c>
      <c r="AO36" s="450" t="s">
        <v>30</v>
      </c>
      <c r="AP36" s="465">
        <v>0</v>
      </c>
      <c r="AQ36" s="465">
        <v>0</v>
      </c>
    </row>
    <row r="37" spans="1:43">
      <c r="A37" s="452" t="s"/>
      <c r="B37" s="466" t="s">
        <v>71</v>
      </c>
      <c r="C37" s="288" t="s">
        <v>20</v>
      </c>
      <c r="D37" s="289" t="s">
        <v>72</v>
      </c>
      <c r="E37" s="290">
        <v>2</v>
      </c>
      <c r="F37" s="291" t="s">
        <v>35</v>
      </c>
      <c r="G37" s="113">
        <v>2</v>
      </c>
      <c r="H37" s="113" t="s"/>
      <c r="I37" s="76" t="s"/>
      <c r="J37" s="467" t="s">
        <v>63</v>
      </c>
      <c r="K37" s="201" t="s">
        <v>20</v>
      </c>
      <c r="L37" s="202" t="s">
        <v>45</v>
      </c>
      <c r="M37" s="203">
        <v>1</v>
      </c>
      <c r="N37" s="204" t="s">
        <v>35</v>
      </c>
      <c r="O37" s="86" t="s"/>
      <c r="P37" s="87" t="s"/>
      <c r="Q37" s="76" t="s"/>
      <c r="R37" s="468" t="s"/>
      <c r="S37" s="104" t="s">
        <v>20</v>
      </c>
      <c r="T37" s="118" t="s">
        <v>41</v>
      </c>
      <c r="U37" s="106">
        <v>1</v>
      </c>
      <c r="V37" s="107" t="s">
        <v>35</v>
      </c>
      <c r="W37" s="108" t="s"/>
      <c r="X37" s="109" t="s"/>
      <c r="Y37" s="12" t="s"/>
      <c r="Z37" s="156" t="s"/>
      <c r="AA37" s="462" t="s">
        <v>44</v>
      </c>
      <c r="AB37" s="150" t="s">
        <v>52</v>
      </c>
      <c r="AC37" s="134">
        <v>1</v>
      </c>
      <c r="AD37" s="136" t="s">
        <v>30</v>
      </c>
      <c r="AE37" s="463" t="s"/>
      <c r="AF37" s="464" t="s"/>
      <c r="AI37" s="454" t="s"/>
      <c r="AJ37" s="455" t="s"/>
      <c r="AK37" s="454" t="s"/>
      <c r="AL37" s="448" t="s">
        <v>47</v>
      </c>
      <c r="AM37" s="449" t="s">
        <v>104</v>
      </c>
      <c r="AN37" s="448">
        <v>1</v>
      </c>
      <c r="AO37" s="450" t="s">
        <v>30</v>
      </c>
      <c r="AP37" s="451">
        <v>2</v>
      </c>
      <c r="AQ37" s="451">
        <v>2</v>
      </c>
    </row>
    <row r="38" spans="1:43">
      <c r="A38" s="452" t="s"/>
      <c r="B38" s="415" t="s"/>
      <c r="C38" s="288" t="s">
        <v>20</v>
      </c>
      <c r="D38" s="289" t="s">
        <v>79</v>
      </c>
      <c r="E38" s="290">
        <v>1</v>
      </c>
      <c r="F38" s="291" t="s">
        <v>30</v>
      </c>
      <c r="G38" s="113" t="s"/>
      <c r="H38" s="113" t="s"/>
      <c r="I38" s="76" t="s"/>
      <c r="J38" s="459" t="s"/>
      <c r="K38" s="201" t="s">
        <v>33</v>
      </c>
      <c r="L38" s="202" t="s">
        <v>64</v>
      </c>
      <c r="M38" s="203" t="s"/>
      <c r="N38" s="469" t="s">
        <v>30</v>
      </c>
      <c r="O38" s="86" t="s"/>
      <c r="P38" s="87">
        <v>1</v>
      </c>
      <c r="Q38" s="76" t="s"/>
      <c r="R38" s="127" t="s">
        <v>39</v>
      </c>
      <c r="S38" s="128" t="s">
        <v>20</v>
      </c>
      <c r="T38" s="129" t="s">
        <v>40</v>
      </c>
      <c r="U38" s="129">
        <v>5</v>
      </c>
      <c r="V38" s="130" t="s">
        <v>30</v>
      </c>
      <c r="W38" s="131">
        <v>1</v>
      </c>
      <c r="X38" s="132" t="s"/>
      <c r="Y38" s="12" t="s"/>
      <c r="Z38" s="166" t="s">
        <v>39</v>
      </c>
      <c r="AA38" s="470" t="s">
        <v>20</v>
      </c>
      <c r="AB38" s="168" t="s">
        <v>40</v>
      </c>
      <c r="AC38" s="169">
        <v>6</v>
      </c>
      <c r="AD38" s="170" t="s">
        <v>35</v>
      </c>
      <c r="AE38" s="471">
        <v>1</v>
      </c>
      <c r="AF38" s="472">
        <v>1</v>
      </c>
      <c r="AI38" s="454" t="s"/>
      <c r="AJ38" s="455" t="s"/>
      <c r="AK38" s="454" t="s"/>
      <c r="AL38" s="448" t="s">
        <v>20</v>
      </c>
      <c r="AM38" s="449" t="s">
        <v>105</v>
      </c>
      <c r="AN38" s="448">
        <v>1</v>
      </c>
      <c r="AO38" s="450" t="s">
        <v>30</v>
      </c>
      <c r="AP38" s="465">
        <v>0</v>
      </c>
      <c r="AQ38" s="465">
        <v>0</v>
      </c>
    </row>
    <row r="39" spans="1:43">
      <c r="A39" s="473" t="s"/>
      <c r="B39" s="346" t="s">
        <v>86</v>
      </c>
      <c r="C39" s="347" t="s"/>
      <c r="D39" s="347" t="s"/>
      <c r="E39" s="347">
        <f>=SUM(E28:E38)</f>
        <v>21</v>
      </c>
      <c r="F39" s="347">
        <f>=SUM(F28:F38)</f>
        <v>0</v>
      </c>
      <c r="G39" s="347">
        <f>=SUM(G28:G38)</f>
        <v>22</v>
      </c>
      <c r="H39" s="347">
        <f>=SUM(H28:H38)</f>
        <v>16</v>
      </c>
      <c r="I39" s="122" t="s"/>
      <c r="J39" s="231" t="s">
        <v>65</v>
      </c>
      <c r="K39" s="474" t="s">
        <v>25</v>
      </c>
      <c r="L39" s="475" t="s">
        <v>66</v>
      </c>
      <c r="M39" s="476">
        <v>4</v>
      </c>
      <c r="N39" s="476" t="s">
        <v>35</v>
      </c>
      <c r="O39" s="86" t="s"/>
      <c r="P39" s="87" t="s"/>
      <c r="Q39" s="76" t="s"/>
      <c r="R39" s="155" t="s"/>
      <c r="S39" s="128" t="s">
        <v>20</v>
      </c>
      <c r="T39" s="129" t="s">
        <v>46</v>
      </c>
      <c r="U39" s="129">
        <v>2</v>
      </c>
      <c r="V39" s="130" t="s">
        <v>30</v>
      </c>
      <c r="W39" s="131" t="s"/>
      <c r="X39" s="132" t="s"/>
      <c r="Y39" s="12" t="s"/>
      <c r="Z39" s="119" t="s"/>
      <c r="AA39" s="470" t="s">
        <v>20</v>
      </c>
      <c r="AB39" s="168" t="s">
        <v>46</v>
      </c>
      <c r="AC39" s="168">
        <v>3</v>
      </c>
      <c r="AD39" s="190" t="s">
        <v>30</v>
      </c>
      <c r="AE39" s="471">
        <v>2</v>
      </c>
      <c r="AF39" s="472">
        <v>1</v>
      </c>
      <c r="AI39" s="454" t="s"/>
      <c r="AJ39" s="455" t="s"/>
      <c r="AK39" s="454" t="s"/>
      <c r="AL39" s="477" t="s">
        <v>20</v>
      </c>
      <c r="AM39" s="478" t="s">
        <v>106</v>
      </c>
      <c r="AN39" s="477">
        <v>1</v>
      </c>
      <c r="AO39" s="479" t="s">
        <v>30</v>
      </c>
      <c r="AP39" s="480">
        <v>0</v>
      </c>
      <c r="AQ39" s="480">
        <v>0</v>
      </c>
    </row>
    <row r="40" spans="1:43">
      <c r="A40" s="473" t="s"/>
      <c r="B40" s="481" t="s"/>
      <c r="C40" s="481" t="s"/>
      <c r="D40" s="481" t="s"/>
      <c r="E40" s="481" t="s"/>
      <c r="F40" s="482" t="s"/>
      <c r="G40" s="481" t="s"/>
      <c r="H40" s="481" t="s"/>
      <c r="I40" s="122" t="s"/>
      <c r="J40" s="243" t="s">
        <v>70</v>
      </c>
      <c r="K40" s="244" t="s"/>
      <c r="L40" s="245" t="s">
        <v>27</v>
      </c>
      <c r="M40" s="246" t="s"/>
      <c r="N40" s="247" t="s"/>
      <c r="O40" s="86" t="s"/>
      <c r="P40" s="87" t="s"/>
      <c r="Q40" s="76" t="s"/>
      <c r="R40" s="483" t="s"/>
      <c r="S40" s="167" t="s">
        <v>20</v>
      </c>
      <c r="T40" s="129" t="s">
        <v>49</v>
      </c>
      <c r="U40" s="484">
        <v>2</v>
      </c>
      <c r="V40" s="485" t="s">
        <v>30</v>
      </c>
      <c r="W40" s="131" t="s"/>
      <c r="X40" s="132" t="s"/>
      <c r="Y40" s="12" t="s"/>
      <c r="Z40" s="166" t="s"/>
      <c r="AA40" s="470" t="s">
        <v>25</v>
      </c>
      <c r="AB40" s="209" t="s">
        <v>62</v>
      </c>
      <c r="AC40" s="168" t="s"/>
      <c r="AD40" s="190" t="s">
        <v>35</v>
      </c>
      <c r="AE40" s="471">
        <v>1</v>
      </c>
      <c r="AF40" s="472">
        <v>1</v>
      </c>
      <c r="AI40" s="42" t="s">
        <v>7</v>
      </c>
      <c r="AJ40" s="486" t="s"/>
      <c r="AK40" s="42">
        <f>=SUM(AK3:AK39)</f>
        <v>94</v>
      </c>
      <c r="AL40" s="487" t="s"/>
      <c r="AM40" s="486" t="s"/>
      <c r="AN40" s="486" t="s"/>
      <c r="AO40" s="486" t="s"/>
      <c r="AP40" s="42">
        <f>=SUM(AP3:AP39)</f>
        <v>122</v>
      </c>
      <c r="AQ40" s="42">
        <f>=SUM(AQ3:AQ39)</f>
        <v>108</v>
      </c>
    </row>
    <row r="41" spans="1:32">
      <c r="A41" s="488" t="s"/>
      <c r="B41" s="4" t="s"/>
      <c r="C41" s="4" t="s"/>
      <c r="D41" s="4" t="s"/>
      <c r="E41" s="4" t="s"/>
      <c r="F41" s="4" t="s"/>
      <c r="G41" s="4" t="s"/>
      <c r="H41" s="4" t="s"/>
      <c r="I41" s="489" t="s"/>
      <c r="J41" s="490" t="s">
        <v>71</v>
      </c>
      <c r="K41" s="491" t="s">
        <v>20</v>
      </c>
      <c r="L41" s="492" t="s">
        <v>72</v>
      </c>
      <c r="M41" s="493">
        <v>1</v>
      </c>
      <c r="N41" s="494" t="s">
        <v>30</v>
      </c>
      <c r="O41" s="394" t="s"/>
      <c r="P41" s="184" t="s"/>
      <c r="Q41" s="489" t="s"/>
      <c r="R41" s="495" t="s">
        <v>50</v>
      </c>
      <c r="S41" s="496" t="s">
        <v>25</v>
      </c>
      <c r="T41" s="497" t="s">
        <v>107</v>
      </c>
      <c r="U41" s="497" t="s"/>
      <c r="V41" s="498" t="s">
        <v>30</v>
      </c>
      <c r="W41" s="499" t="s"/>
      <c r="X41" s="500">
        <v>1</v>
      </c>
      <c r="Y41" s="12" t="s"/>
      <c r="Z41" s="119" t="s"/>
      <c r="AA41" s="470" t="s">
        <v>20</v>
      </c>
      <c r="AB41" s="209" t="s">
        <v>49</v>
      </c>
      <c r="AC41" s="168">
        <v>2</v>
      </c>
      <c r="AD41" s="190" t="s">
        <v>35</v>
      </c>
      <c r="AE41" s="471" t="s"/>
      <c r="AF41" s="472" t="s"/>
    </row>
    <row r="42" spans="1:47">
      <c r="A42" s="473" t="s"/>
      <c r="B42" s="4" t="s"/>
      <c r="C42" s="4" t="s"/>
      <c r="D42" s="4" t="s"/>
      <c r="E42" s="4" t="s"/>
      <c r="F42" s="4" t="s"/>
      <c r="G42" s="4" t="s"/>
      <c r="H42" s="4" t="s"/>
      <c r="I42" s="122" t="s"/>
      <c r="J42" s="416" t="s"/>
      <c r="K42" s="260" t="s">
        <v>33</v>
      </c>
      <c r="L42" s="261" t="s">
        <v>108</v>
      </c>
      <c r="M42" s="262" t="s"/>
      <c r="N42" s="501" t="s">
        <v>30</v>
      </c>
      <c r="O42" s="86" t="s"/>
      <c r="P42" s="87">
        <v>1</v>
      </c>
      <c r="Q42" s="122" t="s"/>
      <c r="R42" s="502" t="s"/>
      <c r="S42" s="496" t="s">
        <v>25</v>
      </c>
      <c r="T42" s="497" t="s">
        <v>109</v>
      </c>
      <c r="U42" s="497" t="s"/>
      <c r="V42" s="498" t="s">
        <v>30</v>
      </c>
      <c r="W42" s="499">
        <v>1</v>
      </c>
      <c r="X42" s="500" t="s"/>
      <c r="Y42" s="12" t="s"/>
      <c r="Z42" s="503" t="s">
        <v>50</v>
      </c>
      <c r="AA42" s="504" t="s">
        <v>97</v>
      </c>
      <c r="AB42" s="504" t="s">
        <v>110</v>
      </c>
      <c r="AC42" s="504" t="s"/>
      <c r="AD42" s="505" t="s">
        <v>35</v>
      </c>
      <c r="AE42" s="506">
        <v>1</v>
      </c>
      <c r="AF42" s="507">
        <v>1</v>
      </c>
      <c r="AI42" s="508" t="s"/>
      <c r="AJ42" s="508" t="s"/>
      <c r="AK42" s="508" t="s"/>
      <c r="AL42" s="508" t="s"/>
      <c r="AM42" s="508" t="s"/>
      <c r="AN42" s="508" t="s"/>
      <c r="AO42" s="508" t="s"/>
      <c r="AP42" s="508" t="s"/>
      <c r="AQ42" s="508" t="s"/>
      <c r="AR42" s="508" t="s"/>
      <c r="AS42" s="508" t="s"/>
      <c r="AT42" s="508" t="s"/>
      <c r="AU42" s="508" t="s"/>
    </row>
    <row r="43" spans="1:47">
      <c r="A43" s="473" t="s"/>
      <c r="B43" s="4" t="s"/>
      <c r="C43" s="4" t="s"/>
      <c r="D43" s="4" t="s"/>
      <c r="E43" s="4" t="s"/>
      <c r="F43" s="4" t="s"/>
      <c r="G43" s="4" t="s"/>
      <c r="H43" s="4" t="s"/>
      <c r="I43" s="122" t="s"/>
      <c r="J43" s="509" t="s"/>
      <c r="K43" s="510" t="s">
        <v>33</v>
      </c>
      <c r="L43" s="511" t="s">
        <v>77</v>
      </c>
      <c r="M43" s="512" t="s"/>
      <c r="N43" s="513" t="s">
        <v>30</v>
      </c>
      <c r="O43" s="514" t="s"/>
      <c r="P43" s="515">
        <v>1</v>
      </c>
      <c r="Q43" s="122" t="s"/>
      <c r="R43" s="502" t="s"/>
      <c r="S43" s="496" t="s">
        <v>25</v>
      </c>
      <c r="T43" s="497" t="s">
        <v>51</v>
      </c>
      <c r="U43" s="497" t="s"/>
      <c r="V43" s="498" t="s">
        <v>30</v>
      </c>
      <c r="W43" s="499">
        <v>1</v>
      </c>
      <c r="X43" s="500" t="s"/>
      <c r="Y43" s="12" t="s"/>
      <c r="Z43" s="516" t="s"/>
      <c r="AA43" s="517" t="s">
        <v>97</v>
      </c>
      <c r="AB43" s="517" t="s">
        <v>111</v>
      </c>
      <c r="AC43" s="504" t="s"/>
      <c r="AD43" s="505" t="s">
        <v>35</v>
      </c>
      <c r="AE43" s="506">
        <v>1</v>
      </c>
      <c r="AF43" s="507">
        <v>1</v>
      </c>
      <c r="AI43" s="508" t="s"/>
      <c r="AJ43" s="508" t="s"/>
      <c r="AK43" s="508" t="s"/>
      <c r="AL43" s="508" t="s"/>
      <c r="AM43" s="508" t="s"/>
      <c r="AN43" s="508" t="s"/>
      <c r="AO43" s="508" t="s"/>
      <c r="AP43" s="508" t="s"/>
      <c r="AQ43" s="508" t="s"/>
      <c r="AR43" s="508" t="s"/>
      <c r="AS43" s="508" t="s"/>
      <c r="AT43" s="508" t="s"/>
      <c r="AU43" s="508" t="s"/>
    </row>
    <row r="44" spans="1:32">
      <c r="A44" s="76" t="s"/>
      <c r="B44" s="4" t="s"/>
      <c r="C44" s="4" t="s"/>
      <c r="D44" s="4" t="s"/>
      <c r="E44" s="4" t="s"/>
      <c r="F44" s="4" t="s"/>
      <c r="G44" s="4" t="s"/>
      <c r="H44" s="4" t="s"/>
      <c r="I44" s="76" t="s"/>
      <c r="J44" s="518" t="s">
        <v>7</v>
      </c>
      <c r="K44" s="519">
        <f>=SUM(M27:M41)</f>
        <v>31</v>
      </c>
      <c r="L44" s="520" t="s"/>
      <c r="M44" s="520" t="s"/>
      <c r="N44" s="521" t="s"/>
      <c r="O44" s="296">
        <f>=SUM(O27:O41)</f>
        <v>14</v>
      </c>
      <c r="P44" s="297">
        <f>=SUM(P27:P43)</f>
        <v>12</v>
      </c>
      <c r="Q44" s="122" t="s"/>
      <c r="R44" s="219" t="s"/>
      <c r="S44" s="496" t="s">
        <v>20</v>
      </c>
      <c r="T44" s="497" t="s">
        <v>59</v>
      </c>
      <c r="U44" s="497">
        <v>3</v>
      </c>
      <c r="V44" s="498" t="s">
        <v>30</v>
      </c>
      <c r="W44" s="499" t="s"/>
      <c r="X44" s="188" t="s"/>
      <c r="Y44" s="12" t="s"/>
      <c r="Z44" s="220" t="s">
        <v>54</v>
      </c>
      <c r="AA44" s="522" t="s">
        <v>47</v>
      </c>
      <c r="AB44" s="222" t="s">
        <v>57</v>
      </c>
      <c r="AC44" s="221">
        <v>2</v>
      </c>
      <c r="AD44" s="223" t="s">
        <v>35</v>
      </c>
      <c r="AE44" s="523" t="s"/>
      <c r="AF44" s="524" t="s"/>
    </row>
    <row r="45" spans="1:32">
      <c r="A45" s="76" t="s"/>
      <c r="B45" s="4" t="s"/>
      <c r="C45" s="4" t="s"/>
      <c r="D45" s="4" t="s"/>
      <c r="E45" s="4" t="s"/>
      <c r="F45" s="4" t="s"/>
      <c r="G45" s="4" t="s"/>
      <c r="H45" s="4" t="s"/>
      <c r="I45" s="76" t="s"/>
      <c r="J45" s="76" t="s"/>
      <c r="K45" s="76" t="s"/>
      <c r="L45" s="76" t="s"/>
      <c r="M45" s="76" t="s"/>
      <c r="N45" s="76" t="s"/>
      <c r="O45" s="76" t="s"/>
      <c r="P45" s="76" t="s"/>
      <c r="Q45" s="122" t="s"/>
      <c r="R45" s="88" t="s"/>
      <c r="S45" s="158" t="s">
        <v>20</v>
      </c>
      <c r="T45" s="159" t="s">
        <v>61</v>
      </c>
      <c r="U45" s="159">
        <v>1</v>
      </c>
      <c r="V45" s="186" t="s">
        <v>30</v>
      </c>
      <c r="W45" s="187" t="s"/>
      <c r="X45" s="188" t="s"/>
      <c r="Y45" s="12" t="s"/>
      <c r="Z45" s="220" t="s"/>
      <c r="AA45" s="522" t="s">
        <v>20</v>
      </c>
      <c r="AB45" s="236" t="s">
        <v>57</v>
      </c>
      <c r="AC45" s="221">
        <v>4</v>
      </c>
      <c r="AD45" s="223" t="s">
        <v>35</v>
      </c>
      <c r="AE45" s="523">
        <v>5</v>
      </c>
      <c r="AF45" s="524">
        <v>4</v>
      </c>
    </row>
    <row r="46" spans="1:32">
      <c r="A46" s="76" t="s"/>
      <c r="B46" s="4" t="s"/>
      <c r="C46" s="4" t="s"/>
      <c r="D46" s="4" t="s"/>
      <c r="E46" s="4" t="s"/>
      <c r="F46" s="4" t="s"/>
      <c r="G46" s="4" t="s"/>
      <c r="H46" s="4" t="s"/>
      <c r="I46" s="76" t="s"/>
      <c r="J46" s="76" t="s"/>
      <c r="K46" s="76" t="s"/>
      <c r="L46" s="76" t="s"/>
      <c r="M46" s="76" t="s"/>
      <c r="N46" s="76" t="s"/>
      <c r="O46" s="76" t="s"/>
      <c r="P46" s="76" t="s"/>
      <c r="Q46" s="76" t="s"/>
      <c r="R46" s="525" t="s">
        <v>54</v>
      </c>
      <c r="S46" s="174" t="s">
        <v>20</v>
      </c>
      <c r="T46" s="175" t="s">
        <v>55</v>
      </c>
      <c r="U46" s="176">
        <v>6</v>
      </c>
      <c r="V46" s="206" t="s">
        <v>35</v>
      </c>
      <c r="W46" s="207">
        <v>4</v>
      </c>
      <c r="X46" s="208">
        <v>1</v>
      </c>
      <c r="Y46" s="12" t="s"/>
      <c r="Z46" s="119" t="s"/>
      <c r="AA46" s="526" t="s">
        <v>44</v>
      </c>
      <c r="AB46" s="236" t="s">
        <v>55</v>
      </c>
      <c r="AC46" s="252">
        <v>1</v>
      </c>
      <c r="AD46" s="223" t="s">
        <v>35</v>
      </c>
      <c r="AE46" s="523">
        <v>2</v>
      </c>
      <c r="AF46" s="527">
        <v>2</v>
      </c>
    </row>
    <row r="47" spans="1:32">
      <c r="A47" s="76" t="s"/>
      <c r="B47" s="4" t="s"/>
      <c r="C47" s="4" t="s"/>
      <c r="D47" s="4" t="s"/>
      <c r="E47" s="4" t="s"/>
      <c r="F47" s="4" t="s"/>
      <c r="G47" s="4" t="s"/>
      <c r="H47" s="4" t="s"/>
      <c r="I47" s="76" t="s"/>
      <c r="J47" s="528" t="s">
        <v>14</v>
      </c>
      <c r="K47" s="529" t="s"/>
      <c r="L47" s="50" t="s"/>
      <c r="M47" s="50" t="s"/>
      <c r="N47" s="51" t="s"/>
      <c r="O47" s="52" t="s">
        <v>112</v>
      </c>
      <c r="P47" s="53" t="s"/>
      <c r="Q47" s="76" t="s"/>
      <c r="R47" s="348" t="s"/>
      <c r="S47" s="174" t="s">
        <v>20</v>
      </c>
      <c r="T47" s="175" t="s">
        <v>57</v>
      </c>
      <c r="U47" s="176">
        <v>5</v>
      </c>
      <c r="V47" s="206" t="s">
        <v>35</v>
      </c>
      <c r="W47" s="207">
        <v>2</v>
      </c>
      <c r="X47" s="208">
        <v>2</v>
      </c>
      <c r="Y47" s="12" t="s"/>
      <c r="Z47" s="220" t="s"/>
      <c r="AA47" s="526" t="s">
        <v>44</v>
      </c>
      <c r="AB47" s="236" t="s">
        <v>74</v>
      </c>
      <c r="AC47" s="252">
        <v>1</v>
      </c>
      <c r="AD47" s="223" t="s">
        <v>30</v>
      </c>
      <c r="AE47" s="523" t="s"/>
      <c r="AF47" s="527" t="s"/>
    </row>
    <row r="48" spans="1:32">
      <c r="A48" s="76" t="s"/>
      <c r="B48" s="92" t="s"/>
      <c r="C48" s="92" t="s"/>
      <c r="D48" s="92" t="s"/>
      <c r="E48" s="92" t="s"/>
      <c r="F48" s="92" t="s"/>
      <c r="G48" s="92" t="s"/>
      <c r="H48" s="92" t="s"/>
      <c r="I48" s="76" t="s"/>
      <c r="J48" s="54" t="s"/>
      <c r="K48" s="55" t="s"/>
      <c r="L48" s="56" t="s">
        <v>9</v>
      </c>
      <c r="M48" s="56" t="s">
        <v>10</v>
      </c>
      <c r="N48" s="57" t="s">
        <v>11</v>
      </c>
      <c r="O48" s="356" t="s">
        <v>16</v>
      </c>
      <c r="P48" s="357" t="s">
        <v>17</v>
      </c>
      <c r="Q48" s="76" t="s"/>
      <c r="R48" s="468" t="s"/>
      <c r="S48" s="174" t="s">
        <v>20</v>
      </c>
      <c r="T48" s="175" t="s">
        <v>68</v>
      </c>
      <c r="U48" s="176">
        <v>1</v>
      </c>
      <c r="V48" s="206" t="s">
        <v>35</v>
      </c>
      <c r="W48" s="207" t="s"/>
      <c r="X48" s="208" t="s"/>
      <c r="Y48" s="12" t="s"/>
      <c r="Z48" s="280" t="s">
        <v>63</v>
      </c>
      <c r="AA48" s="530" t="s">
        <v>20</v>
      </c>
      <c r="AB48" s="282" t="s">
        <v>64</v>
      </c>
      <c r="AC48" s="281">
        <v>1</v>
      </c>
      <c r="AD48" s="283" t="s">
        <v>30</v>
      </c>
      <c r="AE48" s="531" t="s"/>
      <c r="AF48" s="532" t="s"/>
    </row>
    <row r="49" spans="1:32">
      <c r="A49" s="76" t="s"/>
      <c r="B49" s="76" t="s"/>
      <c r="C49" s="76" t="s"/>
      <c r="D49" s="76" t="s"/>
      <c r="E49" s="76" t="s"/>
      <c r="F49" s="76" t="s"/>
      <c r="G49" s="76" t="s"/>
      <c r="H49" s="76" t="s"/>
      <c r="I49" s="76" t="s"/>
      <c r="J49" s="366" t="s">
        <v>19</v>
      </c>
      <c r="K49" s="367" t="s">
        <v>25</v>
      </c>
      <c r="L49" s="368" t="s">
        <v>93</v>
      </c>
      <c r="M49" s="369">
        <v>5</v>
      </c>
      <c r="N49" s="369" t="s">
        <v>35</v>
      </c>
      <c r="O49" s="86" t="s"/>
      <c r="P49" s="87" t="s"/>
      <c r="Q49" s="76" t="s"/>
      <c r="R49" s="533" t="s">
        <v>63</v>
      </c>
      <c r="S49" s="534" t="s">
        <v>20</v>
      </c>
      <c r="T49" s="213" t="s">
        <v>38</v>
      </c>
      <c r="U49" s="214">
        <v>2</v>
      </c>
      <c r="V49" s="249" t="s">
        <v>35</v>
      </c>
      <c r="W49" s="250">
        <v>2</v>
      </c>
      <c r="X49" s="251">
        <v>1</v>
      </c>
      <c r="Y49" s="12" t="s"/>
      <c r="Z49" s="119" t="s"/>
      <c r="AA49" s="535" t="s">
        <v>20</v>
      </c>
      <c r="AB49" s="282" t="s">
        <v>38</v>
      </c>
      <c r="AC49" s="281">
        <v>1</v>
      </c>
      <c r="AD49" s="283" t="s">
        <v>35</v>
      </c>
      <c r="AE49" s="531">
        <v>2</v>
      </c>
      <c r="AF49" s="532">
        <v>2</v>
      </c>
    </row>
    <row r="50" spans="1:32">
      <c r="A50" s="76" t="s"/>
      <c r="B50" s="76" t="s"/>
      <c r="C50" s="76" t="s"/>
      <c r="D50" s="76" t="s"/>
      <c r="E50" s="76" t="s"/>
      <c r="F50" s="76" t="s"/>
      <c r="G50" s="76" t="s"/>
      <c r="H50" s="76" t="s"/>
      <c r="I50" s="76" t="s"/>
      <c r="J50" s="536" t="s"/>
      <c r="K50" s="367" t="s">
        <v>25</v>
      </c>
      <c r="L50" s="368" t="s">
        <v>96</v>
      </c>
      <c r="M50" s="369" t="s"/>
      <c r="N50" s="369" t="s">
        <v>35</v>
      </c>
      <c r="O50" s="86" t="s"/>
      <c r="P50" s="87">
        <v>1</v>
      </c>
      <c r="Q50" s="76" t="s"/>
      <c r="R50" s="537" t="s"/>
      <c r="S50" s="281" t="s">
        <v>33</v>
      </c>
      <c r="T50" s="538" t="s">
        <v>73</v>
      </c>
      <c r="U50" s="539">
        <v>1</v>
      </c>
      <c r="V50" s="540" t="s">
        <v>30</v>
      </c>
      <c r="W50" s="541">
        <v>2</v>
      </c>
      <c r="X50" s="251" t="s"/>
      <c r="Y50" s="38" t="s"/>
      <c r="Z50" s="322" t="s">
        <v>65</v>
      </c>
      <c r="AA50" s="542" t="s">
        <v>20</v>
      </c>
      <c r="AB50" s="324" t="s">
        <v>60</v>
      </c>
      <c r="AC50" s="323">
        <v>3</v>
      </c>
      <c r="AD50" s="325" t="s">
        <v>30</v>
      </c>
      <c r="AE50" s="543">
        <v>3</v>
      </c>
      <c r="AF50" s="544" t="s"/>
    </row>
    <row r="51" spans="1:32">
      <c r="A51" s="76" t="s"/>
      <c r="B51" s="76" t="s"/>
      <c r="C51" s="76" t="s"/>
      <c r="D51" s="76" t="s"/>
      <c r="E51" s="76" t="s"/>
      <c r="F51" s="76" t="s"/>
      <c r="G51" s="76" t="s"/>
      <c r="H51" s="76" t="s"/>
      <c r="I51" s="76" t="s"/>
      <c r="J51" s="408" t="s">
        <v>32</v>
      </c>
      <c r="K51" s="99" t="s">
        <v>33</v>
      </c>
      <c r="L51" s="100" t="s">
        <v>34</v>
      </c>
      <c r="M51" s="101">
        <v>2</v>
      </c>
      <c r="N51" s="102" t="s">
        <v>35</v>
      </c>
      <c r="O51" s="86">
        <v>3</v>
      </c>
      <c r="P51" s="87">
        <v>2</v>
      </c>
      <c r="Q51" s="76" t="s"/>
      <c r="R51" s="276" t="s">
        <v>65</v>
      </c>
      <c r="S51" s="227" t="s">
        <v>20</v>
      </c>
      <c r="T51" s="228" t="s">
        <v>46</v>
      </c>
      <c r="U51" s="229">
        <v>1</v>
      </c>
      <c r="V51" s="277" t="s">
        <v>30</v>
      </c>
      <c r="W51" s="278" t="s"/>
      <c r="X51" s="279">
        <v>1</v>
      </c>
      <c r="Y51" s="12" t="s"/>
      <c r="Z51" s="339" t="s">
        <v>71</v>
      </c>
      <c r="AA51" s="545" t="s">
        <v>44</v>
      </c>
      <c r="AB51" s="341" t="s">
        <v>84</v>
      </c>
      <c r="AC51" s="342">
        <v>1</v>
      </c>
      <c r="AD51" s="343" t="s">
        <v>30</v>
      </c>
      <c r="AE51" s="546" t="s"/>
      <c r="AF51" s="547" t="s"/>
    </row>
    <row r="52" spans="1:32">
      <c r="A52" s="76" t="s"/>
      <c r="B52" s="76" t="s"/>
      <c r="C52" s="76" t="s"/>
      <c r="D52" s="76" t="s"/>
      <c r="E52" s="76" t="s"/>
      <c r="F52" s="76" t="s"/>
      <c r="G52" s="76" t="s"/>
      <c r="H52" s="76" t="s"/>
      <c r="I52" s="76" t="s"/>
      <c r="J52" s="548" t="s">
        <v>39</v>
      </c>
      <c r="K52" s="115" t="s">
        <v>20</v>
      </c>
      <c r="L52" s="116" t="s">
        <v>40</v>
      </c>
      <c r="M52" s="116">
        <v>3</v>
      </c>
      <c r="N52" s="117" t="s">
        <v>30</v>
      </c>
      <c r="O52" s="86">
        <v>1</v>
      </c>
      <c r="P52" s="87">
        <v>1</v>
      </c>
      <c r="Q52" s="76" t="s"/>
      <c r="R52" s="298" t="s">
        <v>70</v>
      </c>
      <c r="S52" s="299" t="s">
        <v>20</v>
      </c>
      <c r="T52" s="300" t="s">
        <v>78</v>
      </c>
      <c r="U52" s="301">
        <v>1</v>
      </c>
      <c r="V52" s="302" t="s">
        <v>30</v>
      </c>
      <c r="W52" s="303" t="s"/>
      <c r="X52" s="304" t="s"/>
      <c r="Y52" s="12" t="s"/>
      <c r="Z52" s="119" t="s"/>
      <c r="AA52" s="545" t="s">
        <v>20</v>
      </c>
      <c r="AB52" s="341" t="s">
        <v>72</v>
      </c>
      <c r="AC52" s="342">
        <v>1</v>
      </c>
      <c r="AD52" s="343" t="s">
        <v>30</v>
      </c>
      <c r="AE52" s="546" t="s"/>
      <c r="AF52" s="547" t="s"/>
    </row>
    <row r="53" spans="1:32">
      <c r="A53" s="76" t="s"/>
      <c r="B53" s="76" t="s"/>
      <c r="C53" s="76" t="s"/>
      <c r="D53" s="76" t="s"/>
      <c r="E53" s="76" t="s"/>
      <c r="F53" s="76" t="s"/>
      <c r="G53" s="76" t="s"/>
      <c r="H53" s="76" t="s"/>
      <c r="I53" s="76" t="s"/>
      <c r="J53" s="549" t="s"/>
      <c r="K53" s="115" t="s">
        <v>20</v>
      </c>
      <c r="L53" s="116" t="s">
        <v>46</v>
      </c>
      <c r="M53" s="116">
        <v>1</v>
      </c>
      <c r="N53" s="117" t="s">
        <v>30</v>
      </c>
      <c r="O53" s="86">
        <v>1</v>
      </c>
      <c r="P53" s="87">
        <v>1</v>
      </c>
      <c r="Q53" s="76" t="s"/>
      <c r="R53" s="194" t="s"/>
      <c r="S53" s="299" t="s">
        <v>20</v>
      </c>
      <c r="T53" s="300" t="s">
        <v>81</v>
      </c>
      <c r="U53" s="301">
        <v>1</v>
      </c>
      <c r="V53" s="302" t="s">
        <v>35</v>
      </c>
      <c r="W53" s="303" t="s"/>
      <c r="X53" s="304" t="s"/>
      <c r="Y53" s="12" t="s"/>
      <c r="Z53" s="119" t="s"/>
      <c r="AA53" s="545" t="s">
        <v>20</v>
      </c>
      <c r="AB53" s="358" t="s">
        <v>90</v>
      </c>
      <c r="AC53" s="359">
        <v>1</v>
      </c>
      <c r="AD53" s="360" t="s">
        <v>30</v>
      </c>
      <c r="AE53" s="546">
        <v>1</v>
      </c>
      <c r="AF53" s="547">
        <v>1</v>
      </c>
    </row>
    <row r="54" spans="1:32">
      <c r="A54" s="76" t="s"/>
      <c r="B54" s="76" t="s"/>
      <c r="C54" s="76" t="s"/>
      <c r="D54" s="76" t="s"/>
      <c r="E54" s="76" t="s"/>
      <c r="F54" s="76" t="s"/>
      <c r="G54" s="76" t="s"/>
      <c r="H54" s="76" t="s"/>
      <c r="I54" s="76" t="s"/>
      <c r="J54" s="549" t="s"/>
      <c r="K54" s="115" t="s">
        <v>25</v>
      </c>
      <c r="L54" s="116" t="s">
        <v>49</v>
      </c>
      <c r="M54" s="116" t="s"/>
      <c r="N54" s="117" t="s"/>
      <c r="O54" s="86">
        <v>1</v>
      </c>
      <c r="P54" s="87">
        <v>1</v>
      </c>
      <c r="Q54" s="76" t="s"/>
      <c r="R54" s="335" t="s">
        <v>71</v>
      </c>
      <c r="S54" s="288" t="s">
        <v>33</v>
      </c>
      <c r="T54" s="289" t="s">
        <v>72</v>
      </c>
      <c r="U54" s="290">
        <v>1</v>
      </c>
      <c r="V54" s="336" t="s">
        <v>30</v>
      </c>
      <c r="W54" s="337">
        <v>1</v>
      </c>
      <c r="X54" s="338" t="s"/>
      <c r="Y54" s="12" t="s"/>
      <c r="Z54" s="377" t="s"/>
      <c r="AA54" s="550" t="s">
        <v>20</v>
      </c>
      <c r="AB54" s="379" t="s">
        <v>83</v>
      </c>
      <c r="AC54" s="380">
        <v>3</v>
      </c>
      <c r="AD54" s="381" t="s">
        <v>30</v>
      </c>
      <c r="AE54" s="546">
        <v>1</v>
      </c>
      <c r="AF54" s="547">
        <v>1</v>
      </c>
    </row>
    <row r="55" spans="1:32">
      <c r="A55" s="76" t="s"/>
      <c r="B55" s="349" t="s"/>
      <c r="C55" s="349" t="s"/>
      <c r="D55" s="349" t="s"/>
      <c r="E55" s="349" t="s"/>
      <c r="F55" s="349" t="s"/>
      <c r="G55" s="349" t="s"/>
      <c r="H55" s="349" t="s"/>
      <c r="I55" s="76" t="s"/>
      <c r="J55" s="438" t="s">
        <v>50</v>
      </c>
      <c r="K55" s="147" t="s">
        <v>20</v>
      </c>
      <c r="L55" s="148" t="s">
        <v>51</v>
      </c>
      <c r="M55" s="148">
        <v>2</v>
      </c>
      <c r="N55" s="149" t="s">
        <v>35</v>
      </c>
      <c r="O55" s="86">
        <v>2</v>
      </c>
      <c r="P55" s="87">
        <v>2</v>
      </c>
      <c r="Q55" s="76" t="s"/>
      <c r="R55" s="551" t="s"/>
      <c r="S55" s="552" t="s">
        <v>20</v>
      </c>
      <c r="T55" s="553" t="s">
        <v>80</v>
      </c>
      <c r="U55" s="554">
        <v>1</v>
      </c>
      <c r="V55" s="555" t="s">
        <v>30</v>
      </c>
      <c r="W55" s="556" t="s"/>
      <c r="X55" s="338" t="s"/>
      <c r="Y55" s="38" t="s"/>
      <c r="Z55" s="401" t="s">
        <v>7</v>
      </c>
      <c r="AA55" s="402">
        <f>=SUM(AC33:AC54)</f>
        <v>48</v>
      </c>
      <c r="AB55" s="403" t="s"/>
      <c r="AC55" s="403" t="s"/>
      <c r="AD55" s="557" t="s"/>
      <c r="AE55" s="558">
        <f>=SUM(AE33:AE54)</f>
        <v>51</v>
      </c>
      <c r="AF55" s="559">
        <f>=SUM(AF33:AF54)</f>
        <v>35</v>
      </c>
    </row>
    <row r="56" spans="1:27">
      <c r="A56" s="349" t="s"/>
      <c r="B56" s="12" t="s"/>
      <c r="C56" s="12" t="s"/>
      <c r="D56" s="12" t="s"/>
      <c r="E56" s="12" t="s"/>
      <c r="F56" s="12" t="s"/>
      <c r="G56" s="12" t="s"/>
      <c r="H56" s="12" t="s"/>
      <c r="I56" s="349" t="s"/>
      <c r="J56" s="560" t="s">
        <v>54</v>
      </c>
      <c r="K56" s="162" t="s">
        <v>20</v>
      </c>
      <c r="L56" s="163" t="s">
        <v>55</v>
      </c>
      <c r="M56" s="164">
        <v>4</v>
      </c>
      <c r="N56" s="165" t="s">
        <v>35</v>
      </c>
      <c r="O56" s="86">
        <v>2</v>
      </c>
      <c r="P56" s="87">
        <v>3</v>
      </c>
      <c r="Q56" s="76" t="s"/>
      <c r="R56" s="551" t="s"/>
      <c r="S56" s="552" t="s">
        <v>20</v>
      </c>
      <c r="T56" s="553" t="s">
        <v>83</v>
      </c>
      <c r="U56" s="554">
        <v>1</v>
      </c>
      <c r="V56" s="555" t="s">
        <v>30</v>
      </c>
      <c r="W56" s="556" t="s"/>
      <c r="X56" s="338" t="s"/>
      <c r="Y56" s="4" t="s"/>
      <c r="AA56" s="410" t="s"/>
    </row>
    <row r="57" spans="1:26" ht="21" customHeight="true">
      <c r="A57" s="12" t="s"/>
      <c r="B57" s="7" t="s"/>
      <c r="C57" s="7" t="s"/>
      <c r="D57" s="7" t="s"/>
      <c r="E57" s="7" t="s"/>
      <c r="F57" s="7" t="s"/>
      <c r="G57" s="7" t="s"/>
      <c r="H57" s="7" t="s"/>
      <c r="I57" s="12" t="s"/>
      <c r="J57" s="549" t="s"/>
      <c r="K57" s="162" t="s">
        <v>25</v>
      </c>
      <c r="L57" s="163" t="s">
        <v>58</v>
      </c>
      <c r="M57" s="164" t="s"/>
      <c r="N57" s="165" t="s">
        <v>30</v>
      </c>
      <c r="O57" s="86">
        <v>2</v>
      </c>
      <c r="P57" s="87">
        <v>1</v>
      </c>
      <c r="Q57" s="76" t="s"/>
      <c r="R57" s="370" t="s"/>
      <c r="S57" s="371" t="s">
        <v>33</v>
      </c>
      <c r="T57" s="372" t="s">
        <v>94</v>
      </c>
      <c r="U57" s="373">
        <v>1</v>
      </c>
      <c r="V57" s="374" t="s">
        <v>30</v>
      </c>
      <c r="W57" s="375" t="s"/>
      <c r="X57" s="376">
        <v>1</v>
      </c>
      <c r="Y57" s="12" t="s"/>
      <c r="Z57" s="561" t="s">
        <v>378</v>
      </c>
    </row>
    <row r="58" spans="1:32">
      <c r="A58" s="7" t="s"/>
      <c r="B58" s="48" t="s"/>
      <c r="C58" s="48" t="s"/>
      <c r="D58" s="48" t="s"/>
      <c r="E58" s="48" t="s"/>
      <c r="F58" s="48" t="s"/>
      <c r="G58" s="48" t="s"/>
      <c r="H58" s="48" t="s"/>
      <c r="I58" s="7" t="s"/>
      <c r="J58" s="536" t="s"/>
      <c r="K58" s="162" t="s">
        <v>20</v>
      </c>
      <c r="L58" s="163" t="s">
        <v>57</v>
      </c>
      <c r="M58" s="164">
        <v>8</v>
      </c>
      <c r="N58" s="165" t="s">
        <v>35</v>
      </c>
      <c r="O58" s="86">
        <v>2</v>
      </c>
      <c r="P58" s="193">
        <v>2</v>
      </c>
      <c r="Q58" s="349" t="s"/>
      <c r="R58" s="562" t="s">
        <v>7</v>
      </c>
      <c r="S58" s="397">
        <f>=SUM(U35:U57)</f>
        <v>52</v>
      </c>
      <c r="T58" s="398" t="s"/>
      <c r="U58" s="398" t="s"/>
      <c r="V58" s="399" t="s"/>
      <c r="W58" s="400">
        <f>=SUM(W33:W57)</f>
        <v>37</v>
      </c>
      <c r="X58" s="400">
        <f>=SUM(X33:X57)</f>
        <v>29</v>
      </c>
      <c r="Y58" s="12" t="s"/>
      <c r="Z58" s="17" t="s">
        <v>4</v>
      </c>
      <c r="AA58" s="420" t="s"/>
      <c r="AB58" s="14" t="s"/>
      <c r="AC58" s="14" t="s"/>
      <c r="AD58" s="19" t="s"/>
      <c r="AE58" s="421" t="s">
        <v>5</v>
      </c>
      <c r="AF58" s="422" t="s"/>
    </row>
    <row r="59" spans="1:32">
      <c r="A59" s="48" t="s"/>
      <c r="B59" s="76" t="s"/>
      <c r="C59" s="76" t="s"/>
      <c r="D59" s="76" t="s"/>
      <c r="E59" s="76" t="s"/>
      <c r="F59" s="76" t="s"/>
      <c r="G59" s="76" t="s"/>
      <c r="H59" s="76" t="s"/>
      <c r="I59" s="48" t="s"/>
      <c r="J59" s="563" t="s">
        <v>63</v>
      </c>
      <c r="K59" s="201" t="s">
        <v>20</v>
      </c>
      <c r="L59" s="202" t="s">
        <v>113</v>
      </c>
      <c r="M59" s="203">
        <v>1</v>
      </c>
      <c r="N59" s="204" t="s">
        <v>35</v>
      </c>
      <c r="O59" s="86">
        <v>1</v>
      </c>
      <c r="P59" s="409" t="s"/>
      <c r="Y59" s="38" t="s"/>
      <c r="Z59" s="32" t="s"/>
      <c r="AA59" s="429" t="s">
        <v>8</v>
      </c>
      <c r="AB59" s="34" t="s">
        <v>9</v>
      </c>
      <c r="AC59" s="34" t="s">
        <v>10</v>
      </c>
      <c r="AD59" s="39" t="s">
        <v>11</v>
      </c>
      <c r="AE59" s="430" t="s">
        <v>16</v>
      </c>
      <c r="AF59" s="431" t="s">
        <v>17</v>
      </c>
    </row>
    <row r="60" spans="1:32">
      <c r="A60" s="76" t="s"/>
      <c r="B60" s="76" t="s"/>
      <c r="C60" s="76" t="s"/>
      <c r="D60" s="76" t="s"/>
      <c r="E60" s="76" t="s"/>
      <c r="F60" s="76" t="s"/>
      <c r="G60" s="76" t="s"/>
      <c r="H60" s="76" t="s"/>
      <c r="I60" s="76" t="s"/>
      <c r="J60" s="536" t="s"/>
      <c r="K60" s="201" t="s">
        <v>33</v>
      </c>
      <c r="L60" s="202" t="s">
        <v>64</v>
      </c>
      <c r="M60" s="203" t="s"/>
      <c r="N60" s="469" t="s">
        <v>30</v>
      </c>
      <c r="O60" s="86" t="s"/>
      <c r="P60" s="87">
        <v>1</v>
      </c>
      <c r="Q60" s="7" t="s"/>
      <c r="R60" s="17" t="s">
        <v>2</v>
      </c>
      <c r="S60" s="417" t="s"/>
      <c r="T60" s="417" t="s"/>
      <c r="U60" s="417" t="s"/>
      <c r="V60" s="418" t="s"/>
      <c r="W60" s="419" t="s">
        <v>114</v>
      </c>
      <c r="X60" s="15" t="s"/>
      <c r="Y60" s="12" t="s"/>
      <c r="Z60" s="90" t="s">
        <v>19</v>
      </c>
      <c r="AA60" s="442" t="s">
        <v>20</v>
      </c>
      <c r="AB60" s="69" t="s">
        <v>29</v>
      </c>
      <c r="AC60" s="70">
        <v>4</v>
      </c>
      <c r="AD60" s="71" t="s">
        <v>30</v>
      </c>
      <c r="AE60" s="443">
        <v>5</v>
      </c>
      <c r="AF60" s="444">
        <v>3</v>
      </c>
    </row>
    <row r="61" spans="1:32">
      <c r="A61" s="76" t="s"/>
      <c r="B61" s="76" t="s"/>
      <c r="C61" s="76" t="s"/>
      <c r="D61" s="76" t="s"/>
      <c r="E61" s="76" t="s"/>
      <c r="F61" s="76" t="s"/>
      <c r="G61" s="76" t="s"/>
      <c r="H61" s="76" t="s"/>
      <c r="I61" s="76" t="s"/>
      <c r="J61" s="564" t="s">
        <v>65</v>
      </c>
      <c r="K61" s="565" t="s">
        <v>25</v>
      </c>
      <c r="L61" s="566" t="s">
        <v>66</v>
      </c>
      <c r="M61" s="567">
        <v>4</v>
      </c>
      <c r="N61" s="567" t="s">
        <v>35</v>
      </c>
      <c r="O61" s="428">
        <v>1</v>
      </c>
      <c r="P61" s="87" t="s"/>
      <c r="Q61" s="48" t="s"/>
      <c r="R61" s="32" t="s"/>
      <c r="S61" s="33" t="s"/>
      <c r="T61" s="34" t="s">
        <v>9</v>
      </c>
      <c r="U61" s="34" t="s">
        <v>10</v>
      </c>
      <c r="V61" s="35" t="s">
        <v>11</v>
      </c>
      <c r="W61" s="36" t="s">
        <v>16</v>
      </c>
      <c r="X61" s="37" t="s">
        <v>17</v>
      </c>
      <c r="Y61" s="12" t="s"/>
      <c r="Z61" s="90" t="s"/>
      <c r="AA61" s="442" t="s">
        <v>25</v>
      </c>
      <c r="AB61" s="69" t="s">
        <v>36</v>
      </c>
      <c r="AC61" s="68" t="s"/>
      <c r="AD61" s="110" t="s">
        <v>30</v>
      </c>
      <c r="AE61" s="443">
        <v>1</v>
      </c>
      <c r="AF61" s="444">
        <v>1</v>
      </c>
    </row>
    <row r="62" spans="1:32">
      <c r="A62" s="76" t="s"/>
      <c r="B62" s="76" t="s"/>
      <c r="C62" s="76" t="s"/>
      <c r="D62" s="76" t="s"/>
      <c r="E62" s="76" t="s"/>
      <c r="F62" s="76" t="s"/>
      <c r="G62" s="76" t="s"/>
      <c r="H62" s="76" t="s"/>
      <c r="I62" s="76" t="s"/>
      <c r="J62" s="243" t="s">
        <v>70</v>
      </c>
      <c r="K62" s="244" t="s"/>
      <c r="L62" s="245" t="s">
        <v>27</v>
      </c>
      <c r="M62" s="246" t="s"/>
      <c r="N62" s="247" t="s"/>
      <c r="O62" s="86" t="s"/>
      <c r="P62" s="87" t="s"/>
      <c r="Q62" s="76" t="s"/>
      <c r="R62" s="568" t="s">
        <v>19</v>
      </c>
      <c r="S62" s="61" t="s">
        <v>47</v>
      </c>
      <c r="T62" s="62" t="s">
        <v>66</v>
      </c>
      <c r="U62" s="63" t="s"/>
      <c r="V62" s="64" t="s"/>
      <c r="W62" s="65" t="s"/>
      <c r="X62" s="89">
        <v>1</v>
      </c>
      <c r="Y62" s="12" t="s"/>
      <c r="Z62" s="119" t="s"/>
      <c r="AA62" s="442" t="s">
        <v>20</v>
      </c>
      <c r="AB62" s="69" t="s">
        <v>42</v>
      </c>
      <c r="AC62" s="68">
        <v>10</v>
      </c>
      <c r="AD62" s="110" t="s">
        <v>22</v>
      </c>
      <c r="AE62" s="443">
        <v>28</v>
      </c>
      <c r="AF62" s="444">
        <v>17</v>
      </c>
    </row>
    <row r="63" spans="1:32">
      <c r="A63" s="76" t="s"/>
      <c r="B63" s="76" t="s"/>
      <c r="C63" s="76" t="s"/>
      <c r="D63" s="76" t="s"/>
      <c r="E63" s="76" t="s"/>
      <c r="F63" s="76" t="s"/>
      <c r="G63" s="76" t="s"/>
      <c r="H63" s="76" t="s"/>
      <c r="I63" s="76" t="s"/>
      <c r="J63" s="569" t="s">
        <v>71</v>
      </c>
      <c r="K63" s="260" t="s">
        <v>20</v>
      </c>
      <c r="L63" s="261" t="s">
        <v>72</v>
      </c>
      <c r="M63" s="262">
        <v>1</v>
      </c>
      <c r="N63" s="263" t="s">
        <v>30</v>
      </c>
      <c r="O63" s="86" t="s"/>
      <c r="P63" s="87" t="s"/>
      <c r="Q63" s="76" t="s"/>
      <c r="R63" s="570" t="s"/>
      <c r="S63" s="61" t="s">
        <v>25</v>
      </c>
      <c r="T63" s="62" t="s">
        <v>21</v>
      </c>
      <c r="U63" s="63" t="s"/>
      <c r="V63" s="64" t="s"/>
      <c r="W63" s="65">
        <v>7</v>
      </c>
      <c r="X63" s="89">
        <v>6</v>
      </c>
      <c r="Y63" s="12" t="s"/>
      <c r="Z63" s="571" t="s">
        <v>32</v>
      </c>
      <c r="AA63" s="462" t="s">
        <v>44</v>
      </c>
      <c r="AB63" s="135" t="s">
        <v>34</v>
      </c>
      <c r="AC63" s="134">
        <v>3</v>
      </c>
      <c r="AD63" s="136" t="s">
        <v>35</v>
      </c>
      <c r="AE63" s="463" t="s"/>
      <c r="AF63" s="464" t="s"/>
    </row>
    <row r="64" spans="1:32">
      <c r="A64" s="76" t="s"/>
      <c r="B64" s="76" t="s"/>
      <c r="C64" s="76" t="s"/>
      <c r="D64" s="76" t="s"/>
      <c r="E64" s="76" t="s"/>
      <c r="F64" s="76" t="s"/>
      <c r="G64" s="76" t="s"/>
      <c r="H64" s="76" t="s"/>
      <c r="I64" s="76" t="s"/>
      <c r="J64" s="549" t="s"/>
      <c r="K64" s="260" t="s">
        <v>33</v>
      </c>
      <c r="L64" s="261" t="s">
        <v>108</v>
      </c>
      <c r="M64" s="262" t="s"/>
      <c r="N64" s="501" t="s">
        <v>30</v>
      </c>
      <c r="O64" s="86">
        <v>1</v>
      </c>
      <c r="P64" s="87">
        <v>1</v>
      </c>
      <c r="Q64" s="76" t="s"/>
      <c r="R64" s="572" t="s"/>
      <c r="S64" s="61" t="s">
        <v>20</v>
      </c>
      <c r="T64" s="62" t="s">
        <v>28</v>
      </c>
      <c r="U64" s="63">
        <v>15</v>
      </c>
      <c r="V64" s="64" t="s">
        <v>22</v>
      </c>
      <c r="W64" s="65">
        <v>16</v>
      </c>
      <c r="X64" s="89">
        <v>16</v>
      </c>
      <c r="Y64" s="12" t="s"/>
      <c r="Z64" s="219" t="s"/>
      <c r="AA64" s="462" t="s">
        <v>44</v>
      </c>
      <c r="AB64" s="150" t="s">
        <v>52</v>
      </c>
      <c r="AC64" s="134">
        <v>1</v>
      </c>
      <c r="AD64" s="136" t="s">
        <v>30</v>
      </c>
      <c r="AE64" s="463" t="s"/>
      <c r="AF64" s="464" t="s"/>
    </row>
    <row r="65" spans="1:32">
      <c r="A65" s="76" t="s"/>
      <c r="B65" s="76" t="s"/>
      <c r="C65" s="76" t="s"/>
      <c r="D65" s="76" t="s"/>
      <c r="E65" s="76" t="s"/>
      <c r="F65" s="76" t="s"/>
      <c r="G65" s="76" t="s"/>
      <c r="H65" s="76" t="s"/>
      <c r="I65" s="76" t="s"/>
      <c r="J65" s="573" t="s"/>
      <c r="K65" s="510" t="s">
        <v>33</v>
      </c>
      <c r="L65" s="511" t="s">
        <v>77</v>
      </c>
      <c r="M65" s="512" t="s"/>
      <c r="N65" s="513" t="s">
        <v>30</v>
      </c>
      <c r="O65" s="514" t="s"/>
      <c r="P65" s="515">
        <v>1</v>
      </c>
      <c r="Q65" s="76" t="s"/>
      <c r="R65" s="103" t="s">
        <v>32</v>
      </c>
      <c r="S65" s="104" t="s">
        <v>20</v>
      </c>
      <c r="T65" s="124" t="s">
        <v>34</v>
      </c>
      <c r="U65" s="106">
        <v>1</v>
      </c>
      <c r="V65" s="107" t="s">
        <v>35</v>
      </c>
      <c r="W65" s="108">
        <v>1</v>
      </c>
      <c r="X65" s="109" t="s"/>
      <c r="Y65" s="12" t="s"/>
      <c r="Z65" s="219" t="s"/>
      <c r="AA65" s="104" t="s">
        <v>25</v>
      </c>
      <c r="AB65" s="574" t="s">
        <v>56</v>
      </c>
      <c r="AC65" s="104" t="s"/>
      <c r="AD65" s="575" t="s"/>
      <c r="AE65" s="576">
        <v>1</v>
      </c>
      <c r="AF65" s="577" t="s"/>
    </row>
    <row r="66" spans="1:32">
      <c r="A66" s="76" t="s"/>
      <c r="B66" s="76" t="s"/>
      <c r="C66" s="76" t="s"/>
      <c r="D66" s="76" t="s"/>
      <c r="E66" s="76" t="s"/>
      <c r="F66" s="76" t="s"/>
      <c r="G66" s="76" t="s"/>
      <c r="H66" s="76" t="s"/>
      <c r="I66" s="76" t="s"/>
      <c r="J66" s="518" t="s">
        <v>7</v>
      </c>
      <c r="K66" s="519">
        <f>=SUM(M49:M63)</f>
        <v>31</v>
      </c>
      <c r="L66" s="520" t="s"/>
      <c r="M66" s="520" t="s"/>
      <c r="N66" s="521" t="s"/>
      <c r="O66" s="296">
        <f>=SUM(O49:O65)</f>
        <v>17</v>
      </c>
      <c r="P66" s="297">
        <f>=SUM(P49:P65)</f>
        <v>17</v>
      </c>
      <c r="Q66" s="76" t="s"/>
      <c r="R66" s="572" t="s"/>
      <c r="S66" s="104" t="s">
        <v>20</v>
      </c>
      <c r="T66" s="118" t="s">
        <v>41</v>
      </c>
      <c r="U66" s="106">
        <v>1</v>
      </c>
      <c r="V66" s="107" t="s">
        <v>35</v>
      </c>
      <c r="W66" s="108" t="s"/>
      <c r="X66" s="109" t="s"/>
      <c r="Y66" s="12" t="s"/>
      <c r="Z66" s="88" t="s"/>
      <c r="AA66" s="104" t="s">
        <v>25</v>
      </c>
      <c r="AB66" s="574" t="s">
        <v>60</v>
      </c>
      <c r="AC66" s="104" t="s"/>
      <c r="AD66" s="575" t="s"/>
      <c r="AE66" s="576">
        <v>1</v>
      </c>
      <c r="AF66" s="577" t="s"/>
    </row>
    <row r="67" spans="1:32">
      <c r="A67" s="76" t="s"/>
      <c r="B67" s="122" t="s"/>
      <c r="C67" s="122" t="s"/>
      <c r="D67" s="122" t="s"/>
      <c r="E67" s="122" t="s"/>
      <c r="F67" s="122" t="s"/>
      <c r="G67" s="122" t="s"/>
      <c r="H67" s="122" t="s"/>
      <c r="I67" s="76" t="s"/>
      <c r="J67" s="76" t="s"/>
      <c r="K67" s="76" t="s"/>
      <c r="L67" s="76" t="s"/>
      <c r="M67" s="76" t="s"/>
      <c r="N67" s="76" t="s"/>
      <c r="O67" s="76" t="s"/>
      <c r="P67" s="76" t="s"/>
      <c r="Q67" s="76" t="s"/>
      <c r="R67" s="127" t="s">
        <v>39</v>
      </c>
      <c r="S67" s="128" t="s">
        <v>20</v>
      </c>
      <c r="T67" s="129" t="s">
        <v>40</v>
      </c>
      <c r="U67" s="129">
        <v>5</v>
      </c>
      <c r="V67" s="130" t="s">
        <v>30</v>
      </c>
      <c r="W67" s="131">
        <v>1</v>
      </c>
      <c r="X67" s="132">
        <v>1</v>
      </c>
      <c r="Y67" s="12" t="s"/>
      <c r="Z67" s="166" t="s">
        <v>39</v>
      </c>
      <c r="AA67" s="470" t="s">
        <v>20</v>
      </c>
      <c r="AB67" s="168" t="s">
        <v>40</v>
      </c>
      <c r="AC67" s="169">
        <v>6</v>
      </c>
      <c r="AD67" s="170" t="s">
        <v>35</v>
      </c>
      <c r="AE67" s="471">
        <v>1</v>
      </c>
      <c r="AF67" s="472">
        <v>1</v>
      </c>
    </row>
    <row r="68" spans="1:32">
      <c r="A68" s="122" t="s"/>
      <c r="B68" s="122" t="s"/>
      <c r="C68" s="122" t="s"/>
      <c r="D68" s="122" t="s"/>
      <c r="E68" s="122" t="s"/>
      <c r="F68" s="122" t="s"/>
      <c r="G68" s="122" t="s"/>
      <c r="H68" s="122" t="s"/>
      <c r="I68" s="122" t="s"/>
      <c r="K68" s="122" t="s"/>
      <c r="L68" s="122" t="s"/>
      <c r="M68" s="122" t="s"/>
      <c r="N68" s="122" t="s"/>
      <c r="O68" s="122" t="s"/>
      <c r="P68" s="122" t="s"/>
      <c r="Q68" s="76" t="s"/>
      <c r="R68" s="155" t="s"/>
      <c r="S68" s="128" t="s">
        <v>20</v>
      </c>
      <c r="T68" s="129" t="s">
        <v>46</v>
      </c>
      <c r="U68" s="129">
        <v>2</v>
      </c>
      <c r="V68" s="130" t="s">
        <v>30</v>
      </c>
      <c r="W68" s="131" t="s"/>
      <c r="X68" s="132" t="s"/>
      <c r="Y68" s="12" t="s"/>
      <c r="Z68" s="119" t="s"/>
      <c r="AA68" s="470" t="s">
        <v>20</v>
      </c>
      <c r="AB68" s="168" t="s">
        <v>46</v>
      </c>
      <c r="AC68" s="168">
        <v>3</v>
      </c>
      <c r="AD68" s="190" t="s">
        <v>30</v>
      </c>
      <c r="AE68" s="471">
        <v>2</v>
      </c>
      <c r="AF68" s="472">
        <v>2</v>
      </c>
    </row>
    <row r="69" spans="1:32">
      <c r="A69" s="122" t="s"/>
      <c r="B69" s="122" t="s"/>
      <c r="C69" s="122" t="s"/>
      <c r="D69" s="122" t="s"/>
      <c r="E69" s="122" t="s"/>
      <c r="F69" s="122" t="s"/>
      <c r="G69" s="122" t="s"/>
      <c r="H69" s="122" t="s"/>
      <c r="I69" s="122" t="s"/>
      <c r="J69" s="578" t="s">
        <v>14</v>
      </c>
      <c r="K69" s="579" t="s"/>
      <c r="L69" s="580" t="s"/>
      <c r="M69" s="580" t="s"/>
      <c r="N69" s="581" t="s"/>
      <c r="O69" s="582" t="s">
        <v>115</v>
      </c>
      <c r="P69" s="53" t="s"/>
      <c r="Q69" s="76" t="s"/>
      <c r="R69" s="155" t="s"/>
      <c r="S69" s="128" t="s">
        <v>20</v>
      </c>
      <c r="T69" s="129" t="s">
        <v>49</v>
      </c>
      <c r="U69" s="129">
        <v>2</v>
      </c>
      <c r="V69" s="130" t="s">
        <v>30</v>
      </c>
      <c r="W69" s="131" t="s"/>
      <c r="X69" s="132" t="s"/>
      <c r="Y69" s="12" t="s"/>
      <c r="Z69" s="166" t="s"/>
      <c r="AA69" s="470" t="s">
        <v>25</v>
      </c>
      <c r="AB69" s="209" t="s">
        <v>62</v>
      </c>
      <c r="AC69" s="168" t="s"/>
      <c r="AD69" s="190" t="s">
        <v>35</v>
      </c>
      <c r="AE69" s="471">
        <v>1</v>
      </c>
      <c r="AF69" s="472">
        <v>1</v>
      </c>
    </row>
    <row r="70" spans="1:32">
      <c r="A70" s="122" t="s"/>
      <c r="B70" s="122" t="s"/>
      <c r="C70" s="122" t="s"/>
      <c r="D70" s="122" t="s"/>
      <c r="E70" s="122" t="s"/>
      <c r="F70" s="122" t="s"/>
      <c r="G70" s="122" t="s"/>
      <c r="H70" s="122" t="s"/>
      <c r="I70" s="122" t="s"/>
      <c r="J70" s="583" t="s"/>
      <c r="K70" s="55" t="s"/>
      <c r="L70" s="56" t="s">
        <v>9</v>
      </c>
      <c r="M70" s="56" t="s">
        <v>10</v>
      </c>
      <c r="N70" s="584" t="s">
        <v>11</v>
      </c>
      <c r="O70" s="585" t="s">
        <v>16</v>
      </c>
      <c r="P70" s="357" t="s">
        <v>17</v>
      </c>
      <c r="Q70" s="122" t="s"/>
      <c r="R70" s="586" t="s">
        <v>50</v>
      </c>
      <c r="S70" s="158" t="s">
        <v>25</v>
      </c>
      <c r="T70" s="159" t="s">
        <v>107</v>
      </c>
      <c r="U70" s="159" t="s"/>
      <c r="V70" s="186" t="s">
        <v>30</v>
      </c>
      <c r="W70" s="187" t="s"/>
      <c r="X70" s="500">
        <v>1</v>
      </c>
      <c r="Y70" s="12" t="s"/>
      <c r="Z70" s="119" t="s"/>
      <c r="AA70" s="470" t="s">
        <v>20</v>
      </c>
      <c r="AB70" s="209" t="s">
        <v>49</v>
      </c>
      <c r="AC70" s="168">
        <v>2</v>
      </c>
      <c r="AD70" s="190" t="s">
        <v>35</v>
      </c>
      <c r="AE70" s="471" t="s"/>
      <c r="AF70" s="472" t="s"/>
    </row>
    <row r="71" spans="1:32">
      <c r="A71" s="122" t="s"/>
      <c r="B71" s="122" t="s"/>
      <c r="C71" s="122" t="s"/>
      <c r="D71" s="122" t="s"/>
      <c r="E71" s="122" t="s"/>
      <c r="F71" s="122" t="s"/>
      <c r="G71" s="122" t="s"/>
      <c r="H71" s="122" t="s"/>
      <c r="I71" s="122" t="s"/>
      <c r="J71" s="587" t="s">
        <v>19</v>
      </c>
      <c r="K71" s="367" t="s">
        <v>25</v>
      </c>
      <c r="L71" s="368" t="s">
        <v>93</v>
      </c>
      <c r="M71" s="369">
        <v>2</v>
      </c>
      <c r="N71" s="588" t="s">
        <v>35</v>
      </c>
      <c r="O71" s="589">
        <v>2</v>
      </c>
      <c r="P71" s="87" t="s"/>
      <c r="Q71" s="122" t="s"/>
      <c r="R71" s="590" t="s"/>
      <c r="S71" s="158" t="s">
        <v>25</v>
      </c>
      <c r="T71" s="159" t="s">
        <v>109</v>
      </c>
      <c r="U71" s="159" t="s"/>
      <c r="V71" s="186" t="s">
        <v>30</v>
      </c>
      <c r="W71" s="187">
        <v>1</v>
      </c>
      <c r="X71" s="500">
        <v>1</v>
      </c>
      <c r="Y71" s="12" t="s"/>
      <c r="Z71" s="503" t="s">
        <v>50</v>
      </c>
      <c r="AA71" s="591" t="s">
        <v>97</v>
      </c>
      <c r="AB71" s="504" t="s">
        <v>110</v>
      </c>
      <c r="AC71" s="504" t="s"/>
      <c r="AD71" s="505" t="s">
        <v>35</v>
      </c>
      <c r="AE71" s="506">
        <v>1</v>
      </c>
      <c r="AF71" s="507">
        <v>1</v>
      </c>
    </row>
    <row r="72" spans="1:32">
      <c r="A72" s="122" t="s"/>
      <c r="B72" s="76" t="s"/>
      <c r="C72" s="76" t="s"/>
      <c r="D72" s="76" t="s"/>
      <c r="E72" s="76" t="s"/>
      <c r="F72" s="76" t="s"/>
      <c r="G72" s="76" t="s"/>
      <c r="H72" s="76" t="s"/>
      <c r="I72" s="122" t="s"/>
      <c r="J72" s="592" t="s"/>
      <c r="K72" s="367" t="s">
        <v>25</v>
      </c>
      <c r="L72" s="368" t="s">
        <v>96</v>
      </c>
      <c r="M72" s="369" t="s"/>
      <c r="N72" s="588" t="s">
        <v>35</v>
      </c>
      <c r="O72" s="589">
        <v>1</v>
      </c>
      <c r="P72" s="87">
        <v>1</v>
      </c>
      <c r="Q72" s="122" t="s"/>
      <c r="R72" s="590" t="s"/>
      <c r="S72" s="158" t="s">
        <v>25</v>
      </c>
      <c r="T72" s="159" t="s">
        <v>51</v>
      </c>
      <c r="U72" s="159" t="s"/>
      <c r="V72" s="186" t="s">
        <v>30</v>
      </c>
      <c r="W72" s="187">
        <v>1</v>
      </c>
      <c r="X72" s="500">
        <v>1</v>
      </c>
      <c r="Y72" s="12" t="s"/>
      <c r="Z72" s="593" t="s"/>
      <c r="AA72" s="594" t="s">
        <v>97</v>
      </c>
      <c r="AB72" s="517" t="s">
        <v>116</v>
      </c>
      <c r="AC72" s="517" t="s"/>
      <c r="AD72" s="595" t="s">
        <v>35</v>
      </c>
      <c r="AE72" s="596">
        <v>1</v>
      </c>
      <c r="AF72" s="597" t="s"/>
    </row>
    <row r="73" spans="1:32">
      <c r="A73" s="76" t="s"/>
      <c r="B73" s="76" t="s"/>
      <c r="C73" s="76" t="s"/>
      <c r="D73" s="76" t="s"/>
      <c r="E73" s="76" t="s"/>
      <c r="F73" s="76" t="s"/>
      <c r="G73" s="76" t="s"/>
      <c r="H73" s="76" t="s"/>
      <c r="I73" s="76" t="s"/>
      <c r="J73" s="598" t="s"/>
      <c r="K73" s="391" t="s">
        <v>25</v>
      </c>
      <c r="L73" s="392" t="s">
        <v>21</v>
      </c>
      <c r="M73" s="393" t="s"/>
      <c r="N73" s="599" t="s">
        <v>35</v>
      </c>
      <c r="O73" s="600">
        <v>1</v>
      </c>
      <c r="P73" s="395">
        <v>1</v>
      </c>
      <c r="Q73" s="122" t="s"/>
      <c r="R73" s="570" t="s"/>
      <c r="S73" s="158" t="s">
        <v>20</v>
      </c>
      <c r="T73" s="159" t="s">
        <v>59</v>
      </c>
      <c r="U73" s="159">
        <v>3</v>
      </c>
      <c r="V73" s="186" t="s">
        <v>30</v>
      </c>
      <c r="W73" s="187">
        <v>2</v>
      </c>
      <c r="X73" s="188" t="s"/>
      <c r="Y73" s="12" t="s"/>
      <c r="Z73" s="601" t="s"/>
      <c r="AA73" s="591" t="s">
        <v>97</v>
      </c>
      <c r="AB73" s="504" t="s">
        <v>111</v>
      </c>
      <c r="AC73" s="504" t="s"/>
      <c r="AD73" s="505" t="s">
        <v>35</v>
      </c>
      <c r="AE73" s="506">
        <v>1</v>
      </c>
      <c r="AF73" s="507">
        <v>1</v>
      </c>
    </row>
    <row r="74" spans="1:32">
      <c r="A74" s="76" t="s"/>
      <c r="B74" s="76" t="s"/>
      <c r="C74" s="76" t="s"/>
      <c r="D74" s="76" t="s"/>
      <c r="E74" s="76" t="s"/>
      <c r="F74" s="76" t="s"/>
      <c r="G74" s="76" t="s"/>
      <c r="H74" s="76" t="s"/>
      <c r="I74" s="76" t="s"/>
      <c r="J74" s="602" t="s">
        <v>32</v>
      </c>
      <c r="K74" s="603" t="s">
        <v>33</v>
      </c>
      <c r="L74" s="604" t="s">
        <v>34</v>
      </c>
      <c r="M74" s="605">
        <v>2</v>
      </c>
      <c r="N74" s="606" t="s">
        <v>35</v>
      </c>
      <c r="O74" s="600">
        <v>3</v>
      </c>
      <c r="P74" s="395">
        <v>3</v>
      </c>
      <c r="Q74" s="122" t="s"/>
      <c r="R74" s="572" t="s"/>
      <c r="S74" s="158" t="s"/>
      <c r="T74" s="159" t="s"/>
      <c r="U74" s="159" t="s"/>
      <c r="V74" s="186" t="s"/>
      <c r="W74" s="187" t="s"/>
      <c r="X74" s="188" t="s"/>
      <c r="Y74" s="12" t="s"/>
      <c r="Z74" s="220" t="s">
        <v>54</v>
      </c>
      <c r="AA74" s="522" t="s">
        <v>47</v>
      </c>
      <c r="AB74" s="222" t="s">
        <v>57</v>
      </c>
      <c r="AC74" s="221">
        <v>2</v>
      </c>
      <c r="AD74" s="223" t="s">
        <v>35</v>
      </c>
      <c r="AE74" s="523" t="s"/>
      <c r="AF74" s="524" t="s"/>
    </row>
    <row r="75" spans="1:32">
      <c r="A75" s="76" t="s"/>
      <c r="B75" s="76" t="s"/>
      <c r="C75" s="76" t="s"/>
      <c r="D75" s="76" t="s"/>
      <c r="E75" s="76" t="s"/>
      <c r="F75" s="76" t="s"/>
      <c r="G75" s="76" t="s"/>
      <c r="H75" s="76" t="s"/>
      <c r="I75" s="76" t="s"/>
      <c r="J75" s="607" t="s">
        <v>39</v>
      </c>
      <c r="K75" s="425" t="s">
        <v>20</v>
      </c>
      <c r="L75" s="426" t="s">
        <v>40</v>
      </c>
      <c r="M75" s="426">
        <v>3</v>
      </c>
      <c r="N75" s="608" t="s">
        <v>30</v>
      </c>
      <c r="O75" s="600">
        <v>3</v>
      </c>
      <c r="P75" s="395">
        <v>2</v>
      </c>
      <c r="Q75" s="76" t="s"/>
      <c r="R75" s="205" t="s">
        <v>54</v>
      </c>
      <c r="S75" s="174" t="s">
        <v>20</v>
      </c>
      <c r="T75" s="175" t="s">
        <v>55</v>
      </c>
      <c r="U75" s="176">
        <v>6</v>
      </c>
      <c r="V75" s="206" t="s">
        <v>35</v>
      </c>
      <c r="W75" s="207">
        <v>4</v>
      </c>
      <c r="X75" s="208">
        <v>4</v>
      </c>
      <c r="Y75" s="12" t="s"/>
      <c r="Z75" s="220" t="s"/>
      <c r="AA75" s="522" t="s">
        <v>20</v>
      </c>
      <c r="AB75" s="236" t="s">
        <v>57</v>
      </c>
      <c r="AC75" s="221">
        <v>4</v>
      </c>
      <c r="AD75" s="223" t="s">
        <v>35</v>
      </c>
      <c r="AE75" s="523">
        <v>6</v>
      </c>
      <c r="AF75" s="524">
        <v>5</v>
      </c>
    </row>
    <row r="76" spans="1:32">
      <c r="A76" s="76" t="s"/>
      <c r="B76" s="76" t="s"/>
      <c r="C76" s="76" t="s"/>
      <c r="D76" s="76" t="s"/>
      <c r="E76" s="76" t="s"/>
      <c r="F76" s="76" t="s"/>
      <c r="G76" s="76" t="s"/>
      <c r="H76" s="76" t="s"/>
      <c r="I76" s="76" t="s"/>
      <c r="J76" s="609" t="s"/>
      <c r="K76" s="425" t="s">
        <v>20</v>
      </c>
      <c r="L76" s="426" t="s">
        <v>46</v>
      </c>
      <c r="M76" s="426">
        <v>1</v>
      </c>
      <c r="N76" s="608" t="s">
        <v>30</v>
      </c>
      <c r="O76" s="600">
        <v>1</v>
      </c>
      <c r="P76" s="395">
        <v>1</v>
      </c>
      <c r="Q76" s="76" t="s"/>
      <c r="R76" s="570" t="s"/>
      <c r="S76" s="174" t="s">
        <v>20</v>
      </c>
      <c r="T76" s="175" t="s">
        <v>57</v>
      </c>
      <c r="U76" s="176">
        <v>5</v>
      </c>
      <c r="V76" s="206" t="s">
        <v>35</v>
      </c>
      <c r="W76" s="207">
        <v>3</v>
      </c>
      <c r="X76" s="208">
        <v>3</v>
      </c>
      <c r="Y76" s="12" t="s"/>
      <c r="Z76" s="119" t="s"/>
      <c r="AA76" s="526" t="s">
        <v>44</v>
      </c>
      <c r="AB76" s="236" t="s">
        <v>55</v>
      </c>
      <c r="AC76" s="252">
        <v>1</v>
      </c>
      <c r="AD76" s="223" t="s">
        <v>35</v>
      </c>
      <c r="AE76" s="523">
        <v>2</v>
      </c>
      <c r="AF76" s="527">
        <v>2</v>
      </c>
    </row>
    <row r="77" spans="1:32">
      <c r="A77" s="76" t="s"/>
      <c r="B77" s="76" t="s"/>
      <c r="C77" s="76" t="s"/>
      <c r="D77" s="76" t="s"/>
      <c r="E77" s="76" t="s"/>
      <c r="F77" s="76" t="s"/>
      <c r="G77" s="76" t="s"/>
      <c r="H77" s="76" t="s"/>
      <c r="I77" s="76" t="s"/>
      <c r="J77" s="610" t="s"/>
      <c r="K77" s="425" t="s">
        <v>25</v>
      </c>
      <c r="L77" s="426" t="s">
        <v>49</v>
      </c>
      <c r="M77" s="426" t="s"/>
      <c r="N77" s="608" t="s"/>
      <c r="O77" s="600">
        <v>1</v>
      </c>
      <c r="P77" s="395">
        <v>1</v>
      </c>
      <c r="Q77" s="76" t="s"/>
      <c r="R77" s="572" t="s"/>
      <c r="S77" s="174" t="s">
        <v>20</v>
      </c>
      <c r="T77" s="175" t="s">
        <v>68</v>
      </c>
      <c r="U77" s="176">
        <v>1</v>
      </c>
      <c r="V77" s="206" t="s">
        <v>35</v>
      </c>
      <c r="W77" s="207" t="s"/>
      <c r="X77" s="208" t="s"/>
      <c r="Y77" s="12" t="s"/>
      <c r="Z77" s="220" t="s"/>
      <c r="AA77" s="526" t="s">
        <v>44</v>
      </c>
      <c r="AB77" s="236" t="s">
        <v>74</v>
      </c>
      <c r="AC77" s="252">
        <v>1</v>
      </c>
      <c r="AD77" s="223" t="s">
        <v>30</v>
      </c>
      <c r="AE77" s="523" t="s"/>
      <c r="AF77" s="527" t="s"/>
    </row>
    <row r="78" spans="1:32">
      <c r="A78" s="76" t="s"/>
      <c r="B78" s="76" t="s"/>
      <c r="C78" s="76" t="s"/>
      <c r="D78" s="76" t="s"/>
      <c r="E78" s="76" t="s"/>
      <c r="F78" s="76" t="s"/>
      <c r="G78" s="76" t="s"/>
      <c r="H78" s="76" t="s"/>
      <c r="I78" s="76" t="s"/>
      <c r="J78" s="611" t="s">
        <v>50</v>
      </c>
      <c r="K78" s="612" t="s">
        <v>20</v>
      </c>
      <c r="L78" s="613" t="s">
        <v>51</v>
      </c>
      <c r="M78" s="613">
        <v>2</v>
      </c>
      <c r="N78" s="614" t="s">
        <v>35</v>
      </c>
      <c r="O78" s="600">
        <v>2</v>
      </c>
      <c r="P78" s="395">
        <v>2</v>
      </c>
      <c r="Q78" s="76" t="s"/>
      <c r="R78" s="248" t="s">
        <v>63</v>
      </c>
      <c r="S78" s="534" t="s">
        <v>20</v>
      </c>
      <c r="T78" s="213" t="s">
        <v>38</v>
      </c>
      <c r="U78" s="214">
        <v>2</v>
      </c>
      <c r="V78" s="249" t="s">
        <v>35</v>
      </c>
      <c r="W78" s="250">
        <v>2</v>
      </c>
      <c r="X78" s="251">
        <v>2</v>
      </c>
      <c r="Y78" s="12" t="s"/>
      <c r="Z78" s="280" t="s">
        <v>63</v>
      </c>
      <c r="AA78" s="530" t="s">
        <v>20</v>
      </c>
      <c r="AB78" s="282" t="s">
        <v>64</v>
      </c>
      <c r="AC78" s="281">
        <v>1</v>
      </c>
      <c r="AD78" s="283" t="s">
        <v>30</v>
      </c>
      <c r="AE78" s="531" t="s"/>
      <c r="AF78" s="532" t="s"/>
    </row>
    <row r="79" spans="1:32">
      <c r="A79" s="76" t="s"/>
      <c r="B79" s="76" t="s"/>
      <c r="C79" s="76" t="s"/>
      <c r="D79" s="76" t="s"/>
      <c r="E79" s="76" t="s"/>
      <c r="F79" s="76" t="s"/>
      <c r="G79" s="76" t="s"/>
      <c r="H79" s="76" t="s"/>
      <c r="I79" s="76" t="s"/>
      <c r="J79" s="615" t="s">
        <v>54</v>
      </c>
      <c r="K79" s="179" t="s">
        <v>20</v>
      </c>
      <c r="L79" s="180" t="s">
        <v>55</v>
      </c>
      <c r="M79" s="181">
        <v>4</v>
      </c>
      <c r="N79" s="616" t="s">
        <v>35</v>
      </c>
      <c r="O79" s="600">
        <v>3</v>
      </c>
      <c r="P79" s="395">
        <v>4</v>
      </c>
      <c r="Q79" s="76" t="s"/>
      <c r="R79" s="572" t="s"/>
      <c r="S79" s="212" t="s">
        <v>33</v>
      </c>
      <c r="T79" s="213" t="s">
        <v>73</v>
      </c>
      <c r="U79" s="214">
        <v>1</v>
      </c>
      <c r="V79" s="249" t="s">
        <v>30</v>
      </c>
      <c r="W79" s="250">
        <v>2</v>
      </c>
      <c r="X79" s="251">
        <v>1</v>
      </c>
      <c r="Y79" s="12" t="s"/>
      <c r="Z79" s="119" t="s"/>
      <c r="AA79" s="535" t="s">
        <v>20</v>
      </c>
      <c r="AB79" s="282" t="s">
        <v>38</v>
      </c>
      <c r="AC79" s="281">
        <v>1</v>
      </c>
      <c r="AD79" s="283" t="s">
        <v>35</v>
      </c>
      <c r="AE79" s="531">
        <v>2</v>
      </c>
      <c r="AF79" s="532">
        <v>2</v>
      </c>
    </row>
    <row r="80" spans="1:32">
      <c r="A80" s="76" t="s"/>
      <c r="B80" s="76" t="s"/>
      <c r="C80" s="76" t="s"/>
      <c r="D80" s="76" t="s"/>
      <c r="E80" s="76" t="s"/>
      <c r="F80" s="76" t="s"/>
      <c r="G80" s="76" t="s"/>
      <c r="H80" s="76" t="s"/>
      <c r="I80" s="76" t="s"/>
      <c r="J80" s="592" t="s"/>
      <c r="K80" s="179" t="s">
        <v>25</v>
      </c>
      <c r="L80" s="180" t="s">
        <v>58</v>
      </c>
      <c r="M80" s="181" t="s"/>
      <c r="N80" s="616" t="s">
        <v>30</v>
      </c>
      <c r="O80" s="600">
        <v>2</v>
      </c>
      <c r="P80" s="395">
        <v>1</v>
      </c>
      <c r="Q80" s="76" t="s"/>
      <c r="R80" s="322" t="s">
        <v>65</v>
      </c>
      <c r="S80" s="323" t="s">
        <v>20</v>
      </c>
      <c r="T80" s="617" t="s">
        <v>46</v>
      </c>
      <c r="U80" s="618">
        <v>1</v>
      </c>
      <c r="V80" s="619" t="s">
        <v>30</v>
      </c>
      <c r="W80" s="620" t="s"/>
      <c r="X80" s="279">
        <v>1</v>
      </c>
      <c r="Y80" s="38" t="s"/>
      <c r="Z80" s="322" t="s">
        <v>65</v>
      </c>
      <c r="AA80" s="542" t="s">
        <v>20</v>
      </c>
      <c r="AB80" s="324" t="s">
        <v>60</v>
      </c>
      <c r="AC80" s="323">
        <v>3</v>
      </c>
      <c r="AD80" s="325" t="s">
        <v>30</v>
      </c>
      <c r="AE80" s="543">
        <v>4</v>
      </c>
      <c r="AF80" s="544">
        <v>2</v>
      </c>
    </row>
    <row r="81" spans="1:32">
      <c r="A81" s="76" t="s"/>
      <c r="B81" s="76" t="s"/>
      <c r="C81" s="76" t="s"/>
      <c r="D81" s="76" t="s"/>
      <c r="E81" s="76" t="s"/>
      <c r="F81" s="76" t="s"/>
      <c r="G81" s="76" t="s"/>
      <c r="H81" s="76" t="s"/>
      <c r="I81" s="76" t="s"/>
      <c r="J81" s="592" t="s"/>
      <c r="K81" s="179" t="s">
        <v>20</v>
      </c>
      <c r="L81" s="180" t="s">
        <v>57</v>
      </c>
      <c r="M81" s="181">
        <v>8</v>
      </c>
      <c r="N81" s="616" t="s">
        <v>35</v>
      </c>
      <c r="O81" s="600">
        <v>5</v>
      </c>
      <c r="P81" s="395">
        <v>3</v>
      </c>
      <c r="Q81" s="76" t="s"/>
      <c r="R81" s="298" t="s">
        <v>70</v>
      </c>
      <c r="S81" s="299" t="s">
        <v>20</v>
      </c>
      <c r="T81" s="300" t="s">
        <v>78</v>
      </c>
      <c r="U81" s="301">
        <v>1</v>
      </c>
      <c r="V81" s="302" t="s">
        <v>30</v>
      </c>
      <c r="W81" s="303" t="s"/>
      <c r="X81" s="304" t="s"/>
      <c r="Y81" s="12" t="s"/>
      <c r="Z81" s="298" t="s">
        <v>70</v>
      </c>
      <c r="AA81" s="299" t="s">
        <v>25</v>
      </c>
      <c r="AB81" s="621" t="s">
        <v>76</v>
      </c>
      <c r="AC81" s="299" t="s"/>
      <c r="AD81" s="622" t="s"/>
      <c r="AE81" s="623">
        <v>1</v>
      </c>
      <c r="AF81" s="624" t="s"/>
    </row>
    <row r="82" spans="1:32">
      <c r="A82" s="76" t="s"/>
      <c r="B82" s="76" t="s"/>
      <c r="C82" s="76" t="s"/>
      <c r="D82" s="76" t="s"/>
      <c r="E82" s="76" t="s"/>
      <c r="F82" s="76" t="s"/>
      <c r="G82" s="76" t="s"/>
      <c r="H82" s="76" t="s"/>
      <c r="I82" s="76" t="s"/>
      <c r="J82" s="598" t="s"/>
      <c r="K82" s="179" t="s">
        <v>25</v>
      </c>
      <c r="L82" s="180" t="s">
        <v>117</v>
      </c>
      <c r="M82" s="181" t="s"/>
      <c r="N82" s="616" t="s">
        <v>35</v>
      </c>
      <c r="O82" s="600">
        <v>1</v>
      </c>
      <c r="P82" s="395">
        <v>1</v>
      </c>
      <c r="Q82" s="76" t="s"/>
      <c r="R82" s="194" t="s"/>
      <c r="S82" s="299" t="s">
        <v>20</v>
      </c>
      <c r="T82" s="300" t="s">
        <v>81</v>
      </c>
      <c r="U82" s="301">
        <v>1</v>
      </c>
      <c r="V82" s="302" t="s">
        <v>35</v>
      </c>
      <c r="W82" s="303" t="s"/>
      <c r="X82" s="304">
        <v>1</v>
      </c>
      <c r="Y82" s="12" t="s"/>
      <c r="Z82" s="339" t="s">
        <v>71</v>
      </c>
      <c r="AA82" s="545" t="s">
        <v>44</v>
      </c>
      <c r="AB82" s="341" t="s">
        <v>84</v>
      </c>
      <c r="AC82" s="342">
        <v>1</v>
      </c>
      <c r="AD82" s="343" t="s">
        <v>30</v>
      </c>
      <c r="AE82" s="546" t="s"/>
      <c r="AF82" s="547" t="s"/>
    </row>
    <row r="83" spans="1:32">
      <c r="A83" s="76" t="s"/>
      <c r="B83" s="76" t="s"/>
      <c r="C83" s="76" t="s"/>
      <c r="D83" s="76" t="s"/>
      <c r="E83" s="76" t="s"/>
      <c r="F83" s="76" t="s"/>
      <c r="G83" s="76" t="s"/>
      <c r="H83" s="76" t="s"/>
      <c r="I83" s="76" t="s"/>
      <c r="J83" s="625" t="s">
        <v>63</v>
      </c>
      <c r="K83" s="216" t="s">
        <v>20</v>
      </c>
      <c r="L83" s="626" t="s">
        <v>113</v>
      </c>
      <c r="M83" s="627">
        <v>1</v>
      </c>
      <c r="N83" s="628" t="s">
        <v>35</v>
      </c>
      <c r="O83" s="600">
        <v>1</v>
      </c>
      <c r="P83" s="395">
        <v>1</v>
      </c>
      <c r="Q83" s="76" t="s"/>
      <c r="R83" s="629" t="s">
        <v>71</v>
      </c>
      <c r="S83" s="288" t="s">
        <v>33</v>
      </c>
      <c r="T83" s="289" t="s">
        <v>72</v>
      </c>
      <c r="U83" s="290">
        <v>1</v>
      </c>
      <c r="V83" s="336" t="s">
        <v>30</v>
      </c>
      <c r="W83" s="337">
        <v>1</v>
      </c>
      <c r="X83" s="338">
        <v>1</v>
      </c>
      <c r="Y83" s="12" t="s"/>
      <c r="Z83" s="119" t="s"/>
      <c r="AA83" s="545" t="s">
        <v>20</v>
      </c>
      <c r="AB83" s="341" t="s">
        <v>72</v>
      </c>
      <c r="AC83" s="342">
        <v>1</v>
      </c>
      <c r="AD83" s="343" t="s">
        <v>30</v>
      </c>
      <c r="AE83" s="546" t="s"/>
      <c r="AF83" s="547" t="s"/>
    </row>
    <row r="84" spans="1:32">
      <c r="A84" s="76" t="s"/>
      <c r="B84" s="76" t="s"/>
      <c r="C84" s="76" t="s"/>
      <c r="D84" s="76" t="s"/>
      <c r="E84" s="76" t="s"/>
      <c r="F84" s="76" t="s"/>
      <c r="G84" s="76" t="s"/>
      <c r="H84" s="76" t="s"/>
      <c r="I84" s="76" t="s"/>
      <c r="J84" s="592" t="s"/>
      <c r="K84" s="216" t="s">
        <v>33</v>
      </c>
      <c r="L84" s="626" t="s">
        <v>64</v>
      </c>
      <c r="M84" s="627" t="s"/>
      <c r="N84" s="628" t="s">
        <v>30</v>
      </c>
      <c r="O84" s="600" t="s"/>
      <c r="P84" s="395">
        <v>1</v>
      </c>
      <c r="Q84" s="76" t="s"/>
      <c r="R84" s="219" t="s"/>
      <c r="S84" s="288" t="s">
        <v>20</v>
      </c>
      <c r="T84" s="289" t="s">
        <v>118</v>
      </c>
      <c r="U84" s="290">
        <v>1</v>
      </c>
      <c r="V84" s="336" t="s">
        <v>30</v>
      </c>
      <c r="W84" s="337">
        <v>1</v>
      </c>
      <c r="X84" s="338" t="s"/>
      <c r="Y84" s="12" t="s"/>
      <c r="Z84" s="119" t="s"/>
      <c r="AA84" s="545" t="s">
        <v>20</v>
      </c>
      <c r="AB84" s="358" t="s">
        <v>90</v>
      </c>
      <c r="AC84" s="359">
        <v>1</v>
      </c>
      <c r="AD84" s="360" t="s">
        <v>30</v>
      </c>
      <c r="AE84" s="546">
        <v>1</v>
      </c>
      <c r="AF84" s="547">
        <v>1</v>
      </c>
    </row>
    <row r="85" spans="1:32">
      <c r="A85" s="76" t="s"/>
      <c r="B85" s="349" t="s"/>
      <c r="C85" s="349" t="s"/>
      <c r="D85" s="349" t="s"/>
      <c r="E85" s="349" t="s"/>
      <c r="F85" s="349" t="s"/>
      <c r="G85" s="349" t="s"/>
      <c r="H85" s="349" t="s"/>
      <c r="I85" s="76" t="s"/>
      <c r="J85" s="630" t="s"/>
      <c r="K85" s="216" t="s">
        <v>25</v>
      </c>
      <c r="L85" s="626" t="s">
        <v>119</v>
      </c>
      <c r="M85" s="627" t="s"/>
      <c r="N85" s="628" t="s">
        <v>30</v>
      </c>
      <c r="O85" s="600">
        <v>1</v>
      </c>
      <c r="P85" s="395">
        <v>1</v>
      </c>
      <c r="Q85" s="76" t="s"/>
      <c r="R85" s="219" t="s"/>
      <c r="S85" s="288" t="s">
        <v>20</v>
      </c>
      <c r="T85" s="289" t="s">
        <v>83</v>
      </c>
      <c r="U85" s="290">
        <v>1</v>
      </c>
      <c r="V85" s="336" t="s">
        <v>30</v>
      </c>
      <c r="W85" s="337" t="s"/>
      <c r="X85" s="338" t="s"/>
      <c r="Y85" s="12" t="s"/>
      <c r="Z85" s="629" t="s"/>
      <c r="AA85" s="631" t="s">
        <v>20</v>
      </c>
      <c r="AB85" s="632" t="s">
        <v>94</v>
      </c>
      <c r="AC85" s="631">
        <v>2</v>
      </c>
      <c r="AD85" s="633" t="s">
        <v>30</v>
      </c>
      <c r="AE85" s="634">
        <v>2</v>
      </c>
      <c r="AF85" s="635">
        <v>1</v>
      </c>
    </row>
    <row r="86" spans="1:32">
      <c r="A86" s="349" t="s"/>
      <c r="B86" s="12" t="s"/>
      <c r="C86" s="12" t="s"/>
      <c r="D86" s="12" t="s"/>
      <c r="E86" s="12" t="s"/>
      <c r="F86" s="12" t="s"/>
      <c r="G86" s="12" t="s"/>
      <c r="H86" s="12" t="s"/>
      <c r="I86" s="349" t="s"/>
      <c r="J86" s="636" t="s">
        <v>65</v>
      </c>
      <c r="K86" s="637" t="s">
        <v>25</v>
      </c>
      <c r="L86" s="638" t="s">
        <v>66</v>
      </c>
      <c r="M86" s="639">
        <v>2</v>
      </c>
      <c r="N86" s="640" t="s">
        <v>35</v>
      </c>
      <c r="O86" s="641">
        <v>1</v>
      </c>
      <c r="P86" s="395">
        <v>1</v>
      </c>
      <c r="Q86" s="76" t="s"/>
      <c r="R86" s="219" t="s"/>
      <c r="S86" s="552" t="s">
        <v>20</v>
      </c>
      <c r="T86" s="553" t="s">
        <v>77</v>
      </c>
      <c r="U86" s="554">
        <v>1</v>
      </c>
      <c r="V86" s="555" t="s">
        <v>30</v>
      </c>
      <c r="W86" s="556">
        <v>1</v>
      </c>
      <c r="X86" s="338" t="s"/>
      <c r="Y86" s="12" t="s"/>
      <c r="Z86" s="377" t="s"/>
      <c r="AA86" s="550" t="s">
        <v>20</v>
      </c>
      <c r="AB86" s="379" t="s">
        <v>83</v>
      </c>
      <c r="AC86" s="380">
        <v>1</v>
      </c>
      <c r="AD86" s="381" t="s">
        <v>30</v>
      </c>
      <c r="AE86" s="546" t="s"/>
      <c r="AF86" s="547" t="s"/>
    </row>
    <row r="87" spans="1:32">
      <c r="A87" s="12" t="s"/>
      <c r="B87" s="7" t="s"/>
      <c r="C87" s="7" t="s"/>
      <c r="D87" s="7" t="s"/>
      <c r="E87" s="7" t="s"/>
      <c r="F87" s="7" t="s"/>
      <c r="G87" s="7" t="s"/>
      <c r="H87" s="7" t="s"/>
      <c r="I87" s="12" t="s"/>
      <c r="J87" s="642" t="s">
        <v>75</v>
      </c>
      <c r="K87" s="643" t="s">
        <v>25</v>
      </c>
      <c r="L87" s="644" t="s">
        <v>76</v>
      </c>
      <c r="M87" s="644" t="s"/>
      <c r="N87" s="645" t="s">
        <v>35</v>
      </c>
      <c r="O87" s="646">
        <v>1</v>
      </c>
      <c r="P87" s="647" t="s"/>
      <c r="Q87" s="76" t="s"/>
      <c r="R87" s="648" t="s"/>
      <c r="S87" s="649" t="s">
        <v>33</v>
      </c>
      <c r="T87" s="650" t="s">
        <v>94</v>
      </c>
      <c r="U87" s="651">
        <v>1</v>
      </c>
      <c r="V87" s="652" t="s">
        <v>30</v>
      </c>
      <c r="W87" s="653" t="s"/>
      <c r="X87" s="376">
        <v>1</v>
      </c>
      <c r="Y87" s="38" t="s"/>
      <c r="Z87" s="401" t="s">
        <v>7</v>
      </c>
      <c r="AA87" s="402">
        <f>=SUM(AC60:AC86)-AC63-AC64-AC76-AC77-AC82</f>
        <v>41</v>
      </c>
      <c r="AB87" s="403" t="s"/>
      <c r="AC87" s="403" t="s"/>
      <c r="AD87" s="557" t="s"/>
      <c r="AE87" s="558">
        <f>=SUM(AE60:AE86)</f>
        <v>61</v>
      </c>
      <c r="AF87" s="559">
        <f>=SUM(AF60:AF86)</f>
        <v>40</v>
      </c>
    </row>
    <row r="88" spans="1:27">
      <c r="A88" s="7" t="s"/>
      <c r="B88" s="48" t="s"/>
      <c r="C88" s="48" t="s"/>
      <c r="D88" s="48" t="s"/>
      <c r="E88" s="48" t="s"/>
      <c r="F88" s="48" t="s"/>
      <c r="G88" s="48" t="s"/>
      <c r="H88" s="48" t="s"/>
      <c r="I88" s="7" t="s"/>
      <c r="J88" s="654" t="s">
        <v>70</v>
      </c>
      <c r="K88" s="655" t="s"/>
      <c r="L88" s="656" t="s">
        <v>27</v>
      </c>
      <c r="M88" s="657" t="s"/>
      <c r="N88" s="658" t="s"/>
      <c r="O88" s="659" t="s"/>
      <c r="P88" s="395" t="s"/>
      <c r="Q88" s="349" t="s"/>
      <c r="R88" s="660" t="s">
        <v>7</v>
      </c>
      <c r="S88" s="661">
        <f>=SUM(U64:U87)</f>
        <v>52</v>
      </c>
      <c r="T88" s="662" t="s"/>
      <c r="U88" s="662" t="s"/>
      <c r="V88" s="662" t="s"/>
      <c r="W88" s="663">
        <f>=SUM(W62:W87)</f>
        <v>43</v>
      </c>
      <c r="X88" s="663">
        <f>=SUM(X62:X87)</f>
        <v>41</v>
      </c>
      <c r="Y88" s="4" t="s"/>
      <c r="AA88" s="410" t="s"/>
    </row>
    <row r="89" spans="1:27">
      <c r="A89" s="48" t="s"/>
      <c r="B89" s="76" t="s"/>
      <c r="C89" s="76" t="s"/>
      <c r="D89" s="76" t="s"/>
      <c r="E89" s="76" t="s"/>
      <c r="F89" s="76" t="s"/>
      <c r="G89" s="76" t="s"/>
      <c r="H89" s="76" t="s"/>
      <c r="I89" s="48" t="s"/>
      <c r="J89" s="664" t="s">
        <v>71</v>
      </c>
      <c r="K89" s="491" t="s">
        <v>20</v>
      </c>
      <c r="L89" s="492" t="s">
        <v>72</v>
      </c>
      <c r="M89" s="493">
        <v>1</v>
      </c>
      <c r="N89" s="665" t="s">
        <v>30</v>
      </c>
      <c r="O89" s="600" t="s"/>
      <c r="P89" s="395" t="s"/>
      <c r="Q89" s="314" t="s"/>
      <c r="R89" s="4" t="s"/>
      <c r="S89" s="4" t="s"/>
      <c r="T89" s="4" t="s"/>
      <c r="U89" s="4" t="s"/>
      <c r="V89" s="4" t="s"/>
      <c r="W89" s="4" t="s"/>
      <c r="X89" s="4" t="s"/>
      <c r="Y89" s="4" t="s"/>
      <c r="AA89" s="410" t="s"/>
    </row>
    <row r="90" spans="1:27">
      <c r="A90" s="76" t="s"/>
      <c r="B90" s="76" t="s"/>
      <c r="C90" s="76" t="s"/>
      <c r="D90" s="76" t="s"/>
      <c r="E90" s="76" t="s"/>
      <c r="F90" s="76" t="s"/>
      <c r="G90" s="76" t="s"/>
      <c r="H90" s="76" t="s"/>
      <c r="I90" s="76" t="s"/>
      <c r="J90" s="609" t="s"/>
      <c r="K90" s="491" t="s">
        <v>33</v>
      </c>
      <c r="L90" s="492" t="s">
        <v>108</v>
      </c>
      <c r="M90" s="493" t="s"/>
      <c r="N90" s="665" t="s">
        <v>30</v>
      </c>
      <c r="O90" s="600">
        <v>1</v>
      </c>
      <c r="P90" s="395">
        <v>1</v>
      </c>
      <c r="Q90" s="7" t="s"/>
      <c r="R90" s="17" t="s">
        <v>2</v>
      </c>
      <c r="S90" s="666" t="s"/>
      <c r="T90" s="666" t="s"/>
      <c r="U90" s="666" t="s"/>
      <c r="V90" s="667" t="s"/>
      <c r="W90" s="419" t="s">
        <v>120</v>
      </c>
      <c r="X90" s="667" t="s"/>
      <c r="Y90" s="4" t="s"/>
      <c r="AA90" s="410" t="s"/>
    </row>
    <row r="91" spans="1:27">
      <c r="A91" s="76" t="s"/>
      <c r="B91" s="76" t="s"/>
      <c r="C91" s="76" t="s"/>
      <c r="D91" s="76" t="s"/>
      <c r="E91" s="76" t="s"/>
      <c r="F91" s="76" t="s"/>
      <c r="G91" s="76" t="s"/>
      <c r="H91" s="76" t="s"/>
      <c r="I91" s="76" t="s"/>
      <c r="J91" s="668" t="s"/>
      <c r="K91" s="669" t="s">
        <v>33</v>
      </c>
      <c r="L91" s="670" t="s">
        <v>77</v>
      </c>
      <c r="M91" s="671" t="s"/>
      <c r="N91" s="672" t="s">
        <v>30</v>
      </c>
      <c r="O91" s="641" t="s"/>
      <c r="P91" s="673">
        <v>1</v>
      </c>
      <c r="Q91" s="48" t="s"/>
      <c r="R91" s="32" t="s"/>
      <c r="S91" s="33" t="s"/>
      <c r="T91" s="34" t="s">
        <v>9</v>
      </c>
      <c r="U91" s="34" t="s">
        <v>10</v>
      </c>
      <c r="V91" s="35" t="s">
        <v>11</v>
      </c>
      <c r="W91" s="36" t="s">
        <v>16</v>
      </c>
      <c r="X91" s="37" t="s">
        <v>17</v>
      </c>
      <c r="Y91" s="4" t="s"/>
      <c r="AA91" s="410" t="s"/>
    </row>
    <row r="92" spans="1:27">
      <c r="A92" s="76" t="s"/>
      <c r="B92" s="76" t="s"/>
      <c r="C92" s="76" t="s"/>
      <c r="D92" s="76" t="s"/>
      <c r="E92" s="76" t="s"/>
      <c r="F92" s="76" t="s"/>
      <c r="G92" s="76" t="s"/>
      <c r="H92" s="76" t="s"/>
      <c r="I92" s="76" t="s"/>
      <c r="J92" s="674" t="s">
        <v>7</v>
      </c>
      <c r="K92" s="675">
        <f>=SUM(M71:M91)</f>
        <v>26</v>
      </c>
      <c r="L92" s="676" t="s"/>
      <c r="M92" s="676" t="s"/>
      <c r="N92" s="677" t="s"/>
      <c r="O92" s="678">
        <f>=SUM(O71:O91)</f>
        <v>30</v>
      </c>
      <c r="P92" s="679">
        <f>=SUM(P71:P91)</f>
        <v>26</v>
      </c>
      <c r="Q92" s="76" t="s"/>
      <c r="R92" s="568" t="s"/>
      <c r="S92" s="61" t="s">
        <v>25</v>
      </c>
      <c r="T92" s="62" t="s">
        <v>43</v>
      </c>
      <c r="U92" s="63" t="s"/>
      <c r="V92" s="64" t="s"/>
      <c r="W92" s="65">
        <v>1</v>
      </c>
      <c r="X92" s="66" t="s"/>
      <c r="Y92" s="4" t="s"/>
      <c r="AA92" s="680" t="s"/>
    </row>
    <row r="93" spans="1:27">
      <c r="A93" s="76" t="s"/>
      <c r="B93" s="76" t="s"/>
      <c r="C93" s="76" t="s"/>
      <c r="D93" s="76" t="s"/>
      <c r="E93" s="76" t="s"/>
      <c r="F93" s="76" t="s"/>
      <c r="G93" s="76" t="s"/>
      <c r="H93" s="76" t="s"/>
      <c r="I93" s="76" t="s"/>
      <c r="Q93" s="76" t="s"/>
      <c r="R93" s="439" t="s">
        <v>19</v>
      </c>
      <c r="S93" s="68" t="s">
        <v>47</v>
      </c>
      <c r="T93" s="94" t="s">
        <v>66</v>
      </c>
      <c r="U93" s="95" t="s"/>
      <c r="V93" s="440" t="s"/>
      <c r="W93" s="441" t="s"/>
      <c r="X93" s="89">
        <v>1</v>
      </c>
      <c r="Y93" s="4" t="s"/>
      <c r="AA93" s="410" t="s"/>
    </row>
    <row r="94" spans="1:27">
      <c r="A94" s="76" t="s"/>
      <c r="B94" s="76" t="s"/>
      <c r="C94" s="76" t="s"/>
      <c r="D94" s="76" t="s"/>
      <c r="E94" s="76" t="s"/>
      <c r="F94" s="76" t="s"/>
      <c r="G94" s="76" t="s"/>
      <c r="H94" s="76" t="s"/>
      <c r="I94" s="76" t="s"/>
      <c r="Q94" s="76" t="s"/>
      <c r="R94" s="681" t="s"/>
      <c r="S94" s="68" t="s">
        <v>25</v>
      </c>
      <c r="T94" s="94" t="s">
        <v>21</v>
      </c>
      <c r="U94" s="95" t="s"/>
      <c r="V94" s="440" t="s"/>
      <c r="W94" s="441">
        <v>7</v>
      </c>
      <c r="X94" s="89">
        <v>6</v>
      </c>
      <c r="Y94" s="4" t="s"/>
      <c r="AA94" s="410" t="s"/>
    </row>
    <row r="95" spans="1:27">
      <c r="A95" s="76" t="s"/>
      <c r="B95" s="76" t="s"/>
      <c r="C95" s="76" t="s"/>
      <c r="D95" s="76" t="s"/>
      <c r="E95" s="76" t="s"/>
      <c r="F95" s="76" t="s"/>
      <c r="G95" s="76" t="s"/>
      <c r="H95" s="76" t="s"/>
      <c r="I95" s="76" t="s"/>
      <c r="Q95" s="76" t="s"/>
      <c r="R95" s="682" t="s"/>
      <c r="S95" s="68" t="s">
        <v>20</v>
      </c>
      <c r="T95" s="94" t="s">
        <v>28</v>
      </c>
      <c r="U95" s="95">
        <v>15</v>
      </c>
      <c r="V95" s="440" t="s">
        <v>22</v>
      </c>
      <c r="W95" s="441">
        <v>16</v>
      </c>
      <c r="X95" s="89">
        <v>16</v>
      </c>
      <c r="Y95" s="4" t="s"/>
      <c r="AA95" s="410" t="s"/>
    </row>
    <row r="96" spans="1:27">
      <c r="A96" s="76" t="s"/>
      <c r="B96" s="76" t="s"/>
      <c r="C96" s="76" t="s"/>
      <c r="D96" s="76" t="s"/>
      <c r="E96" s="76" t="s"/>
      <c r="F96" s="76" t="s"/>
      <c r="G96" s="76" t="s"/>
      <c r="H96" s="76" t="s"/>
      <c r="I96" s="76" t="s"/>
      <c r="Q96" s="76" t="s"/>
      <c r="R96" s="571" t="s">
        <v>32</v>
      </c>
      <c r="S96" s="134" t="s">
        <v>20</v>
      </c>
      <c r="T96" s="683" t="s">
        <v>34</v>
      </c>
      <c r="U96" s="684">
        <v>1</v>
      </c>
      <c r="V96" s="685" t="s">
        <v>35</v>
      </c>
      <c r="W96" s="686">
        <v>1</v>
      </c>
      <c r="X96" s="109">
        <v>1</v>
      </c>
      <c r="Y96" s="4" t="s"/>
      <c r="AA96" s="410" t="s"/>
    </row>
    <row r="97" spans="1:27">
      <c r="A97" s="76" t="s"/>
      <c r="B97" s="76" t="s"/>
      <c r="C97" s="76" t="s"/>
      <c r="D97" s="76" t="s"/>
      <c r="E97" s="76" t="s"/>
      <c r="F97" s="76" t="s"/>
      <c r="G97" s="76" t="s"/>
      <c r="H97" s="76" t="s"/>
      <c r="I97" s="76" t="s"/>
      <c r="Q97" s="76" t="s"/>
      <c r="R97" s="682" t="s"/>
      <c r="S97" s="134" t="s">
        <v>20</v>
      </c>
      <c r="T97" s="687" t="s">
        <v>41</v>
      </c>
      <c r="U97" s="684">
        <v>1</v>
      </c>
      <c r="V97" s="685" t="s">
        <v>35</v>
      </c>
      <c r="W97" s="686" t="s"/>
      <c r="X97" s="109" t="s"/>
      <c r="Y97" s="4" t="s"/>
      <c r="AA97" s="410" t="s"/>
    </row>
    <row r="98" spans="1:27">
      <c r="A98" s="76" t="s"/>
      <c r="B98" s="122" t="s"/>
      <c r="C98" s="122" t="s"/>
      <c r="D98" s="122" t="s"/>
      <c r="E98" s="122" t="s"/>
      <c r="F98" s="122" t="s"/>
      <c r="G98" s="122" t="s"/>
      <c r="H98" s="122" t="s"/>
      <c r="I98" s="76" t="s"/>
      <c r="Q98" s="76" t="s"/>
      <c r="R98" s="166" t="s">
        <v>39</v>
      </c>
      <c r="S98" s="167" t="s">
        <v>20</v>
      </c>
      <c r="T98" s="484" t="s">
        <v>40</v>
      </c>
      <c r="U98" s="484">
        <v>5</v>
      </c>
      <c r="V98" s="485" t="s">
        <v>30</v>
      </c>
      <c r="W98" s="688">
        <v>1</v>
      </c>
      <c r="X98" s="132">
        <v>1</v>
      </c>
      <c r="AA98" s="410" t="s"/>
    </row>
    <row r="99" spans="1:27">
      <c r="A99" s="122" t="s"/>
      <c r="B99" s="122" t="s"/>
      <c r="C99" s="122" t="s"/>
      <c r="D99" s="122" t="s"/>
      <c r="E99" s="122" t="s"/>
      <c r="F99" s="122" t="s"/>
      <c r="G99" s="122" t="s"/>
      <c r="H99" s="122" t="s"/>
      <c r="I99" s="122" t="s"/>
      <c r="Q99" s="76" t="s"/>
      <c r="R99" s="689" t="s"/>
      <c r="S99" s="167" t="s">
        <v>20</v>
      </c>
      <c r="T99" s="484" t="s">
        <v>46</v>
      </c>
      <c r="U99" s="484">
        <v>2</v>
      </c>
      <c r="V99" s="485" t="s">
        <v>30</v>
      </c>
      <c r="W99" s="688" t="s"/>
      <c r="X99" s="132" t="s"/>
      <c r="AA99" s="410" t="s"/>
    </row>
    <row r="100" spans="1:27">
      <c r="A100" s="122" t="s"/>
      <c r="B100" s="122" t="s"/>
      <c r="C100" s="122" t="s"/>
      <c r="D100" s="122" t="s"/>
      <c r="E100" s="122" t="s"/>
      <c r="F100" s="122" t="s"/>
      <c r="G100" s="122" t="s"/>
      <c r="H100" s="122" t="s"/>
      <c r="I100" s="122" t="s"/>
      <c r="Q100" s="76" t="s"/>
      <c r="R100" s="689" t="s"/>
      <c r="S100" s="167" t="s">
        <v>20</v>
      </c>
      <c r="T100" s="484" t="s">
        <v>49</v>
      </c>
      <c r="U100" s="484">
        <v>2</v>
      </c>
      <c r="V100" s="485" t="s">
        <v>30</v>
      </c>
      <c r="W100" s="688" t="s"/>
      <c r="X100" s="132" t="s"/>
      <c r="AA100" s="410" t="s"/>
    </row>
    <row r="101" spans="1:27">
      <c r="A101" s="122" t="s"/>
      <c r="B101" s="122" t="s"/>
      <c r="C101" s="122" t="s"/>
      <c r="D101" s="122" t="s"/>
      <c r="E101" s="122" t="s"/>
      <c r="F101" s="122" t="s"/>
      <c r="G101" s="122" t="s"/>
      <c r="H101" s="122" t="s"/>
      <c r="I101" s="122" t="s"/>
      <c r="Q101" s="122" t="s"/>
      <c r="R101" s="690" t="s">
        <v>50</v>
      </c>
      <c r="S101" s="496" t="s">
        <v>25</v>
      </c>
      <c r="T101" s="497" t="s">
        <v>107</v>
      </c>
      <c r="U101" s="497" t="s"/>
      <c r="V101" s="498" t="s">
        <v>30</v>
      </c>
      <c r="W101" s="499" t="s"/>
      <c r="X101" s="500">
        <v>1</v>
      </c>
      <c r="AA101" s="410" t="s"/>
    </row>
    <row r="102" spans="1:27">
      <c r="A102" s="122" t="s"/>
      <c r="B102" s="122" t="s"/>
      <c r="C102" s="122" t="s"/>
      <c r="D102" s="122" t="s"/>
      <c r="E102" s="122" t="s"/>
      <c r="F102" s="122" t="s"/>
      <c r="G102" s="122" t="s"/>
      <c r="H102" s="122" t="s"/>
      <c r="I102" s="122" t="s"/>
      <c r="Q102" s="122" t="s"/>
      <c r="R102" s="691" t="s"/>
      <c r="S102" s="496" t="s">
        <v>25</v>
      </c>
      <c r="T102" s="497" t="s">
        <v>109</v>
      </c>
      <c r="U102" s="497" t="s"/>
      <c r="V102" s="498" t="s">
        <v>30</v>
      </c>
      <c r="W102" s="499">
        <v>1</v>
      </c>
      <c r="X102" s="500">
        <v>1</v>
      </c>
      <c r="AA102" s="410" t="s"/>
    </row>
    <row r="103" spans="1:27">
      <c r="A103" s="122" t="s"/>
      <c r="B103" s="76" t="s"/>
      <c r="C103" s="76" t="s"/>
      <c r="D103" s="76" t="s"/>
      <c r="E103" s="76" t="s"/>
      <c r="F103" s="76" t="s"/>
      <c r="G103" s="76" t="s"/>
      <c r="H103" s="76" t="s"/>
      <c r="I103" s="122" t="s"/>
      <c r="Q103" s="122" t="s"/>
      <c r="R103" s="691" t="s"/>
      <c r="S103" s="496" t="s">
        <v>25</v>
      </c>
      <c r="T103" s="497" t="s">
        <v>51</v>
      </c>
      <c r="U103" s="497" t="s"/>
      <c r="V103" s="498" t="s">
        <v>30</v>
      </c>
      <c r="W103" s="499">
        <v>1</v>
      </c>
      <c r="X103" s="500">
        <v>1</v>
      </c>
      <c r="AA103" s="410" t="s"/>
    </row>
    <row r="104" spans="1:27">
      <c r="A104" s="76" t="s"/>
      <c r="B104" s="76" t="s"/>
      <c r="C104" s="76" t="s"/>
      <c r="D104" s="76" t="s"/>
      <c r="E104" s="76" t="s"/>
      <c r="F104" s="76" t="s"/>
      <c r="G104" s="76" t="s"/>
      <c r="H104" s="76" t="s"/>
      <c r="I104" s="76" t="s"/>
      <c r="Q104" s="122" t="s"/>
      <c r="R104" s="692" t="s"/>
      <c r="S104" s="496" t="s">
        <v>20</v>
      </c>
      <c r="T104" s="497" t="s">
        <v>59</v>
      </c>
      <c r="U104" s="497">
        <v>3</v>
      </c>
      <c r="V104" s="498" t="s">
        <v>30</v>
      </c>
      <c r="W104" s="499">
        <v>2</v>
      </c>
      <c r="X104" s="188">
        <v>2</v>
      </c>
      <c r="AA104" s="410" t="s"/>
    </row>
    <row r="105" spans="1:27">
      <c r="A105" s="76" t="s"/>
      <c r="B105" s="76" t="s"/>
      <c r="C105" s="76" t="s"/>
      <c r="D105" s="76" t="s"/>
      <c r="E105" s="76" t="s"/>
      <c r="F105" s="76" t="s"/>
      <c r="G105" s="76" t="s"/>
      <c r="H105" s="76" t="s"/>
      <c r="I105" s="76" t="s"/>
      <c r="J105" s="76" t="s"/>
      <c r="K105" s="76" t="s"/>
      <c r="L105" s="76" t="s"/>
      <c r="M105" s="76" t="s"/>
      <c r="N105" s="76" t="s"/>
      <c r="O105" s="76" t="s"/>
      <c r="P105" s="76" t="s"/>
      <c r="Q105" s="122" t="s"/>
      <c r="R105" s="693" t="s"/>
      <c r="S105" s="496" t="s"/>
      <c r="T105" s="497" t="s"/>
      <c r="U105" s="497" t="s"/>
      <c r="V105" s="498" t="s"/>
      <c r="W105" s="499" t="s"/>
      <c r="X105" s="188" t="s"/>
      <c r="AA105" s="410" t="s"/>
    </row>
    <row r="106" spans="1:27">
      <c r="A106" s="76" t="s"/>
      <c r="B106" s="76" t="s"/>
      <c r="C106" s="76" t="s"/>
      <c r="D106" s="76" t="s"/>
      <c r="E106" s="76" t="s"/>
      <c r="F106" s="76" t="s"/>
      <c r="G106" s="76" t="s"/>
      <c r="H106" s="76" t="s"/>
      <c r="I106" s="76" t="s"/>
      <c r="J106" s="76" t="s"/>
      <c r="K106" s="76" t="s"/>
      <c r="L106" s="76" t="s"/>
      <c r="M106" s="76" t="s"/>
      <c r="N106" s="76" t="s"/>
      <c r="O106" s="76" t="s"/>
      <c r="P106" s="76" t="s"/>
      <c r="Q106" s="76" t="s"/>
      <c r="R106" s="694" t="s">
        <v>54</v>
      </c>
      <c r="S106" s="221" t="s">
        <v>20</v>
      </c>
      <c r="T106" s="695" t="s">
        <v>55</v>
      </c>
      <c r="U106" s="696">
        <v>6</v>
      </c>
      <c r="V106" s="697" t="s">
        <v>35</v>
      </c>
      <c r="W106" s="698">
        <v>5</v>
      </c>
      <c r="X106" s="208">
        <v>4</v>
      </c>
      <c r="AA106" s="410" t="s"/>
    </row>
    <row r="107" spans="1:27">
      <c r="A107" s="76" t="s"/>
      <c r="B107" s="76" t="s"/>
      <c r="C107" s="76" t="s"/>
      <c r="D107" s="76" t="s"/>
      <c r="E107" s="76" t="s"/>
      <c r="F107" s="76" t="s"/>
      <c r="G107" s="76" t="s"/>
      <c r="H107" s="76" t="s"/>
      <c r="I107" s="76" t="s"/>
      <c r="J107" s="76" t="s"/>
      <c r="K107" s="76" t="s"/>
      <c r="L107" s="76" t="s"/>
      <c r="M107" s="76" t="s"/>
      <c r="N107" s="76" t="s"/>
      <c r="O107" s="76" t="s"/>
      <c r="P107" s="76" t="s"/>
      <c r="Q107" s="76" t="s"/>
      <c r="R107" s="692" t="s"/>
      <c r="S107" s="221" t="s">
        <v>20</v>
      </c>
      <c r="T107" s="695" t="s">
        <v>57</v>
      </c>
      <c r="U107" s="696">
        <v>5</v>
      </c>
      <c r="V107" s="697" t="s">
        <v>35</v>
      </c>
      <c r="W107" s="698">
        <v>4</v>
      </c>
      <c r="X107" s="208">
        <v>4</v>
      </c>
      <c r="AA107" s="410" t="s"/>
    </row>
    <row r="108" spans="1:27">
      <c r="A108" s="76" t="s"/>
      <c r="B108" s="76" t="s"/>
      <c r="C108" s="76" t="s"/>
      <c r="D108" s="76" t="s"/>
      <c r="E108" s="76" t="s"/>
      <c r="F108" s="76" t="s"/>
      <c r="G108" s="76" t="s"/>
      <c r="H108" s="76" t="s"/>
      <c r="I108" s="76" t="s"/>
      <c r="J108" s="76" t="s"/>
      <c r="K108" s="76" t="s"/>
      <c r="L108" s="76" t="s"/>
      <c r="M108" s="76" t="s"/>
      <c r="N108" s="76" t="s"/>
      <c r="O108" s="76" t="s"/>
      <c r="P108" s="76" t="s"/>
      <c r="Q108" s="76" t="s"/>
      <c r="R108" s="693" t="s"/>
      <c r="S108" s="221" t="s">
        <v>20</v>
      </c>
      <c r="T108" s="695" t="s">
        <v>68</v>
      </c>
      <c r="U108" s="696">
        <v>1</v>
      </c>
      <c r="V108" s="697" t="s">
        <v>35</v>
      </c>
      <c r="W108" s="698" t="s"/>
      <c r="X108" s="208" t="s"/>
      <c r="AA108" s="410" t="s"/>
    </row>
    <row r="109" spans="1:27">
      <c r="A109" s="76" t="s"/>
      <c r="B109" s="76" t="s"/>
      <c r="C109" s="76" t="s"/>
      <c r="D109" s="76" t="s"/>
      <c r="E109" s="76" t="s"/>
      <c r="F109" s="76" t="s"/>
      <c r="G109" s="76" t="s"/>
      <c r="H109" s="76" t="s"/>
      <c r="I109" s="76" t="s"/>
      <c r="J109" s="76" t="s"/>
      <c r="K109" s="76" t="s"/>
      <c r="L109" s="76" t="s"/>
      <c r="M109" s="76" t="s"/>
      <c r="N109" s="76" t="s"/>
      <c r="O109" s="76" t="s"/>
      <c r="P109" s="76" t="s"/>
      <c r="Q109" s="76" t="s"/>
      <c r="R109" s="699" t="s">
        <v>63</v>
      </c>
      <c r="S109" s="305" t="s">
        <v>20</v>
      </c>
      <c r="T109" s="538" t="s">
        <v>38</v>
      </c>
      <c r="U109" s="539">
        <v>2</v>
      </c>
      <c r="V109" s="540" t="s">
        <v>35</v>
      </c>
      <c r="W109" s="541">
        <v>2</v>
      </c>
      <c r="X109" s="251">
        <v>2</v>
      </c>
      <c r="AA109" s="410" t="s"/>
    </row>
    <row r="110" spans="1:27">
      <c r="A110" s="76" t="s"/>
      <c r="B110" s="76" t="s"/>
      <c r="C110" s="76" t="s"/>
      <c r="D110" s="76" t="s"/>
      <c r="E110" s="76" t="s"/>
      <c r="F110" s="76" t="s"/>
      <c r="G110" s="76" t="s"/>
      <c r="H110" s="76" t="s"/>
      <c r="I110" s="76" t="s"/>
      <c r="J110" s="76" t="s"/>
      <c r="K110" s="76" t="s"/>
      <c r="L110" s="76" t="s"/>
      <c r="M110" s="76" t="s"/>
      <c r="N110" s="76" t="s"/>
      <c r="O110" s="76" t="s"/>
      <c r="P110" s="76" t="s"/>
      <c r="Q110" s="76" t="s"/>
      <c r="R110" s="693" t="s"/>
      <c r="S110" s="281" t="s">
        <v>33</v>
      </c>
      <c r="T110" s="538" t="s">
        <v>73</v>
      </c>
      <c r="U110" s="539">
        <v>1</v>
      </c>
      <c r="V110" s="540" t="s">
        <v>30</v>
      </c>
      <c r="W110" s="541">
        <v>2</v>
      </c>
      <c r="X110" s="251">
        <v>1</v>
      </c>
      <c r="AA110" s="410" t="s"/>
    </row>
    <row r="111" spans="1:27">
      <c r="A111" s="76" t="s"/>
      <c r="B111" s="76" t="s"/>
      <c r="C111" s="76" t="s"/>
      <c r="D111" s="76" t="s"/>
      <c r="E111" s="76" t="s"/>
      <c r="F111" s="76" t="s"/>
      <c r="G111" s="76" t="s"/>
      <c r="H111" s="76" t="s"/>
      <c r="I111" s="76" t="s"/>
      <c r="J111" s="92" t="s"/>
      <c r="K111" s="92" t="s"/>
      <c r="L111" s="92" t="s"/>
      <c r="M111" s="92" t="s"/>
      <c r="N111" s="92" t="s"/>
      <c r="O111" s="92" t="s"/>
      <c r="P111" s="76" t="s"/>
      <c r="Q111" s="76" t="s"/>
      <c r="R111" s="322" t="s">
        <v>65</v>
      </c>
      <c r="S111" s="323" t="s">
        <v>20</v>
      </c>
      <c r="T111" s="617" t="s">
        <v>46</v>
      </c>
      <c r="U111" s="618">
        <v>1</v>
      </c>
      <c r="V111" s="619" t="s">
        <v>30</v>
      </c>
      <c r="W111" s="620" t="s"/>
      <c r="X111" s="279">
        <v>1</v>
      </c>
      <c r="AA111" s="410" t="s"/>
    </row>
    <row r="112" spans="1:27">
      <c r="A112" s="76" t="s"/>
      <c r="B112" s="76" t="s"/>
      <c r="C112" s="76" t="s"/>
      <c r="D112" s="76" t="s"/>
      <c r="E112" s="76" t="s"/>
      <c r="F112" s="76" t="s"/>
      <c r="G112" s="76" t="s"/>
      <c r="H112" s="76" t="s"/>
      <c r="I112" s="76" t="s"/>
      <c r="J112" s="76" t="s"/>
      <c r="K112" s="76" t="s"/>
      <c r="L112" s="76" t="s"/>
      <c r="M112" s="76" t="s"/>
      <c r="N112" s="76" t="s"/>
      <c r="O112" s="76" t="s"/>
      <c r="P112" s="76" t="s"/>
      <c r="Q112" s="76" t="s"/>
      <c r="R112" s="700" t="s">
        <v>70</v>
      </c>
      <c r="S112" s="255" t="s">
        <v>20</v>
      </c>
      <c r="T112" s="256" t="s">
        <v>78</v>
      </c>
      <c r="U112" s="257">
        <v>1</v>
      </c>
      <c r="V112" s="320" t="s">
        <v>30</v>
      </c>
      <c r="W112" s="321" t="s"/>
      <c r="X112" s="304" t="s"/>
      <c r="AA112" s="410" t="s"/>
    </row>
    <row r="113" spans="1:27">
      <c r="A113" s="76" t="s"/>
      <c r="B113" s="76" t="s"/>
      <c r="C113" s="76" t="s"/>
      <c r="D113" s="76" t="s"/>
      <c r="E113" s="76" t="s"/>
      <c r="F113" s="76" t="s"/>
      <c r="G113" s="76" t="s"/>
      <c r="H113" s="76" t="s"/>
      <c r="I113" s="76" t="s"/>
      <c r="J113" s="76" t="s"/>
      <c r="K113" s="76" t="s"/>
      <c r="L113" s="76" t="s"/>
      <c r="M113" s="76" t="s"/>
      <c r="N113" s="76" t="s"/>
      <c r="O113" s="76" t="s"/>
      <c r="P113" s="76" t="s"/>
      <c r="Q113" s="76" t="s"/>
      <c r="R113" s="701" t="s"/>
      <c r="S113" s="255" t="s">
        <v>20</v>
      </c>
      <c r="T113" s="256" t="s">
        <v>81</v>
      </c>
      <c r="U113" s="257">
        <v>1</v>
      </c>
      <c r="V113" s="320" t="s">
        <v>35</v>
      </c>
      <c r="W113" s="321" t="s"/>
      <c r="X113" s="304">
        <v>1</v>
      </c>
      <c r="AA113" s="410" t="s"/>
    </row>
    <row r="114" spans="1:27">
      <c r="A114" s="76" t="s"/>
      <c r="B114" s="76" t="s"/>
      <c r="C114" s="76" t="s"/>
      <c r="D114" s="76" t="s"/>
      <c r="E114" s="76" t="s"/>
      <c r="F114" s="76" t="s"/>
      <c r="G114" s="76" t="s"/>
      <c r="H114" s="76" t="s"/>
      <c r="I114" s="76" t="s"/>
      <c r="J114" s="76" t="s"/>
      <c r="K114" s="76" t="s"/>
      <c r="L114" s="76" t="s"/>
      <c r="M114" s="76" t="s"/>
      <c r="N114" s="76" t="s"/>
      <c r="O114" s="76" t="s"/>
      <c r="P114" s="76" t="s"/>
      <c r="Q114" s="76" t="s"/>
      <c r="R114" s="702" t="s">
        <v>71</v>
      </c>
      <c r="S114" s="552" t="s">
        <v>33</v>
      </c>
      <c r="T114" s="553" t="s">
        <v>72</v>
      </c>
      <c r="U114" s="554">
        <v>1</v>
      </c>
      <c r="V114" s="555" t="s">
        <v>30</v>
      </c>
      <c r="W114" s="556">
        <v>1</v>
      </c>
      <c r="X114" s="338">
        <v>1</v>
      </c>
      <c r="AA114" s="410" t="s"/>
    </row>
    <row r="115" spans="1:27">
      <c r="A115" s="76" t="s"/>
      <c r="B115" s="76" t="s"/>
      <c r="C115" s="76" t="s"/>
      <c r="D115" s="76" t="s"/>
      <c r="E115" s="76" t="s"/>
      <c r="F115" s="76" t="s"/>
      <c r="G115" s="76" t="s"/>
      <c r="H115" s="76" t="s"/>
      <c r="I115" s="76" t="s"/>
      <c r="J115" s="76" t="s"/>
      <c r="K115" s="76" t="s"/>
      <c r="L115" s="76" t="s"/>
      <c r="M115" s="76" t="s"/>
      <c r="N115" s="76" t="s"/>
      <c r="O115" s="76" t="s"/>
      <c r="P115" s="76" t="s"/>
      <c r="Q115" s="76" t="s"/>
      <c r="R115" s="692" t="s"/>
      <c r="S115" s="552" t="s">
        <v>20</v>
      </c>
      <c r="T115" s="553" t="s">
        <v>118</v>
      </c>
      <c r="U115" s="554">
        <v>1</v>
      </c>
      <c r="V115" s="555" t="s">
        <v>30</v>
      </c>
      <c r="W115" s="556">
        <v>1</v>
      </c>
      <c r="X115" s="338">
        <v>1</v>
      </c>
      <c r="AA115" s="410" t="s"/>
    </row>
    <row r="116" spans="1:27">
      <c r="A116" s="76" t="s"/>
      <c r="B116" s="349" t="s"/>
      <c r="C116" s="349" t="s"/>
      <c r="D116" s="349" t="s"/>
      <c r="E116" s="349" t="s"/>
      <c r="F116" s="349" t="s"/>
      <c r="G116" s="349" t="s"/>
      <c r="H116" s="349" t="s"/>
      <c r="I116" s="76" t="s"/>
      <c r="J116" s="76" t="s"/>
      <c r="K116" s="76" t="s"/>
      <c r="L116" s="76" t="s"/>
      <c r="M116" s="76" t="s"/>
      <c r="N116" s="76" t="s"/>
      <c r="O116" s="76" t="s"/>
      <c r="P116" s="76" t="s"/>
      <c r="Q116" s="76" t="s"/>
      <c r="R116" s="692" t="s"/>
      <c r="S116" s="552" t="s">
        <v>20</v>
      </c>
      <c r="T116" s="553" t="s">
        <v>83</v>
      </c>
      <c r="U116" s="554">
        <v>1</v>
      </c>
      <c r="V116" s="555" t="s">
        <v>30</v>
      </c>
      <c r="W116" s="556" t="s"/>
      <c r="X116" s="338" t="s"/>
      <c r="AA116" s="410" t="s"/>
    </row>
    <row r="117" spans="1:27">
      <c r="A117" s="349" t="s"/>
      <c r="B117" s="12" t="s"/>
      <c r="C117" s="12" t="s"/>
      <c r="D117" s="12" t="s"/>
      <c r="E117" s="12" t="s"/>
      <c r="F117" s="12" t="s"/>
      <c r="G117" s="12" t="s"/>
      <c r="H117" s="12" t="s"/>
      <c r="I117" s="349" t="s"/>
      <c r="J117" s="349" t="s"/>
      <c r="K117" s="349" t="s"/>
      <c r="L117" s="349" t="s"/>
      <c r="M117" s="349" t="s"/>
      <c r="N117" s="349" t="s"/>
      <c r="O117" s="349" t="s"/>
      <c r="P117" s="349" t="s"/>
      <c r="Q117" s="76" t="s"/>
      <c r="R117" s="692" t="s"/>
      <c r="S117" s="552" t="s">
        <v>20</v>
      </c>
      <c r="T117" s="553" t="s">
        <v>77</v>
      </c>
      <c r="U117" s="554">
        <v>1</v>
      </c>
      <c r="V117" s="555" t="s">
        <v>30</v>
      </c>
      <c r="W117" s="556">
        <v>1</v>
      </c>
      <c r="X117" s="338" t="s"/>
      <c r="AA117" s="410" t="s"/>
    </row>
    <row r="118" spans="1:27">
      <c r="A118" s="12" t="s"/>
      <c r="B118" s="12" t="s"/>
      <c r="C118" s="12" t="s"/>
      <c r="D118" s="12" t="s"/>
      <c r="E118" s="12" t="s"/>
      <c r="F118" s="12" t="s"/>
      <c r="G118" s="12" t="s"/>
      <c r="H118" s="12" t="s"/>
      <c r="I118" s="12" t="s"/>
      <c r="J118" s="12" t="s"/>
      <c r="K118" s="12" t="s"/>
      <c r="L118" s="12" t="s"/>
      <c r="M118" s="12" t="s"/>
      <c r="N118" s="12" t="s"/>
      <c r="O118" s="12" t="s"/>
      <c r="P118" s="12" t="s"/>
      <c r="Q118" s="76" t="s"/>
      <c r="R118" s="703" t="s"/>
      <c r="S118" s="649" t="s">
        <v>33</v>
      </c>
      <c r="T118" s="650" t="s">
        <v>94</v>
      </c>
      <c r="U118" s="651">
        <v>1</v>
      </c>
      <c r="V118" s="652" t="s">
        <v>30</v>
      </c>
      <c r="W118" s="653" t="s"/>
      <c r="X118" s="376">
        <v>1</v>
      </c>
      <c r="AA118" s="410" t="s"/>
    </row>
    <row r="119" spans="1:27">
      <c r="A119" s="12" t="s"/>
      <c r="B119" s="12" t="s"/>
      <c r="C119" s="12" t="s"/>
      <c r="D119" s="12" t="s"/>
      <c r="E119" s="12" t="s"/>
      <c r="F119" s="12" t="s"/>
      <c r="G119" s="12" t="s"/>
      <c r="H119" s="12" t="s"/>
      <c r="I119" s="12" t="s"/>
      <c r="J119" s="38" t="s"/>
      <c r="K119" s="38" t="s"/>
      <c r="L119" s="38" t="s"/>
      <c r="M119" s="38" t="s"/>
      <c r="N119" s="38" t="s"/>
      <c r="O119" s="38" t="s"/>
      <c r="P119" s="12" t="s"/>
      <c r="Q119" s="349" t="s"/>
      <c r="R119" s="660" t="s">
        <v>7</v>
      </c>
      <c r="S119" s="661">
        <f>=SUM(U95:U118)</f>
        <v>52</v>
      </c>
      <c r="T119" s="704" t="s"/>
      <c r="U119" s="704" t="s"/>
      <c r="V119" s="704" t="s"/>
      <c r="W119" s="663">
        <f>=SUM(W93:W118)</f>
        <v>45</v>
      </c>
      <c r="X119" s="663">
        <f>=SUM(X93:X118)</f>
        <v>46</v>
      </c>
      <c r="AA119" s="410" t="s"/>
    </row>
    <row r="120" spans="1:27">
      <c r="A120" s="314" t="s"/>
      <c r="B120" s="314" t="s"/>
      <c r="C120" s="314" t="s"/>
      <c r="D120" s="314" t="s"/>
      <c r="E120" s="314" t="s"/>
      <c r="F120" s="314" t="s"/>
      <c r="G120" s="314" t="s"/>
      <c r="H120" s="314" t="s"/>
      <c r="I120" s="314" t="s"/>
      <c r="J120" s="314" t="s"/>
      <c r="K120" s="314" t="s"/>
      <c r="L120" s="314" t="s"/>
      <c r="M120" s="314" t="s"/>
      <c r="N120" s="314" t="s"/>
      <c r="O120" s="314" t="s"/>
      <c r="P120" s="4" t="s"/>
      <c r="AA120" s="410" t="s"/>
    </row>
    <row r="121" spans="1:27">
      <c r="A121" s="314" t="s"/>
      <c r="I121" s="314" t="s"/>
      <c r="J121" s="314" t="s"/>
      <c r="K121" s="314" t="s"/>
      <c r="L121" s="314" t="s"/>
      <c r="M121" s="314" t="s"/>
      <c r="N121" s="314" t="s"/>
      <c r="O121" s="314" t="s"/>
      <c r="P121" s="4" t="s"/>
      <c r="AA121" s="410" t="s"/>
    </row>
    <row r="122" spans="27:27">
      <c r="AA122" s="410" t="s"/>
    </row>
    <row r="123" spans="27:27">
      <c r="AA123" s="410" t="s"/>
    </row>
    <row r="124" spans="27:27">
      <c r="AA124" s="410" t="s"/>
    </row>
    <row r="125" spans="27:27">
      <c r="AA125" s="410" t="s"/>
    </row>
    <row r="126" spans="27:27">
      <c r="AA126" s="410" t="s"/>
    </row>
    <row r="127" spans="27:27">
      <c r="AA127" s="410" t="s"/>
    </row>
    <row r="128" spans="27:27">
      <c r="AA128" s="410" t="s"/>
    </row>
    <row r="129" spans="27:27">
      <c r="AA129" s="410" t="s"/>
    </row>
    <row r="130" spans="27:27">
      <c r="AA130" s="410" t="s"/>
    </row>
    <row r="131" spans="27:27">
      <c r="AA131" s="410" t="s"/>
    </row>
    <row r="132" spans="27:27">
      <c r="AA132" s="410" t="s"/>
    </row>
    <row r="133" spans="27:27">
      <c r="AA133" s="410" t="s"/>
    </row>
    <row r="134" spans="27:27">
      <c r="AA134" s="410" t="s"/>
    </row>
    <row r="135" spans="27:27">
      <c r="AA135" s="410" t="s"/>
    </row>
    <row r="136" spans="27:27">
      <c r="AA136" s="410" t="s"/>
    </row>
    <row r="137" spans="27:27">
      <c r="AA137" s="410" t="s"/>
    </row>
    <row r="138" spans="27:27">
      <c r="AA138" s="410" t="s"/>
    </row>
    <row r="139" spans="27:27">
      <c r="AA139" s="410" t="s"/>
    </row>
    <row r="140" spans="27:27">
      <c r="AA140" s="410" t="s"/>
    </row>
    <row r="141" spans="27:27">
      <c r="AA141" s="410" t="s"/>
    </row>
    <row r="142" spans="27:27">
      <c r="AA142" s="410" t="s"/>
    </row>
    <row r="143" spans="27:27">
      <c r="AA143" s="410" t="s"/>
    </row>
    <row r="144" spans="27:27">
      <c r="AA144" s="410" t="s"/>
    </row>
    <row r="145" spans="27:27">
      <c r="AA145" s="410" t="s"/>
    </row>
    <row r="146" spans="27:27">
      <c r="AA146" s="410" t="s"/>
    </row>
    <row r="147" spans="27:27">
      <c r="AA147" s="410" t="s"/>
    </row>
    <row r="148" spans="27:27">
      <c r="AA148" s="410" t="s"/>
    </row>
    <row r="149" spans="27:27">
      <c r="AA149" s="410" t="s"/>
    </row>
    <row r="150" spans="27:27">
      <c r="AA150" s="410" t="s"/>
    </row>
    <row r="151" spans="27:27">
      <c r="AA151" s="410" t="s"/>
    </row>
    <row r="152" spans="27:27">
      <c r="AA152" s="410" t="s"/>
    </row>
    <row r="153" spans="27:27">
      <c r="AA153" s="410" t="s"/>
    </row>
    <row r="154" spans="27:27">
      <c r="AA154" s="410" t="s"/>
    </row>
    <row r="155" spans="27:27">
      <c r="AA155" s="410" t="s"/>
    </row>
    <row r="156" spans="27:27">
      <c r="AA156" s="410" t="s"/>
    </row>
    <row r="157" spans="27:27">
      <c r="AA157" s="410" t="s"/>
    </row>
    <row r="158" spans="27:27">
      <c r="AA158" s="410" t="s"/>
    </row>
    <row r="159" spans="27:27">
      <c r="AA159" s="410" t="s"/>
    </row>
    <row r="160" spans="27:27">
      <c r="AA160" s="410" t="s"/>
    </row>
    <row r="161" spans="27:27">
      <c r="AA161" s="410" t="s"/>
    </row>
    <row r="162" spans="27:27">
      <c r="AA162" s="410" t="s"/>
    </row>
    <row r="163" spans="27:27">
      <c r="AA163" s="410" t="s"/>
    </row>
    <row r="164" spans="27:27">
      <c r="AA164" s="410" t="s"/>
    </row>
    <row r="165" spans="27:27">
      <c r="AA165" s="410" t="s"/>
    </row>
    <row r="166" spans="27:27">
      <c r="AA166" s="410" t="s"/>
    </row>
    <row r="167" spans="27:27">
      <c r="AA167" s="410" t="s"/>
    </row>
    <row r="168" spans="27:27">
      <c r="AA168" s="410" t="s"/>
    </row>
    <row r="169" spans="27:27">
      <c r="AA169" s="410" t="s"/>
    </row>
    <row r="170" spans="27:27">
      <c r="AA170" s="410" t="s"/>
    </row>
    <row r="171" spans="27:27">
      <c r="AA171" s="410" t="s"/>
    </row>
    <row r="172" spans="27:27">
      <c r="AA172" s="410" t="s"/>
    </row>
    <row r="173" spans="27:27">
      <c r="AA173" s="410" t="s"/>
    </row>
    <row r="174" spans="27:27">
      <c r="AA174" s="410" t="s"/>
    </row>
    <row r="175" spans="27:27">
      <c r="AA175" s="410" t="s"/>
    </row>
    <row r="176" spans="27:27">
      <c r="AA176" s="410" t="s"/>
    </row>
    <row r="177" spans="27:27">
      <c r="AA177" s="410" t="s"/>
    </row>
    <row r="178" spans="27:27">
      <c r="AA178" s="410" t="s"/>
    </row>
    <row r="179" spans="27:27">
      <c r="AA179" s="410" t="s"/>
    </row>
    <row r="180" spans="27:27">
      <c r="AA180" s="410" t="s"/>
    </row>
    <row r="181" spans="27:27">
      <c r="AA181" s="410" t="s"/>
    </row>
    <row r="182" spans="27:27">
      <c r="AA182" s="410" t="s"/>
    </row>
    <row r="183" spans="27:27">
      <c r="AA183" s="410" t="s"/>
    </row>
    <row r="184" spans="27:27">
      <c r="AA184" s="410" t="s"/>
    </row>
    <row r="185" spans="27:27">
      <c r="AA185" s="410" t="s"/>
    </row>
    <row r="186" spans="27:27">
      <c r="AA186" s="410" t="s"/>
    </row>
    <row r="187" spans="27:27">
      <c r="AA187" s="410" t="s"/>
    </row>
    <row r="188" spans="27:27">
      <c r="AA188" s="410" t="s"/>
    </row>
    <row r="189" spans="27:27">
      <c r="AA189" s="410" t="s"/>
    </row>
    <row r="190" spans="27:27">
      <c r="AA190" s="410" t="s"/>
    </row>
    <row r="191" spans="27:27">
      <c r="AA191" s="410" t="s"/>
    </row>
    <row r="192" spans="27:27">
      <c r="AA192" s="410" t="s"/>
    </row>
    <row r="193" spans="27:27">
      <c r="AA193" s="410" t="s"/>
    </row>
    <row r="194" spans="27:27">
      <c r="AA194" s="410" t="s"/>
    </row>
    <row r="195" spans="27:27">
      <c r="AA195" s="410" t="s"/>
    </row>
    <row r="196" spans="27:27">
      <c r="AA196" s="410" t="s"/>
    </row>
    <row r="197" spans="27:27">
      <c r="AA197" s="410" t="s"/>
    </row>
    <row r="198" spans="27:27">
      <c r="AA198" s="410" t="s"/>
    </row>
    <row r="199" spans="27:27">
      <c r="AA199" s="410" t="s"/>
    </row>
    <row r="200" spans="27:27">
      <c r="AA200" s="410" t="s"/>
    </row>
    <row r="201" spans="27:27">
      <c r="AA201" s="410" t="s"/>
    </row>
    <row r="202" spans="27:27">
      <c r="AA202" s="410" t="s"/>
    </row>
    <row r="203" spans="27:27">
      <c r="AA203" s="410" t="s"/>
    </row>
    <row r="204" spans="27:27">
      <c r="AA204" s="410" t="s"/>
    </row>
    <row r="205" spans="27:27">
      <c r="AA205" s="410" t="s"/>
    </row>
    <row r="206" spans="27:27">
      <c r="AA206" s="410" t="s"/>
    </row>
    <row r="207" spans="27:27">
      <c r="AA207" s="410" t="s"/>
    </row>
    <row r="208" spans="27:27">
      <c r="AA208" s="410" t="s"/>
    </row>
    <row r="209" spans="27:27">
      <c r="AA209" s="410" t="s"/>
    </row>
    <row r="210" spans="27:27">
      <c r="AA210" s="410" t="s"/>
    </row>
    <row r="211" spans="27:27">
      <c r="AA211" s="410" t="s"/>
    </row>
    <row r="212" spans="27:27">
      <c r="AA212" s="410" t="s"/>
    </row>
  </sheetData>
  <mergeCells count="126">
    <mergeCell ref="Z16:Z19"/>
    <mergeCell ref="Z24:Z27"/>
    <mergeCell ref="Z2:AD2"/>
    <mergeCell ref="AE2:AF2"/>
    <mergeCell ref="Z20:Z21"/>
    <mergeCell ref="Z12:Z15"/>
    <mergeCell ref="Z5:Z7"/>
    <mergeCell ref="AA28:AD28"/>
    <mergeCell ref="Z1:AF1"/>
    <mergeCell ref="Z31:AD31"/>
    <mergeCell ref="AE31:AF31"/>
    <mergeCell ref="Z33:Z35"/>
    <mergeCell ref="Z36:Z37"/>
    <mergeCell ref="Z38:Z41"/>
    <mergeCell ref="Z44:Z47"/>
    <mergeCell ref="Z48:Z49"/>
    <mergeCell ref="Z51:Z54"/>
    <mergeCell ref="AA55:AD55"/>
    <mergeCell ref="Z42:Z43"/>
    <mergeCell ref="AI1:AQ1"/>
    <mergeCell ref="AJ17:AJ20"/>
    <mergeCell ref="AK17:AK20"/>
    <mergeCell ref="AI27:AI32"/>
    <mergeCell ref="AJ27:AJ31"/>
    <mergeCell ref="AK27:AK31"/>
    <mergeCell ref="AI33:AI39"/>
    <mergeCell ref="AJ33:AJ39"/>
    <mergeCell ref="AK33:AK39"/>
    <mergeCell ref="Z58:AD58"/>
    <mergeCell ref="AE58:AF58"/>
    <mergeCell ref="Z60:Z62"/>
    <mergeCell ref="Z67:Z70"/>
    <mergeCell ref="Z74:Z77"/>
    <mergeCell ref="Z78:Z79"/>
    <mergeCell ref="AA87:AD87"/>
    <mergeCell ref="Z63:Z66"/>
    <mergeCell ref="Z71:Z73"/>
    <mergeCell ref="Z82:Z86"/>
    <mergeCell ref="Z57:AF57"/>
    <mergeCell ref="W2:X2"/>
    <mergeCell ref="R2:V2"/>
    <mergeCell ref="AJ3:AJ7"/>
    <mergeCell ref="AK3:AK7"/>
    <mergeCell ref="R4:R5"/>
    <mergeCell ref="R13:R14"/>
    <mergeCell ref="R24:R27"/>
    <mergeCell ref="S28:V28"/>
    <mergeCell ref="R15:R17"/>
    <mergeCell ref="R18:R19"/>
    <mergeCell ref="R6:R7"/>
    <mergeCell ref="R31:V31"/>
    <mergeCell ref="W31:X31"/>
    <mergeCell ref="R36:R37"/>
    <mergeCell ref="R38:R40"/>
    <mergeCell ref="R33:R35"/>
    <mergeCell ref="R46:R48"/>
    <mergeCell ref="R49:R50"/>
    <mergeCell ref="R52:R53"/>
    <mergeCell ref="R54:R57"/>
    <mergeCell ref="S58:V58"/>
    <mergeCell ref="R41:R45"/>
    <mergeCell ref="R60:V60"/>
    <mergeCell ref="W60:X60"/>
    <mergeCell ref="R62:R64"/>
    <mergeCell ref="R65:R66"/>
    <mergeCell ref="R67:R69"/>
    <mergeCell ref="R70:R74"/>
    <mergeCell ref="R75:R77"/>
    <mergeCell ref="R78:R79"/>
    <mergeCell ref="R81:R82"/>
    <mergeCell ref="S88:V88"/>
    <mergeCell ref="R83:R87"/>
    <mergeCell ref="R90:V90"/>
    <mergeCell ref="W90:X90"/>
    <mergeCell ref="R93:R95"/>
    <mergeCell ref="R96:R97"/>
    <mergeCell ref="R98:R100"/>
    <mergeCell ref="R101:R105"/>
    <mergeCell ref="R106:R108"/>
    <mergeCell ref="R109:R110"/>
    <mergeCell ref="R112:R113"/>
    <mergeCell ref="R114:R118"/>
    <mergeCell ref="S119:V119"/>
    <mergeCell ref="J3:N3"/>
    <mergeCell ref="O3:P3"/>
    <mergeCell ref="Z9:Z11"/>
    <mergeCell ref="AJ9:AJ16"/>
    <mergeCell ref="AK9:AK16"/>
    <mergeCell ref="R9:R12"/>
    <mergeCell ref="K21:N21"/>
    <mergeCell ref="J25:N25"/>
    <mergeCell ref="O25:P25"/>
    <mergeCell ref="J34:J36"/>
    <mergeCell ref="J37:J38"/>
    <mergeCell ref="K44:N44"/>
    <mergeCell ref="J27:J28"/>
    <mergeCell ref="J30:J32"/>
    <mergeCell ref="J41:J43"/>
    <mergeCell ref="J47:N47"/>
    <mergeCell ref="O47:P47"/>
    <mergeCell ref="J49:J50"/>
    <mergeCell ref="J52:J54"/>
    <mergeCell ref="J56:J58"/>
    <mergeCell ref="J59:J60"/>
    <mergeCell ref="J63:J65"/>
    <mergeCell ref="K66:N66"/>
    <mergeCell ref="J69:N69"/>
    <mergeCell ref="O69:P69"/>
    <mergeCell ref="J71:J73"/>
    <mergeCell ref="J75:J77"/>
    <mergeCell ref="J79:J82"/>
    <mergeCell ref="J89:J91"/>
    <mergeCell ref="J83:J85"/>
    <mergeCell ref="K92:N92"/>
    <mergeCell ref="B4:F4"/>
    <mergeCell ref="G4:H4"/>
    <mergeCell ref="AJ21:AJ26"/>
    <mergeCell ref="AK21:AK26"/>
    <mergeCell ref="R21:R23"/>
    <mergeCell ref="AI3:AI26"/>
    <mergeCell ref="B13:B15"/>
    <mergeCell ref="B21:B24"/>
    <mergeCell ref="B26:F26"/>
    <mergeCell ref="G26:H26"/>
    <mergeCell ref="B28:B31"/>
    <mergeCell ref="B37:B38"/>
  </mergeCells>
  <dataValidations>
    <dataValidation type="list" errorStyle="stop" allowBlank="true" showDropDown="false" showInputMessage="true" showErrorMessage="true" prompt="" sqref="AA4:AA1048576">
      <formula1>"新增需求,替补需求,储备需求,上个月未交付延期本月,招聘类型,临时新增,"</formula1>
    </dataValidation>
    <dataValidation type="list" errorStyle="stop" allowBlank="true" showDropDown="false" showInputMessage="true" showErrorMessage="true" prompt="" sqref="A4:A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10:A1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12:A1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17:A2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2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30:A3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39:A43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44:A5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59:A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68:A7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73:A8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89:A9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99:A103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104:A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B6:B9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11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1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B13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16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19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2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B21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28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32:B34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3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B37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48:B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B58:B6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B67:B7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B72:B8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B88:B9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B98:B10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B103:B1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C6:C24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C28:C38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C48:C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C58:C6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C67:C7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C72:C8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C88:C9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C98:C10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C103:C1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D48:D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D58:D6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D67:D7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D72:D8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D88:D9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D98:D10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D103:D1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E48:E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E58:E6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E67:E7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E72:E8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E88:E9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E98:E10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E103:E1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F6:F24">
      <formula1>"社招,校招,社招&amp;校招,"</formula1>
    </dataValidation>
    <dataValidation type="list" errorStyle="stop" allowBlank="true" showDropDown="false" showInputMessage="true" showErrorMessage="true" prompt="" sqref="F28:F38">
      <formula1>"社招,校招,社招&amp;校招,"</formula1>
    </dataValidation>
    <dataValidation type="list" errorStyle="stop" allowBlank="true" showDropDown="false" showInputMessage="true" showErrorMessage="true" prompt="" sqref="F48:F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F58:F6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F67:F7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F72:F8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F88:F9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F98:F10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F103:F1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G23:G2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G48:G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G58:G6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G67:G7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G72:G8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G88:G9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G98:G10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G103:G1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H48:H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H58:H6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H67:H7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H72:H8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H88:H9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H98:H10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H103:H1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4:I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10:I1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I12:I1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17:I2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2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30:I3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39:I43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I44:I5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59:I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68:I7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I73:I8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89:I9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I99:I103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I104:I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4:J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10:J1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J12:J1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17:J2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26:J2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29:J3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33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J3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3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39:J41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45:J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48:J49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51:J5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55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J5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59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61:J6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70:J71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74:J7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78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J79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8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86:J89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J105:J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K4:K20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K26:K43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K45:K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K48:K65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K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K68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K70:K91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K105:K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L45:L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L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L68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L105:L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M45:M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M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M68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M105:M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N5:N20">
      <formula1>"社招,校招,社招&amp;校招,"</formula1>
    </dataValidation>
    <dataValidation type="list" errorStyle="stop" allowBlank="true" showDropDown="false" showInputMessage="true" showErrorMessage="true" prompt="" sqref="N27:N43">
      <formula1>"社招,校招,社招&amp;校招,"</formula1>
    </dataValidation>
    <dataValidation type="list" errorStyle="stop" allowBlank="true" showDropDown="false" showInputMessage="true" showErrorMessage="true" prompt="" sqref="N45:N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N49:N65">
      <formula1>"社招,校招,社招&amp;校招,"</formula1>
    </dataValidation>
    <dataValidation type="list" errorStyle="stop" allowBlank="true" showDropDown="false" showInputMessage="true" showErrorMessage="true" prompt="" sqref="N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N68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N71:N91">
      <formula1>"社招,校招,社招&amp;校招,"</formula1>
    </dataValidation>
    <dataValidation type="list" errorStyle="stop" allowBlank="true" showDropDown="false" showInputMessage="true" showErrorMessage="true" prompt="" sqref="N105:N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O45:O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O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O68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O105:O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P45:P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P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P68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P105:P1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Q2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Q32:Q4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Q41:Q45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Q46:Q5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Q61:Q69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Q70:Q74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Q75:Q8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Q91:Q10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Q101:Q105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Q106:Q11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3:R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8:R1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13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R1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1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20:R2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2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32:R3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3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3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4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R4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49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51:R5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5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61:R6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6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70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R7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7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80:R81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8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91:R9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9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9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101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R10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109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111:R11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R11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S3:S27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S32:S57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S61:S87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S91:S118">
      <formula1>"新增需求,替补需求,储备需求,上个月未入职,临时新增,"</formula1>
    </dataValidation>
    <dataValidation type="list" errorStyle="stop" allowBlank="true" showDropDown="false" showInputMessage="true" showErrorMessage="true" prompt="" sqref="V4:V27">
      <formula1>"社招,校招,社招&amp;校招,"</formula1>
    </dataValidation>
    <dataValidation type="list" errorStyle="stop" allowBlank="true" showDropDown="false" showInputMessage="true" showErrorMessage="true" prompt="" sqref="V34:V57">
      <formula1>"社招,校招,社招&amp;校招,"</formula1>
    </dataValidation>
    <dataValidation type="list" errorStyle="stop" allowBlank="true" showDropDown="false" showInputMessage="true" showErrorMessage="true" prompt="" sqref="V63:V87">
      <formula1>"社招,校招,社招&amp;校招,"</formula1>
    </dataValidation>
    <dataValidation type="list" errorStyle="stop" allowBlank="true" showDropDown="false" showInputMessage="true" showErrorMessage="true" prompt="" sqref="V94:V118">
      <formula1>"社招,校招,社招&amp;校招,"</formula1>
    </dataValidation>
    <dataValidation type="list" errorStyle="stop" allowBlank="true" showDropDown="false" showInputMessage="true" showErrorMessage="true" prompt="" sqref="Z3:Z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1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1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16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2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22:Z2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32:Z33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3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4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Z4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4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50:Z51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59:Z60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67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71:Z72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Z74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78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80:Z82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Z85">
      <formula1>"自孵部,签约部,培训部,外采部,商务中台,运营中台,总经办+财务部,财务部,技术中台,内容中台,AI中台,"</formula1>
    </dataValidation>
    <dataValidation type="list" errorStyle="stop" allowBlank="true" showDropDown="false" showInputMessage="true" showErrorMessage="true" prompt="" sqref="AD4:AD27">
      <formula1>"社招,校招,社招&amp;校招,"</formula1>
    </dataValidation>
    <dataValidation type="list" errorStyle="stop" allowBlank="true" showDropDown="false" showInputMessage="true" showErrorMessage="true" prompt="" sqref="AD33:AD54">
      <formula1>"社招,校招,社招&amp;校招,"</formula1>
    </dataValidation>
    <dataValidation type="list" errorStyle="stop" allowBlank="true" showDropDown="false" showInputMessage="true" showErrorMessage="true" prompt="" sqref="AD60:AD86">
      <formula1>"社招,校招,社招&amp;校招,"</formula1>
    </dataValidation>
    <dataValidation type="list" errorStyle="stop" showInputMessage="true" showErrorMessage="true" prompt="" sqref="AL3:AL40">
      <formula1>"新增需求,替补需求,储备需求,上个月未交付延期本月,招聘类型,临时需求,"</formula1>
      <formula2/>
    </dataValidation>
    <dataValidation type="list" errorStyle="stop" showInputMessage="true" showErrorMessage="true" prompt="" sqref="AO3:AO39">
      <formula1>"社招,校招,社招&amp;校招,"</formula1>
      <formula2/>
    </dataValidation>
  </dataValidations>
</worksheet>
</file>

<file path=xl/worksheets/sheet9.xml><?xml version="1.0" encoding="utf-8"?>
<worksheet xmlns:r="http://schemas.openxmlformats.org/officeDocument/2006/relationships" xmlns="http://schemas.openxmlformats.org/spreadsheetml/2006/main">
  <sheetPr codeName="周度离职统计">
    <tabColor/>
  </sheetPr>
  <dimension ref="J185"/>
  <sheetViews>
    <sheetView showGridLines="true" workbookViewId="0"/>
  </sheetViews>
  <sheetFormatPr baseColWidth="13" defaultRowHeight="18" customHeight="true"/>
  <cols>
    <col min="1" max="1" width="14.832" style="508" customWidth="true"/>
    <col min="2" max="2" width="25.8906" style="508" customWidth="true"/>
    <col min="3" max="3" width="25.3516" style="508" customWidth="true"/>
    <col min="4" max="4" width="40.6016" style="508" customWidth="true"/>
    <col min="5" max="5" width="14.832" style="508" customWidth="true"/>
    <col min="6" max="7" width="24.1406" style="508" customWidth="true"/>
    <col min="8" max="8" width="43.832" style="508" customWidth="true"/>
    <col min="9" max="9" width="14.832" style="508" customWidth="true"/>
    <col min="10" max="10" width="24.1406" style="1469" customWidth="true"/>
    <col min="11" max="11" width="22.1211" style="508" customWidth="true"/>
    <col min="12" max="12" width="45.4531" style="508" customWidth="true"/>
    <col min="13" max="14" width="13.6719" style="508"/>
    <col min="15" max="15" width="13.6719" style="1470"/>
    <col min="16" max="16" width="13.6719" style="837" customWidth="true"/>
    <col min="17" max="35" width="13.6719" style="508"/>
  </cols>
  <sheetData>
    <row r="1" spans="1:35" s="314" customFormat="true" ht="24" customHeight="true">
      <c r="A1" s="1200" t="s"/>
      <c r="B1" s="1200" t="s"/>
      <c r="C1" s="1200" t="s"/>
      <c r="D1" s="1200" t="s"/>
      <c r="E1" s="1200" t="s"/>
      <c r="F1" s="1201" t="s">
        <v>232</v>
      </c>
      <c r="G1" s="1202" t="s"/>
      <c r="H1" s="1203" t="s"/>
      <c r="I1" s="1200" t="s"/>
      <c r="J1" s="1200" t="s"/>
      <c r="K1" s="1200" t="s"/>
      <c r="L1" s="1200" t="s"/>
      <c r="M1" s="1204" t="s"/>
      <c r="N1" s="1204" t="s"/>
      <c r="O1" s="1205" t="s"/>
      <c r="P1" s="1206" t="s"/>
      <c r="Q1" s="1204" t="s"/>
      <c r="R1" s="1204" t="s"/>
      <c r="S1" s="1204" t="s"/>
      <c r="T1" s="1204" t="s"/>
      <c r="U1" s="1204" t="s"/>
      <c r="V1" s="1204" t="s"/>
      <c r="W1" s="1204" t="s"/>
      <c r="X1" s="1204" t="s"/>
      <c r="Y1" s="1204" t="s"/>
      <c r="Z1" s="1204" t="s"/>
      <c r="AA1" s="1204" t="s"/>
      <c r="AB1" s="1204" t="s"/>
      <c r="AC1" s="1204" t="s"/>
      <c r="AD1" s="1204" t="s"/>
      <c r="AE1" s="1204" t="s"/>
      <c r="AF1" s="1204" t="s"/>
      <c r="AG1" s="1204" t="s"/>
      <c r="AH1" s="1204" t="s"/>
      <c r="AI1" s="1204" t="s"/>
    </row>
    <row r="2" spans="1:16" ht="24" customHeight="true">
      <c r="A2" s="1200" t="s"/>
      <c r="B2" s="1201" t="s">
        <v>233</v>
      </c>
      <c r="C2" s="1202" t="s"/>
      <c r="D2" s="1203" t="s"/>
      <c r="E2" s="1200" t="s"/>
      <c r="F2" s="1207" t="s">
        <v>6</v>
      </c>
      <c r="G2" s="1208" t="s">
        <v>126</v>
      </c>
      <c r="H2" s="1209" t="s">
        <v>234</v>
      </c>
      <c r="I2" s="1200" t="s"/>
      <c r="J2" s="1210" t="s">
        <v>235</v>
      </c>
      <c r="K2" s="14" t="s"/>
      <c r="L2" s="15" t="s"/>
      <c r="O2" s="1211" t="s">
        <v>236</v>
      </c>
      <c r="P2" s="1212" t="s">
        <v>126</v>
      </c>
    </row>
    <row r="3" spans="1:16" ht="24" customHeight="true">
      <c r="A3" s="1213" t="s"/>
      <c r="B3" s="1207" t="s">
        <v>6</v>
      </c>
      <c r="C3" s="1208" t="s">
        <v>126</v>
      </c>
      <c r="D3" s="1209" t="s">
        <v>234</v>
      </c>
      <c r="E3" s="1213" t="s"/>
      <c r="F3" s="1214" t="s">
        <v>237</v>
      </c>
      <c r="G3" s="63">
        <v>3</v>
      </c>
      <c r="H3" s="1215" t="s">
        <v>238</v>
      </c>
      <c r="I3" s="1213" t="s"/>
      <c r="J3" s="1216" t="s">
        <v>6</v>
      </c>
      <c r="K3" s="1216" t="s">
        <v>126</v>
      </c>
      <c r="L3" s="1217" t="s">
        <v>234</v>
      </c>
      <c r="O3" s="1211" t="s">
        <v>239</v>
      </c>
      <c r="P3" s="1218">
        <v>11</v>
      </c>
    </row>
    <row r="4" spans="1:16" ht="29.25" customHeight="true">
      <c r="A4" s="76" t="s"/>
      <c r="B4" s="1214" t="s">
        <v>237</v>
      </c>
      <c r="C4" s="63">
        <v>0</v>
      </c>
      <c r="D4" s="1219" t="s">
        <v>240</v>
      </c>
      <c r="E4" s="76" t="s"/>
      <c r="F4" s="1214" t="s">
        <v>241</v>
      </c>
      <c r="G4" s="63">
        <v>3</v>
      </c>
      <c r="H4" s="1215" t="s">
        <v>242</v>
      </c>
      <c r="I4" s="76" t="s"/>
      <c r="J4" s="90" t="s">
        <v>237</v>
      </c>
      <c r="K4" s="95" t="s"/>
      <c r="L4" s="440" t="s"/>
      <c r="O4" s="1211" t="s">
        <v>243</v>
      </c>
      <c r="P4" s="1218">
        <v>5</v>
      </c>
    </row>
    <row r="5" spans="1:16" ht="24" customHeight="true">
      <c r="A5" s="76" t="s"/>
      <c r="B5" s="1214" t="s">
        <v>241</v>
      </c>
      <c r="C5" s="63">
        <v>1</v>
      </c>
      <c r="D5" s="1215" t="s">
        <v>244</v>
      </c>
      <c r="E5" s="76" t="s"/>
      <c r="F5" s="1214" t="s">
        <v>245</v>
      </c>
      <c r="G5" s="63">
        <v>1</v>
      </c>
      <c r="H5" s="1215" t="s">
        <v>246</v>
      </c>
      <c r="I5" s="76" t="s"/>
      <c r="J5" s="133" t="s">
        <v>32</v>
      </c>
      <c r="K5" s="684">
        <v>1</v>
      </c>
      <c r="L5" s="685" t="s">
        <v>247</v>
      </c>
      <c r="O5" s="1220" t="s">
        <v>248</v>
      </c>
      <c r="P5" s="1218">
        <v>15</v>
      </c>
    </row>
    <row r="6" spans="1:17" ht="24" customHeight="true">
      <c r="A6" s="76" t="s"/>
      <c r="B6" s="1214" t="s">
        <v>245</v>
      </c>
      <c r="C6" s="63">
        <v>5</v>
      </c>
      <c r="D6" s="1215" t="s">
        <v>27</v>
      </c>
      <c r="E6" s="76" t="s"/>
      <c r="F6" s="1221" t="s">
        <v>32</v>
      </c>
      <c r="G6" s="106">
        <v>0</v>
      </c>
      <c r="H6" s="1222" t="s">
        <v>27</v>
      </c>
      <c r="I6" s="76" t="s"/>
      <c r="J6" s="461" t="s">
        <v>241</v>
      </c>
      <c r="K6" s="684">
        <v>4</v>
      </c>
      <c r="L6" s="685" t="s">
        <v>249</v>
      </c>
      <c r="O6" s="1220" t="s">
        <v>250</v>
      </c>
      <c r="P6" s="1218">
        <v>6</v>
      </c>
      <c r="Q6" s="508" t="s"/>
    </row>
    <row r="7" spans="1:17" ht="24" customHeight="true">
      <c r="A7" s="76" t="s"/>
      <c r="B7" s="1221" t="s">
        <v>32</v>
      </c>
      <c r="C7" s="106">
        <v>0</v>
      </c>
      <c r="D7" s="1222" t="s">
        <v>27</v>
      </c>
      <c r="E7" s="76" t="s"/>
      <c r="F7" s="1223" t="s">
        <v>39</v>
      </c>
      <c r="G7" s="1224">
        <v>0</v>
      </c>
      <c r="H7" s="1225" t="s">
        <v>27</v>
      </c>
      <c r="I7" s="76" t="s"/>
      <c r="J7" s="127" t="s">
        <v>39</v>
      </c>
      <c r="K7" s="1224">
        <v>1</v>
      </c>
      <c r="L7" s="485" t="s">
        <v>251</v>
      </c>
      <c r="O7" s="1211" t="s">
        <v>252</v>
      </c>
      <c r="P7" s="837">
        <v>4</v>
      </c>
      <c r="Q7" s="508" t="s"/>
    </row>
    <row r="8" spans="1:17" ht="24" customHeight="true">
      <c r="A8" s="76" t="s"/>
      <c r="B8" s="1223" t="s">
        <v>39</v>
      </c>
      <c r="C8" s="1224">
        <v>0</v>
      </c>
      <c r="D8" s="1225" t="s">
        <v>27</v>
      </c>
      <c r="E8" s="76" t="s"/>
      <c r="F8" s="1226" t="s">
        <v>50</v>
      </c>
      <c r="G8" s="159">
        <v>1</v>
      </c>
      <c r="H8" s="1227" t="s">
        <v>253</v>
      </c>
      <c r="I8" s="76" t="s"/>
      <c r="J8" s="1228" t="s">
        <v>50</v>
      </c>
      <c r="K8" s="497">
        <v>0</v>
      </c>
      <c r="L8" s="498" t="s">
        <v>27</v>
      </c>
      <c r="M8" s="508" t="s"/>
      <c r="O8" s="1220" t="s">
        <v>254</v>
      </c>
      <c r="P8" s="1218">
        <v>4</v>
      </c>
      <c r="Q8" s="508" t="s"/>
    </row>
    <row r="9" spans="1:17" ht="24" customHeight="true">
      <c r="A9" s="76" t="s"/>
      <c r="B9" s="1226" t="s">
        <v>50</v>
      </c>
      <c r="C9" s="159">
        <v>0</v>
      </c>
      <c r="D9" s="1227" t="s">
        <v>27</v>
      </c>
      <c r="E9" s="76" t="s"/>
      <c r="F9" s="1229" t="s">
        <v>54</v>
      </c>
      <c r="G9" s="176">
        <v>1</v>
      </c>
      <c r="H9" s="1230" t="s">
        <v>255</v>
      </c>
      <c r="I9" s="76" t="s"/>
      <c r="J9" s="1231" t="s">
        <v>54</v>
      </c>
      <c r="K9" s="696">
        <v>2</v>
      </c>
      <c r="L9" s="697" t="s">
        <v>256</v>
      </c>
      <c r="O9" s="1211" t="s">
        <v>257</v>
      </c>
      <c r="P9" s="1218">
        <v>0</v>
      </c>
      <c r="Q9" s="508" t="s"/>
    </row>
    <row r="10" spans="1:17" ht="24" customHeight="true">
      <c r="A10" s="76" t="s"/>
      <c r="B10" s="1229" t="s">
        <v>54</v>
      </c>
      <c r="C10" s="176">
        <v>0</v>
      </c>
      <c r="D10" s="1230" t="s">
        <v>27</v>
      </c>
      <c r="E10" s="76" t="s"/>
      <c r="F10" s="1232" t="s">
        <v>63</v>
      </c>
      <c r="G10" s="214">
        <v>1</v>
      </c>
      <c r="H10" s="1233" t="s">
        <v>258</v>
      </c>
      <c r="I10" s="76" t="s"/>
      <c r="J10" s="311" t="s">
        <v>63</v>
      </c>
      <c r="K10" s="539">
        <v>1</v>
      </c>
      <c r="L10" s="540" t="s">
        <v>259</v>
      </c>
      <c r="O10" s="1220" t="s">
        <v>260</v>
      </c>
      <c r="P10" s="1218">
        <v>6</v>
      </c>
      <c r="Q10" s="508" t="s"/>
    </row>
    <row r="11" spans="1:17" ht="24" customHeight="true">
      <c r="A11" s="76" t="s"/>
      <c r="B11" s="1232" t="s">
        <v>63</v>
      </c>
      <c r="C11" s="214">
        <v>0</v>
      </c>
      <c r="D11" s="1233" t="s">
        <v>27</v>
      </c>
      <c r="E11" s="76" t="s"/>
      <c r="F11" s="1234" t="s">
        <v>65</v>
      </c>
      <c r="G11" s="229">
        <v>1</v>
      </c>
      <c r="H11" s="1235" t="s">
        <v>261</v>
      </c>
      <c r="I11" s="76" t="s"/>
      <c r="J11" s="322" t="s">
        <v>65</v>
      </c>
      <c r="K11" s="618">
        <v>0</v>
      </c>
      <c r="L11" s="619" t="s">
        <v>27</v>
      </c>
      <c r="O11" s="1220" t="s">
        <v>262</v>
      </c>
      <c r="P11" s="1218">
        <v>11</v>
      </c>
      <c r="Q11" s="508" t="s"/>
    </row>
    <row r="12" spans="1:17" ht="24" customHeight="true">
      <c r="A12" s="76" t="s"/>
      <c r="B12" s="1234" t="s">
        <v>65</v>
      </c>
      <c r="C12" s="229">
        <v>0</v>
      </c>
      <c r="D12" s="1235" t="s">
        <v>27</v>
      </c>
      <c r="E12" s="76" t="s"/>
      <c r="F12" s="1236" t="s">
        <v>70</v>
      </c>
      <c r="G12" s="301">
        <v>0</v>
      </c>
      <c r="H12" s="1237" t="s">
        <v>27</v>
      </c>
      <c r="I12" s="76" t="s"/>
      <c r="J12" s="298" t="s">
        <v>70</v>
      </c>
      <c r="K12" s="257">
        <v>0</v>
      </c>
      <c r="L12" s="320" t="s">
        <v>27</v>
      </c>
      <c r="N12" s="508" t="s"/>
      <c r="O12" s="1220" t="s">
        <v>263</v>
      </c>
      <c r="P12" s="1218">
        <v>18</v>
      </c>
      <c r="Q12" s="508" t="s"/>
    </row>
    <row r="13" spans="1:17" ht="24" customHeight="true">
      <c r="A13" s="837" t="s"/>
      <c r="B13" s="1238" t="s">
        <v>70</v>
      </c>
      <c r="C13" s="257">
        <v>0</v>
      </c>
      <c r="D13" s="1239" t="s">
        <v>27</v>
      </c>
      <c r="E13" s="837" t="s"/>
      <c r="F13" s="1240" t="s">
        <v>71</v>
      </c>
      <c r="G13" s="651">
        <v>1</v>
      </c>
      <c r="H13" s="1241" t="s">
        <v>264</v>
      </c>
      <c r="I13" s="837" t="s"/>
      <c r="J13" s="1242" t="s">
        <v>71</v>
      </c>
      <c r="K13" s="651">
        <v>0</v>
      </c>
      <c r="L13" s="652" t="s">
        <v>27</v>
      </c>
      <c r="N13" s="508" t="s"/>
      <c r="O13" s="1211" t="s">
        <v>265</v>
      </c>
      <c r="P13" s="1218">
        <v>8</v>
      </c>
      <c r="Q13" s="508" t="s"/>
    </row>
    <row r="14" spans="2:17" ht="24" customHeight="true">
      <c r="B14" s="1240" t="s">
        <v>71</v>
      </c>
      <c r="C14" s="651">
        <v>0</v>
      </c>
      <c r="D14" s="1241" t="s">
        <v>27</v>
      </c>
      <c r="F14" s="1243" t="s">
        <v>7</v>
      </c>
      <c r="G14" s="1244">
        <f>=SUM(G3:G13)</f>
        <v>12</v>
      </c>
      <c r="H14" s="1245" t="s"/>
      <c r="J14" s="1246" t="s">
        <v>7</v>
      </c>
      <c r="K14" s="1247">
        <f>=SUM(K4:K12)</f>
        <v>9</v>
      </c>
      <c r="L14" s="1248" t="s"/>
      <c r="N14" s="508" t="s"/>
      <c r="O14" s="1220" t="s">
        <v>266</v>
      </c>
      <c r="P14" s="1218">
        <v>7</v>
      </c>
      <c r="Q14" s="508" t="s"/>
    </row>
    <row r="15" spans="2:17" ht="24" customHeight="true">
      <c r="B15" s="1243" t="s">
        <v>7</v>
      </c>
      <c r="C15" s="1244">
        <f>=SUM(C4:C14)</f>
        <v>6</v>
      </c>
      <c r="D15" s="1245" t="s"/>
      <c r="F15" s="1249" t="s">
        <v>267</v>
      </c>
      <c r="G15" s="1250" t="s"/>
      <c r="H15" s="1251" t="s"/>
      <c r="J15" s="1252" t="s">
        <v>268</v>
      </c>
      <c r="K15" s="1253" t="s"/>
      <c r="L15" s="1254" t="s"/>
      <c r="O15" s="1220" t="s">
        <v>269</v>
      </c>
      <c r="P15" s="1218">
        <v>14</v>
      </c>
      <c r="Q15" s="508" t="s"/>
    </row>
    <row r="16" spans="2:17" ht="24" customHeight="true">
      <c r="B16" s="1249" t="s">
        <v>270</v>
      </c>
      <c r="C16" s="1255" t="s"/>
      <c r="D16" s="1256" t="s"/>
      <c r="F16" s="1257" t="s">
        <v>6</v>
      </c>
      <c r="G16" s="1216" t="s">
        <v>126</v>
      </c>
      <c r="H16" s="1258" t="s">
        <v>234</v>
      </c>
      <c r="J16" s="1259" t="s">
        <v>6</v>
      </c>
      <c r="K16" s="1216" t="s">
        <v>126</v>
      </c>
      <c r="L16" s="1217" t="s">
        <v>234</v>
      </c>
      <c r="O16" s="1211" t="s">
        <v>271</v>
      </c>
      <c r="P16" s="1218">
        <v>13</v>
      </c>
      <c r="Q16" s="508" t="s"/>
    </row>
    <row r="17" spans="2:17" ht="24" customHeight="true">
      <c r="B17" s="1257" t="s">
        <v>6</v>
      </c>
      <c r="C17" s="1216" t="s">
        <v>126</v>
      </c>
      <c r="D17" s="1258" t="s">
        <v>234</v>
      </c>
      <c r="F17" s="1260" t="s">
        <v>237</v>
      </c>
      <c r="G17" s="95">
        <v>1</v>
      </c>
      <c r="H17" s="1261" t="s">
        <v>272</v>
      </c>
      <c r="J17" s="1262" t="s">
        <v>237</v>
      </c>
      <c r="K17" s="95">
        <v>1</v>
      </c>
      <c r="L17" s="440" t="s">
        <v>273</v>
      </c>
      <c r="O17" s="1220" t="s">
        <v>274</v>
      </c>
      <c r="P17" s="1218">
        <v>12</v>
      </c>
      <c r="Q17" s="508" t="s"/>
    </row>
    <row r="18" spans="2:17" ht="24" customHeight="true">
      <c r="B18" s="1260" t="s">
        <v>237</v>
      </c>
      <c r="C18" s="95">
        <v>1</v>
      </c>
      <c r="D18" s="1263" t="s">
        <v>275</v>
      </c>
      <c r="F18" s="1260" t="s">
        <v>241</v>
      </c>
      <c r="G18" s="95">
        <v>3</v>
      </c>
      <c r="H18" s="1261" t="s">
        <v>276</v>
      </c>
      <c r="J18" s="1262" t="s">
        <v>245</v>
      </c>
      <c r="K18" s="63">
        <v>3</v>
      </c>
      <c r="L18" s="64" t="s">
        <v>277</v>
      </c>
      <c r="O18" s="1220" t="s">
        <v>278</v>
      </c>
      <c r="P18" s="1218">
        <v>11</v>
      </c>
      <c r="Q18" s="508" t="s"/>
    </row>
    <row r="19" spans="2:17" ht="24" customHeight="true">
      <c r="B19" s="1260" t="s">
        <v>241</v>
      </c>
      <c r="C19" s="95">
        <v>4</v>
      </c>
      <c r="D19" s="1261" t="s">
        <v>279</v>
      </c>
      <c r="F19" s="1260" t="s">
        <v>245</v>
      </c>
      <c r="G19" s="95">
        <v>1</v>
      </c>
      <c r="H19" s="1261" t="s">
        <v>280</v>
      </c>
      <c r="J19" s="1264" t="s">
        <v>32</v>
      </c>
      <c r="K19" s="106">
        <v>0</v>
      </c>
      <c r="L19" s="107" t="s">
        <v>27</v>
      </c>
      <c r="O19" s="1220" t="s">
        <v>281</v>
      </c>
      <c r="P19" s="1218">
        <v>15</v>
      </c>
      <c r="Q19" s="508" t="s"/>
    </row>
    <row r="20" spans="2:17" ht="24" customHeight="true">
      <c r="B20" s="1260" t="s">
        <v>245</v>
      </c>
      <c r="C20" s="95">
        <v>1</v>
      </c>
      <c r="D20" s="1261" t="s">
        <v>282</v>
      </c>
      <c r="F20" s="1265" t="s">
        <v>32</v>
      </c>
      <c r="G20" s="684">
        <v>0</v>
      </c>
      <c r="H20" s="1266" t="s">
        <v>27</v>
      </c>
      <c r="J20" s="1264" t="s">
        <v>241</v>
      </c>
      <c r="K20" s="106">
        <v>2</v>
      </c>
      <c r="L20" s="107" t="s">
        <v>283</v>
      </c>
      <c r="O20" s="1220" t="s">
        <v>284</v>
      </c>
      <c r="P20" s="1218">
        <v>6</v>
      </c>
      <c r="Q20" s="508" t="s"/>
    </row>
    <row r="21" spans="2:16" ht="24" customHeight="true">
      <c r="B21" s="1265" t="s">
        <v>32</v>
      </c>
      <c r="C21" s="684">
        <v>0</v>
      </c>
      <c r="D21" s="1266" t="s">
        <v>27</v>
      </c>
      <c r="F21" s="1267" t="s">
        <v>39</v>
      </c>
      <c r="G21" s="980">
        <v>3</v>
      </c>
      <c r="H21" s="1268" t="s">
        <v>285</v>
      </c>
      <c r="J21" s="1269" t="s">
        <v>39</v>
      </c>
      <c r="K21" s="1224">
        <v>0</v>
      </c>
      <c r="L21" s="130" t="s">
        <v>27</v>
      </c>
      <c r="O21" s="1211" t="s">
        <v>286</v>
      </c>
      <c r="P21" s="1218">
        <v>10</v>
      </c>
    </row>
    <row r="22" spans="2:16" ht="24" customHeight="true">
      <c r="B22" s="1267" t="s">
        <v>39</v>
      </c>
      <c r="C22" s="980">
        <v>0</v>
      </c>
      <c r="D22" s="1268" t="s">
        <v>27</v>
      </c>
      <c r="F22" s="1270" t="s">
        <v>50</v>
      </c>
      <c r="G22" s="497">
        <v>0</v>
      </c>
      <c r="H22" s="1271" t="s">
        <v>27</v>
      </c>
      <c r="J22" s="1272" t="s">
        <v>50</v>
      </c>
      <c r="K22" s="159">
        <v>2</v>
      </c>
      <c r="L22" s="186" t="s">
        <v>287</v>
      </c>
      <c r="O22" s="1220" t="s">
        <v>288</v>
      </c>
      <c r="P22" s="837">
        <v>9</v>
      </c>
    </row>
    <row r="23" spans="2:16" ht="24" customHeight="true">
      <c r="B23" s="1270" t="s">
        <v>50</v>
      </c>
      <c r="C23" s="497">
        <v>1</v>
      </c>
      <c r="D23" s="1271" t="s">
        <v>289</v>
      </c>
      <c r="F23" s="1273" t="s">
        <v>54</v>
      </c>
      <c r="G23" s="696">
        <v>0</v>
      </c>
      <c r="H23" s="1274" t="s">
        <v>27</v>
      </c>
      <c r="J23" s="1275" t="s">
        <v>54</v>
      </c>
      <c r="K23" s="176">
        <v>0</v>
      </c>
      <c r="L23" s="206" t="s">
        <v>27</v>
      </c>
      <c r="O23" s="1211" t="s">
        <v>290</v>
      </c>
      <c r="P23" s="837">
        <v>8</v>
      </c>
    </row>
    <row r="24" spans="2:16" ht="24" customHeight="true">
      <c r="B24" s="1273" t="s">
        <v>54</v>
      </c>
      <c r="C24" s="696">
        <v>1</v>
      </c>
      <c r="D24" s="1274" t="s">
        <v>291</v>
      </c>
      <c r="F24" s="1276" t="s">
        <v>63</v>
      </c>
      <c r="G24" s="539">
        <v>0</v>
      </c>
      <c r="H24" s="1277" t="s">
        <v>27</v>
      </c>
      <c r="J24" s="1278" t="s">
        <v>63</v>
      </c>
      <c r="K24" s="214">
        <v>0</v>
      </c>
      <c r="L24" s="249" t="s">
        <v>27</v>
      </c>
      <c r="O24" s="1211" t="s">
        <v>292</v>
      </c>
      <c r="P24" s="837">
        <v>16</v>
      </c>
    </row>
    <row r="25" spans="2:16" ht="24" customHeight="true">
      <c r="B25" s="1276" t="s">
        <v>63</v>
      </c>
      <c r="C25" s="539">
        <v>0</v>
      </c>
      <c r="D25" s="1277" t="s">
        <v>27</v>
      </c>
      <c r="F25" s="1279" t="s">
        <v>65</v>
      </c>
      <c r="G25" s="618">
        <v>0</v>
      </c>
      <c r="H25" s="1280" t="s">
        <v>27</v>
      </c>
      <c r="J25" s="1281" t="s">
        <v>65</v>
      </c>
      <c r="K25" s="229">
        <v>0</v>
      </c>
      <c r="L25" s="277" t="s">
        <v>27</v>
      </c>
      <c r="O25" s="1211" t="s">
        <v>293</v>
      </c>
      <c r="P25" s="837">
        <v>12</v>
      </c>
    </row>
    <row r="26" spans="2:16" ht="24" customHeight="true">
      <c r="B26" s="1279" t="s">
        <v>65</v>
      </c>
      <c r="C26" s="618">
        <v>0</v>
      </c>
      <c r="D26" s="1280" t="s">
        <v>27</v>
      </c>
      <c r="F26" s="1238" t="s">
        <v>70</v>
      </c>
      <c r="G26" s="257">
        <v>0</v>
      </c>
      <c r="H26" s="1239" t="s">
        <v>27</v>
      </c>
      <c r="J26" s="1282" t="s">
        <v>70</v>
      </c>
      <c r="K26" s="301">
        <v>0</v>
      </c>
      <c r="L26" s="302" t="s">
        <v>27</v>
      </c>
      <c r="O26" s="1211" t="s">
        <v>294</v>
      </c>
      <c r="P26" s="837">
        <v>10</v>
      </c>
    </row>
    <row r="27" spans="2:16" ht="24" customHeight="true">
      <c r="B27" s="1238" t="s">
        <v>70</v>
      </c>
      <c r="C27" s="257">
        <v>0</v>
      </c>
      <c r="D27" s="1239" t="s">
        <v>27</v>
      </c>
      <c r="F27" s="1240" t="s">
        <v>71</v>
      </c>
      <c r="G27" s="651">
        <v>2</v>
      </c>
      <c r="H27" s="1241" t="s">
        <v>295</v>
      </c>
      <c r="J27" s="1283" t="s">
        <v>71</v>
      </c>
      <c r="K27" s="373">
        <v>1</v>
      </c>
      <c r="L27" s="374" t="s">
        <v>296</v>
      </c>
      <c r="O27" s="1211" t="s">
        <v>297</v>
      </c>
      <c r="P27" s="837">
        <v>7</v>
      </c>
    </row>
    <row r="28" spans="2:16" ht="24" customHeight="true">
      <c r="B28" s="1240" t="s">
        <v>71</v>
      </c>
      <c r="C28" s="651">
        <v>0</v>
      </c>
      <c r="D28" s="1241" t="s">
        <v>27</v>
      </c>
      <c r="F28" s="1243" t="s">
        <v>7</v>
      </c>
      <c r="G28" s="1244">
        <f>=SUM(G17:G27)</f>
        <v>10</v>
      </c>
      <c r="H28" s="1245" t="s"/>
      <c r="J28" s="1284" t="s">
        <v>7</v>
      </c>
      <c r="K28" s="1247">
        <f>=SUM(K17:K27)</f>
        <v>9</v>
      </c>
      <c r="L28" s="1248" t="s"/>
      <c r="O28" s="1211" t="s">
        <v>298</v>
      </c>
      <c r="P28" s="837">
        <v>5</v>
      </c>
    </row>
    <row r="29" spans="2:16" ht="24" customHeight="true">
      <c r="B29" s="1243" t="s">
        <v>7</v>
      </c>
      <c r="C29" s="1244">
        <f>=SUM(C18:C28)</f>
        <v>8</v>
      </c>
      <c r="D29" s="1245" t="s"/>
      <c r="F29" s="1249" t="s">
        <v>299</v>
      </c>
      <c r="G29" s="1250" t="s"/>
      <c r="H29" s="1251" t="s"/>
      <c r="J29" s="1285" t="s">
        <v>300</v>
      </c>
      <c r="K29" s="1286" t="s"/>
      <c r="L29" s="1287" t="s"/>
      <c r="O29" s="1211" t="s">
        <v>301</v>
      </c>
      <c r="P29" s="837">
        <v>6</v>
      </c>
    </row>
    <row r="30" spans="6:16" ht="24" customHeight="true">
      <c r="F30" s="1257" t="s">
        <v>6</v>
      </c>
      <c r="G30" s="1216" t="s">
        <v>126</v>
      </c>
      <c r="H30" s="1258" t="s">
        <v>234</v>
      </c>
      <c r="J30" s="1288" t="s">
        <v>6</v>
      </c>
      <c r="K30" s="1216" t="s">
        <v>126</v>
      </c>
      <c r="L30" s="1217" t="s">
        <v>234</v>
      </c>
      <c r="O30" s="1211" t="s">
        <v>302</v>
      </c>
      <c r="P30" s="837">
        <v>8</v>
      </c>
    </row>
    <row r="31" spans="6:12" ht="24" customHeight="true">
      <c r="F31" s="1260" t="s">
        <v>237</v>
      </c>
      <c r="G31" s="95">
        <v>4</v>
      </c>
      <c r="H31" s="1261" t="s">
        <v>303</v>
      </c>
      <c r="J31" s="1289" t="s">
        <v>237</v>
      </c>
      <c r="K31" s="95">
        <v>0</v>
      </c>
      <c r="L31" s="440" t="s"/>
    </row>
    <row r="32" spans="6:12" ht="24" customHeight="true">
      <c r="F32" s="1260" t="s">
        <v>241</v>
      </c>
      <c r="G32" s="95">
        <v>0</v>
      </c>
      <c r="H32" s="1261" t="s">
        <v>27</v>
      </c>
      <c r="J32" s="1289" t="s">
        <v>245</v>
      </c>
      <c r="K32" s="95">
        <v>1</v>
      </c>
      <c r="L32" s="440" t="s">
        <v>304</v>
      </c>
    </row>
    <row r="33" spans="6:12" ht="24" customHeight="true">
      <c r="F33" s="1260" t="s">
        <v>245</v>
      </c>
      <c r="G33" s="95">
        <v>0</v>
      </c>
      <c r="H33" s="1261" t="s">
        <v>27</v>
      </c>
      <c r="J33" s="1290" t="s">
        <v>32</v>
      </c>
      <c r="K33" s="684">
        <v>0</v>
      </c>
      <c r="L33" s="685" t="s">
        <v>27</v>
      </c>
    </row>
    <row r="34" spans="6:12" ht="24" customHeight="true">
      <c r="F34" s="1265" t="s">
        <v>32</v>
      </c>
      <c r="G34" s="684">
        <v>0</v>
      </c>
      <c r="H34" s="1266" t="s">
        <v>27</v>
      </c>
      <c r="J34" s="1290" t="s">
        <v>241</v>
      </c>
      <c r="K34" s="684">
        <v>4</v>
      </c>
      <c r="L34" s="685" t="s">
        <v>305</v>
      </c>
    </row>
    <row r="35" spans="6:12" ht="24" customHeight="true">
      <c r="F35" s="1267" t="s">
        <v>39</v>
      </c>
      <c r="G35" s="980">
        <v>0</v>
      </c>
      <c r="H35" s="1268" t="s">
        <v>27</v>
      </c>
      <c r="J35" s="1291" t="s">
        <v>39</v>
      </c>
      <c r="K35" s="980">
        <v>0</v>
      </c>
      <c r="L35" s="485" t="s">
        <v>27</v>
      </c>
    </row>
    <row r="36" spans="6:12" ht="24" customHeight="true">
      <c r="F36" s="1270" t="s">
        <v>50</v>
      </c>
      <c r="G36" s="497">
        <v>1</v>
      </c>
      <c r="H36" s="1271" t="s">
        <v>306</v>
      </c>
      <c r="J36" s="1292" t="s">
        <v>50</v>
      </c>
      <c r="K36" s="497">
        <v>1</v>
      </c>
      <c r="L36" s="498" t="s">
        <v>307</v>
      </c>
    </row>
    <row r="37" spans="6:12" ht="24" customHeight="true">
      <c r="F37" s="1273" t="s">
        <v>54</v>
      </c>
      <c r="G37" s="696">
        <v>1</v>
      </c>
      <c r="H37" s="1274" t="s">
        <v>308</v>
      </c>
      <c r="J37" s="1293" t="s">
        <v>54</v>
      </c>
      <c r="K37" s="696">
        <v>0</v>
      </c>
      <c r="L37" s="697" t="s">
        <v>27</v>
      </c>
    </row>
    <row r="38" spans="6:12" ht="24" customHeight="true">
      <c r="F38" s="1276" t="s">
        <v>63</v>
      </c>
      <c r="G38" s="539">
        <v>0</v>
      </c>
      <c r="H38" s="1277" t="s">
        <v>27</v>
      </c>
      <c r="J38" s="1294" t="s">
        <v>63</v>
      </c>
      <c r="K38" s="539">
        <v>1</v>
      </c>
      <c r="L38" s="540" t="s">
        <v>309</v>
      </c>
    </row>
    <row r="39" spans="6:12" ht="24" customHeight="true">
      <c r="F39" s="1279" t="s">
        <v>65</v>
      </c>
      <c r="G39" s="618">
        <v>1</v>
      </c>
      <c r="H39" s="1280" t="s">
        <v>310</v>
      </c>
      <c r="J39" s="1295" t="s">
        <v>65</v>
      </c>
      <c r="K39" s="618">
        <v>0</v>
      </c>
      <c r="L39" s="619" t="s">
        <v>27</v>
      </c>
    </row>
    <row r="40" spans="6:12" ht="24" customHeight="true">
      <c r="F40" s="1238" t="s">
        <v>70</v>
      </c>
      <c r="G40" s="257">
        <v>0</v>
      </c>
      <c r="H40" s="1239" t="s">
        <v>27</v>
      </c>
      <c r="J40" s="1296" t="s">
        <v>70</v>
      </c>
      <c r="K40" s="257">
        <v>0</v>
      </c>
      <c r="L40" s="320" t="s">
        <v>27</v>
      </c>
    </row>
    <row r="41" spans="6:12" ht="24" customHeight="true">
      <c r="F41" s="1240" t="s">
        <v>71</v>
      </c>
      <c r="G41" s="651">
        <v>0</v>
      </c>
      <c r="H41" s="1241" t="s">
        <v>27</v>
      </c>
      <c r="J41" s="1242" t="s">
        <v>71</v>
      </c>
      <c r="K41" s="651">
        <v>1</v>
      </c>
      <c r="L41" s="652" t="s">
        <v>311</v>
      </c>
    </row>
    <row r="42" spans="6:12" ht="24" customHeight="true">
      <c r="F42" s="1243" t="s">
        <v>7</v>
      </c>
      <c r="G42" s="1244">
        <f>=SUM(G31:G41)</f>
        <v>7</v>
      </c>
      <c r="H42" s="1245" t="s"/>
      <c r="J42" s="1246" t="s">
        <v>7</v>
      </c>
      <c r="K42" s="1247">
        <f>=SUM(K31:K41)</f>
        <v>8</v>
      </c>
      <c r="L42" s="1248" t="s"/>
    </row>
    <row r="43" spans="6:12" ht="24" customHeight="true">
      <c r="F43" s="1249" t="s">
        <v>312</v>
      </c>
      <c r="G43" s="1250" t="s"/>
      <c r="H43" s="1251" t="s"/>
      <c r="J43" s="1285" t="s">
        <v>313</v>
      </c>
      <c r="K43" s="1286" t="s"/>
      <c r="L43" s="1287" t="s"/>
    </row>
    <row r="44" spans="6:12" ht="24" customHeight="true">
      <c r="F44" s="1257" t="s">
        <v>6</v>
      </c>
      <c r="G44" s="1216" t="s">
        <v>126</v>
      </c>
      <c r="H44" s="1258" t="s">
        <v>234</v>
      </c>
      <c r="J44" s="1288" t="s">
        <v>6</v>
      </c>
      <c r="K44" s="1216" t="s">
        <v>126</v>
      </c>
      <c r="L44" s="1217" t="s">
        <v>234</v>
      </c>
    </row>
    <row r="45" spans="6:12" ht="24" customHeight="true">
      <c r="F45" s="1260" t="s">
        <v>237</v>
      </c>
      <c r="G45" s="95">
        <v>2</v>
      </c>
      <c r="H45" s="1261" t="s">
        <v>314</v>
      </c>
      <c r="J45" s="1289" t="s">
        <v>237</v>
      </c>
      <c r="K45" s="95">
        <v>1</v>
      </c>
      <c r="L45" s="440" t="s">
        <v>315</v>
      </c>
    </row>
    <row r="46" spans="6:12" ht="24" customHeight="true">
      <c r="F46" s="1260" t="s">
        <v>241</v>
      </c>
      <c r="G46" s="95">
        <v>0</v>
      </c>
      <c r="H46" s="1261" t="s">
        <v>27</v>
      </c>
      <c r="J46" s="1289" t="s">
        <v>245</v>
      </c>
      <c r="K46" s="95">
        <v>0</v>
      </c>
      <c r="L46" s="440" t="s">
        <v>27</v>
      </c>
    </row>
    <row r="47" spans="6:12" ht="24" customHeight="true">
      <c r="F47" s="1260" t="s">
        <v>245</v>
      </c>
      <c r="G47" s="95">
        <v>0</v>
      </c>
      <c r="H47" s="1261" t="s">
        <v>27</v>
      </c>
      <c r="J47" s="1290" t="s">
        <v>32</v>
      </c>
      <c r="K47" s="684">
        <v>1</v>
      </c>
      <c r="L47" s="685" t="s">
        <v>316</v>
      </c>
    </row>
    <row r="48" spans="6:14" ht="37.5" customHeight="true">
      <c r="F48" s="1265" t="s">
        <v>32</v>
      </c>
      <c r="G48" s="684">
        <v>0</v>
      </c>
      <c r="H48" s="1266" t="s">
        <v>27</v>
      </c>
      <c r="J48" s="1290" t="s">
        <v>241</v>
      </c>
      <c r="K48" s="684">
        <v>11</v>
      </c>
      <c r="L48" s="109" t="s">
        <v>317</v>
      </c>
      <c r="N48" s="1297" t="s">
        <v>318</v>
      </c>
    </row>
    <row r="49" spans="6:12" ht="24" customHeight="true">
      <c r="F49" s="1267" t="s">
        <v>39</v>
      </c>
      <c r="G49" s="980">
        <v>0</v>
      </c>
      <c r="H49" s="1268" t="s">
        <v>27</v>
      </c>
      <c r="J49" s="1291" t="s">
        <v>39</v>
      </c>
      <c r="K49" s="980">
        <v>0</v>
      </c>
      <c r="L49" s="485" t="s">
        <v>27</v>
      </c>
    </row>
    <row r="50" spans="6:12" ht="24" customHeight="true">
      <c r="F50" s="1270" t="s">
        <v>50</v>
      </c>
      <c r="G50" s="497">
        <v>1</v>
      </c>
      <c r="H50" s="1271" t="s">
        <v>319</v>
      </c>
      <c r="J50" s="1292" t="s">
        <v>50</v>
      </c>
      <c r="K50" s="497">
        <v>0</v>
      </c>
      <c r="L50" s="498" t="s">
        <v>27</v>
      </c>
    </row>
    <row r="51" spans="6:12" ht="24" customHeight="true">
      <c r="F51" s="1273" t="s">
        <v>54</v>
      </c>
      <c r="G51" s="696">
        <v>2</v>
      </c>
      <c r="H51" s="1274" t="s">
        <v>320</v>
      </c>
      <c r="J51" s="1293" t="s">
        <v>54</v>
      </c>
      <c r="K51" s="696">
        <v>2</v>
      </c>
      <c r="L51" s="697" t="s">
        <v>321</v>
      </c>
    </row>
    <row r="52" spans="6:12" ht="24" customHeight="true">
      <c r="F52" s="1276" t="s">
        <v>63</v>
      </c>
      <c r="G52" s="539">
        <v>0</v>
      </c>
      <c r="H52" s="1277" t="s">
        <v>27</v>
      </c>
      <c r="J52" s="1294" t="s">
        <v>63</v>
      </c>
      <c r="K52" s="539">
        <v>0</v>
      </c>
      <c r="L52" s="540" t="s">
        <v>27</v>
      </c>
    </row>
    <row r="53" spans="6:12" ht="24" customHeight="true">
      <c r="F53" s="1279" t="s">
        <v>65</v>
      </c>
      <c r="G53" s="618">
        <v>0</v>
      </c>
      <c r="H53" s="1280" t="s">
        <v>27</v>
      </c>
      <c r="J53" s="1295" t="s">
        <v>65</v>
      </c>
      <c r="K53" s="618">
        <v>1</v>
      </c>
      <c r="L53" s="619" t="s">
        <v>322</v>
      </c>
    </row>
    <row r="54" spans="6:12" ht="24" customHeight="true">
      <c r="F54" s="1238" t="s">
        <v>70</v>
      </c>
      <c r="G54" s="257">
        <v>0</v>
      </c>
      <c r="H54" s="1239" t="s">
        <v>27</v>
      </c>
      <c r="J54" s="1296" t="s">
        <v>70</v>
      </c>
      <c r="K54" s="257">
        <v>0</v>
      </c>
      <c r="L54" s="320" t="s">
        <v>27</v>
      </c>
    </row>
    <row r="55" spans="6:12" ht="24" customHeight="true">
      <c r="F55" s="1240" t="s">
        <v>71</v>
      </c>
      <c r="G55" s="651">
        <v>0</v>
      </c>
      <c r="H55" s="1241" t="s">
        <v>27</v>
      </c>
      <c r="J55" s="1242" t="s">
        <v>71</v>
      </c>
      <c r="K55" s="651">
        <v>0</v>
      </c>
      <c r="L55" s="652" t="s">
        <v>27</v>
      </c>
    </row>
    <row r="56" spans="6:12" ht="24" customHeight="true">
      <c r="F56" s="1243" t="s">
        <v>7</v>
      </c>
      <c r="G56" s="1244">
        <f>=SUM(G45:G55)</f>
        <v>5</v>
      </c>
      <c r="H56" s="1245" t="s"/>
      <c r="J56" s="1246" t="s">
        <v>7</v>
      </c>
      <c r="K56" s="1247">
        <f>=SUM(K45:K55)</f>
        <v>16</v>
      </c>
      <c r="L56" s="1248" t="s"/>
    </row>
    <row r="57" spans="1:35" ht="24" customHeight="true"/>
    <row r="58" spans="1:35" ht="24" customHeight="true"/>
    <row r="59" spans="1:35" ht="24" customHeight="true"/>
    <row r="60" spans="1:35" ht="24" customHeight="true"/>
    <row r="61" spans="1:35" ht="24" customHeight="true"/>
    <row r="62" spans="1:35" ht="24" customHeight="true"/>
    <row r="63" spans="1:35" ht="24" customHeight="true"/>
    <row r="64" spans="1:35" ht="24" customHeight="true"/>
    <row r="65" spans="1:35" ht="24" customHeight="true"/>
    <row r="66" spans="1:35" ht="24" customHeight="true"/>
    <row r="67" spans="1:35" ht="24" customHeight="true"/>
    <row r="68" spans="1:35" ht="24" customHeight="true"/>
    <row r="69" spans="1:35" ht="24" customHeight="true"/>
    <row r="70" spans="1:35" ht="24" customHeight="true"/>
    <row r="71" spans="1:35" ht="24" customHeight="true"/>
    <row r="72" spans="10:10" ht="24" customHeight="true">
      <c r="J72" s="1298" t="s"/>
    </row>
    <row r="73" spans="10:10" ht="24" customHeight="true">
      <c r="J73" s="1298" t="s"/>
    </row>
    <row r="74" spans="10:10" ht="24" customHeight="true">
      <c r="J74" s="1298" t="s"/>
    </row>
    <row r="75" spans="10:10" ht="24" customHeight="true">
      <c r="J75" s="1298" t="s"/>
    </row>
    <row r="76" spans="10:10" ht="24" customHeight="true">
      <c r="J76" s="1298" t="s"/>
    </row>
    <row r="77" spans="10:10" ht="24" customHeight="true">
      <c r="J77" s="1298" t="s"/>
    </row>
    <row r="78" spans="10:10" ht="24" customHeight="true">
      <c r="J78" s="1298" t="s"/>
    </row>
    <row r="79" spans="10:10" ht="24" customHeight="true">
      <c r="J79" s="1298" t="s"/>
    </row>
    <row r="80" spans="10:10" ht="24" customHeight="true">
      <c r="J80" s="1298" t="s"/>
    </row>
    <row r="81" spans="10:10" ht="24" customHeight="true">
      <c r="J81" s="1298" t="s"/>
    </row>
    <row r="82" spans="10:10" ht="24" customHeight="true">
      <c r="J82" s="1298" t="s"/>
    </row>
    <row r="83" spans="10:10" ht="24" customHeight="true">
      <c r="J83" s="1298" t="s"/>
    </row>
    <row r="84" spans="10:10" ht="24" customHeight="true">
      <c r="J84" s="1298" t="s"/>
    </row>
    <row r="85" spans="10:10" ht="24" customHeight="true">
      <c r="J85" s="1298" t="s"/>
    </row>
    <row r="86" spans="10:10" ht="24" customHeight="true">
      <c r="J86" s="1298" t="s"/>
    </row>
    <row r="87" spans="10:10" ht="24" customHeight="true">
      <c r="J87" s="1298" t="s"/>
    </row>
    <row r="88" spans="10:10" ht="24" customHeight="true">
      <c r="J88" s="1298" t="s"/>
    </row>
    <row r="89" spans="10:10" ht="24" customHeight="true">
      <c r="J89" s="1298" t="s"/>
    </row>
    <row r="90" spans="10:10" ht="24" customHeight="true">
      <c r="J90" s="1298" t="s"/>
    </row>
    <row r="91" spans="10:10" ht="24" customHeight="true">
      <c r="J91" s="1298" t="s"/>
    </row>
    <row r="92" spans="10:10" ht="24" customHeight="true">
      <c r="J92" s="1298" t="s"/>
    </row>
    <row r="93" spans="10:10" ht="24" customHeight="true">
      <c r="J93" s="1298" t="s"/>
    </row>
    <row r="94" spans="10:10" ht="24" customHeight="true">
      <c r="J94" s="1298" t="s"/>
    </row>
    <row r="95" spans="10:10" ht="24" customHeight="true">
      <c r="J95" s="1298" t="s"/>
    </row>
    <row r="96" spans="10:10" ht="24" customHeight="true">
      <c r="J96" s="1298" t="s"/>
    </row>
    <row r="97" spans="10:10" ht="24" customHeight="true">
      <c r="J97" s="1298" t="s"/>
    </row>
    <row r="98" spans="10:10" ht="24" customHeight="true">
      <c r="J98" s="1298" t="s"/>
    </row>
    <row r="99" spans="10:10" ht="24" customHeight="true">
      <c r="J99" s="1298" t="s"/>
    </row>
    <row r="100" spans="10:10" ht="24" customHeight="true">
      <c r="J100" s="1298" t="s"/>
    </row>
    <row r="101" spans="10:10" ht="24" customHeight="true">
      <c r="J101" s="1298" t="s"/>
    </row>
    <row r="102" spans="10:10" ht="24" customHeight="true">
      <c r="J102" s="1298" t="s"/>
    </row>
    <row r="103" spans="10:10" ht="24" customHeight="true">
      <c r="J103" s="1298" t="s"/>
    </row>
    <row r="104" spans="10:10" ht="24" customHeight="true">
      <c r="J104" s="1298" t="s"/>
    </row>
    <row r="105" spans="10:10" ht="24" customHeight="true">
      <c r="J105" s="1298" t="s"/>
    </row>
    <row r="106" spans="10:10" ht="24" customHeight="true">
      <c r="J106" s="1298" t="s"/>
    </row>
    <row r="107" spans="10:10" ht="24" customHeight="true">
      <c r="J107" s="1298" t="s"/>
    </row>
    <row r="108" spans="10:10" ht="24" customHeight="true">
      <c r="J108" s="1298" t="s"/>
    </row>
    <row r="109" spans="10:10" ht="24" customHeight="true">
      <c r="J109" s="1298" t="s"/>
    </row>
    <row r="110" spans="10:10" ht="24" customHeight="true">
      <c r="J110" s="1298" t="s"/>
    </row>
    <row r="111" spans="10:10" ht="24" customHeight="true">
      <c r="J111" s="1298" t="s"/>
    </row>
    <row r="112" spans="10:10" ht="24" customHeight="true">
      <c r="J112" s="1298" t="s"/>
    </row>
    <row r="113" spans="10:10" ht="24" customHeight="true">
      <c r="J113" s="1298" t="s"/>
    </row>
    <row r="114" spans="10:10" ht="24" customHeight="true">
      <c r="J114" s="1298" t="s"/>
    </row>
    <row r="115" spans="10:10" ht="24" customHeight="true">
      <c r="J115" s="1298" t="s"/>
    </row>
    <row r="116" spans="10:10" ht="24" customHeight="true">
      <c r="J116" s="1298" t="s"/>
    </row>
    <row r="117" spans="10:10" ht="24" customHeight="true">
      <c r="J117" s="1298" t="s"/>
    </row>
    <row r="118" spans="10:10" ht="24" customHeight="true">
      <c r="J118" s="1298" t="s"/>
    </row>
    <row r="119" spans="10:10" ht="24" customHeight="true">
      <c r="J119" s="1298" t="s"/>
    </row>
    <row r="120" spans="10:10" ht="24" customHeight="true">
      <c r="J120" s="1298" t="s"/>
    </row>
    <row r="121" spans="10:10" ht="24" customHeight="true">
      <c r="J121" s="1298" t="s"/>
    </row>
    <row r="122" spans="10:10" ht="24" customHeight="true">
      <c r="J122" s="1298" t="s"/>
    </row>
    <row r="123" spans="10:10" ht="24" customHeight="true">
      <c r="J123" s="1298" t="s"/>
    </row>
    <row r="124" spans="10:10" ht="24" customHeight="true">
      <c r="J124" s="1298" t="s"/>
    </row>
    <row r="125" spans="10:10" ht="24" customHeight="true">
      <c r="J125" s="1298" t="s"/>
    </row>
    <row r="126" spans="10:10" ht="24" customHeight="true">
      <c r="J126" s="1298" t="s"/>
    </row>
    <row r="127" spans="10:10" ht="24" customHeight="true">
      <c r="J127" s="1298" t="s"/>
    </row>
    <row r="128" spans="10:10" ht="24" customHeight="true">
      <c r="J128" s="1298" t="s"/>
    </row>
    <row r="129" spans="10:10" ht="24" customHeight="true">
      <c r="J129" s="1298" t="s"/>
    </row>
    <row r="130" spans="10:10" ht="24" customHeight="true">
      <c r="J130" s="1298" t="s"/>
    </row>
    <row r="131" spans="10:10" ht="24" customHeight="true">
      <c r="J131" s="1298" t="s"/>
    </row>
    <row r="132" spans="10:10" ht="24" customHeight="true">
      <c r="J132" s="1298" t="s"/>
    </row>
    <row r="133" spans="10:10" ht="24" customHeight="true">
      <c r="J133" s="1298" t="s"/>
    </row>
    <row r="134" spans="10:10" ht="24" customHeight="true">
      <c r="J134" s="1298" t="s"/>
    </row>
    <row r="135" spans="10:10" ht="24" customHeight="true">
      <c r="J135" s="1298" t="s"/>
    </row>
    <row r="136" spans="10:10" ht="24" customHeight="true">
      <c r="J136" s="1298" t="s"/>
    </row>
    <row r="137" spans="10:10" ht="24" customHeight="true">
      <c r="J137" s="1298" t="s"/>
    </row>
    <row r="138" spans="10:10" ht="24" customHeight="true">
      <c r="J138" s="1298" t="s"/>
    </row>
    <row r="139" spans="10:10" ht="24" customHeight="true">
      <c r="J139" s="1298" t="s"/>
    </row>
    <row r="140" spans="10:10" ht="24" customHeight="true">
      <c r="J140" s="1298" t="s"/>
    </row>
    <row r="141" spans="10:10" ht="24" customHeight="true">
      <c r="J141" s="1298" t="s"/>
    </row>
    <row r="142" spans="10:10" ht="24" customHeight="true">
      <c r="J142" s="1298" t="s"/>
    </row>
    <row r="143" spans="10:10" ht="24" customHeight="true">
      <c r="J143" s="1298" t="s"/>
    </row>
    <row r="144" spans="10:10" ht="24" customHeight="true">
      <c r="J144" s="1298" t="s"/>
    </row>
    <row r="145" spans="10:10" ht="24" customHeight="true">
      <c r="J145" s="1298" t="s"/>
    </row>
    <row r="146" spans="10:10" ht="24" customHeight="true">
      <c r="J146" s="1298" t="s"/>
    </row>
    <row r="147" spans="10:10" ht="24" customHeight="true">
      <c r="J147" s="1298" t="s"/>
    </row>
    <row r="148" spans="10:10" ht="24" customHeight="true">
      <c r="J148" s="1298" t="s"/>
    </row>
    <row r="149" spans="10:10" ht="24" customHeight="true">
      <c r="J149" s="1298" t="s"/>
    </row>
    <row r="150" spans="10:10" ht="24" customHeight="true">
      <c r="J150" s="1298" t="s"/>
    </row>
    <row r="151" spans="10:10" ht="24" customHeight="true">
      <c r="J151" s="1298" t="s"/>
    </row>
    <row r="152" spans="10:10" ht="24" customHeight="true">
      <c r="J152" s="1298" t="s"/>
    </row>
    <row r="153" spans="10:10" ht="24" customHeight="true">
      <c r="J153" s="1298" t="s"/>
    </row>
    <row r="154" spans="10:10" ht="24" customHeight="true">
      <c r="J154" s="1298" t="s"/>
    </row>
    <row r="155" spans="10:10" ht="24" customHeight="true">
      <c r="J155" s="1298" t="s"/>
    </row>
    <row r="156" spans="10:10" ht="24" customHeight="true">
      <c r="J156" s="1298" t="s"/>
    </row>
    <row r="157" spans="10:10" ht="24" customHeight="true">
      <c r="J157" s="1298" t="s"/>
    </row>
    <row r="158" spans="10:10" ht="24" customHeight="true">
      <c r="J158" s="1298" t="s"/>
    </row>
    <row r="159" spans="10:10" ht="24" customHeight="true">
      <c r="J159" s="1298" t="s"/>
    </row>
    <row r="160" spans="10:10" ht="24" customHeight="true">
      <c r="J160" s="1298" t="s"/>
    </row>
    <row r="161" spans="10:10" ht="24" customHeight="true">
      <c r="J161" s="1298" t="s"/>
    </row>
    <row r="162" spans="10:10" ht="24" customHeight="true">
      <c r="J162" s="1298" t="s"/>
    </row>
    <row r="163" spans="10:10" ht="24" customHeight="true">
      <c r="J163" s="1298" t="s"/>
    </row>
    <row r="164" spans="10:10" ht="24" customHeight="true">
      <c r="J164" s="1298" t="s"/>
    </row>
    <row r="165" spans="10:10" ht="24" customHeight="true">
      <c r="J165" s="1298" t="s"/>
    </row>
    <row r="166" spans="10:10" ht="24" customHeight="true">
      <c r="J166" s="1298" t="s"/>
    </row>
    <row r="167" spans="10:10" ht="24" customHeight="true">
      <c r="J167" s="1298" t="s"/>
    </row>
    <row r="168" spans="10:10" ht="24" customHeight="true">
      <c r="J168" s="1298" t="s"/>
    </row>
    <row r="169" spans="10:10" ht="24" customHeight="true">
      <c r="J169" s="1298" t="s"/>
    </row>
    <row r="170" spans="10:10" ht="24" customHeight="true">
      <c r="J170" s="1298" t="s"/>
    </row>
    <row r="171" spans="10:10" ht="24" customHeight="true">
      <c r="J171" s="1298" t="s"/>
    </row>
    <row r="172" spans="10:10" ht="24" customHeight="true">
      <c r="J172" s="1298" t="s"/>
    </row>
    <row r="173" spans="10:10" ht="24" customHeight="true">
      <c r="J173" s="1298" t="s"/>
    </row>
    <row r="174" spans="10:10" ht="24" customHeight="true">
      <c r="J174" s="1298" t="s"/>
    </row>
    <row r="175" spans="10:10" ht="24" customHeight="true">
      <c r="J175" s="1298" t="s"/>
    </row>
    <row r="176" spans="10:10" ht="24" customHeight="true">
      <c r="J176" s="1298" t="s"/>
    </row>
    <row r="177" spans="10:10" ht="24" customHeight="true">
      <c r="J177" s="1298" t="s"/>
    </row>
    <row r="178" spans="10:10" ht="24" customHeight="true">
      <c r="J178" s="1298" t="s"/>
    </row>
    <row r="179" spans="10:10" ht="24" customHeight="true">
      <c r="J179" s="1298" t="s"/>
    </row>
    <row r="180" spans="10:10" ht="24" customHeight="true">
      <c r="J180" s="1298" t="s"/>
    </row>
    <row r="181" spans="10:10" ht="24" customHeight="true">
      <c r="J181" s="1298" t="s"/>
    </row>
    <row r="182" spans="10:10" ht="24" customHeight="true">
      <c r="J182" s="1298" t="s"/>
    </row>
    <row r="183" spans="10:10" ht="24" customHeight="true">
      <c r="J183" s="1298" t="s"/>
    </row>
    <row r="184" spans="10:10" ht="24" customHeight="true">
      <c r="J184" s="1298" t="s"/>
    </row>
    <row r="185" spans="10:10" ht="24" customHeight="true">
      <c r="J185" s="1298" t="s"/>
    </row>
  </sheetData>
  <mergeCells count="10">
    <mergeCell ref="J2:L2"/>
    <mergeCell ref="J15:L15"/>
    <mergeCell ref="J29:L29"/>
    <mergeCell ref="J43:L43"/>
    <mergeCell ref="F1:H1"/>
    <mergeCell ref="F15:H15"/>
    <mergeCell ref="F29:H29"/>
    <mergeCell ref="F43:H43"/>
    <mergeCell ref="B2:D2"/>
    <mergeCell ref="B16:D16"/>
  </mergeCells>
  <dataValidations>
    <dataValidation type="list" errorStyle="stop" allowBlank="true" showDropDown="false" showInputMessage="true" showErrorMessage="true" prompt="" sqref="J3:J1048576">
      <formula1>"签约部-工商,签约部-理工,签约部-文旅,培训部,自孵部,外采部,商务中台,运营中台,总经办+财务部,技术中台,内容中台,总计,"</formula1>
    </dataValidation>
    <dataValidation type="list" errorStyle="stop" allowBlank="true" showDropDown="false" showInputMessage="true" showErrorMessage="true" prompt="" sqref="A4:A6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A7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A8:A12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B4:B15">
      <formula1>"签约部-工商,签约部-理工,签约部-文旅,培训部,自孵部,外采部,商务中台,运营中台,总经办+财务部,技术中台,内容中台,总计,"</formula1>
    </dataValidation>
    <dataValidation type="list" errorStyle="stop" allowBlank="true" showDropDown="false" showInputMessage="true" showErrorMessage="true" prompt="" sqref="B18:B29">
      <formula1>"签约部-工商,签约部-理工,签约部-文旅,培训部,自孵部,外采部,商务中台,运营中台,总经办+财务部,技术中台,内容中台,总计,"</formula1>
    </dataValidation>
    <dataValidation type="list" errorStyle="stop" allowBlank="true" showDropDown="false" showInputMessage="true" showErrorMessage="true" prompt="" sqref="E4:E6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E7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E8:E12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F3:F14">
      <formula1>"签约部-工商,签约部-理工,签约部-文旅,培训部,自孵部,外采部,商务中台,运营中台,总经办+财务部,技术中台,内容中台,总计,"</formula1>
    </dataValidation>
    <dataValidation type="list" errorStyle="stop" allowBlank="true" showDropDown="false" showInputMessage="true" showErrorMessage="true" prompt="" sqref="F17:F28">
      <formula1>"签约部-工商,签约部-理工,签约部-文旅,培训部,自孵部,外采部,商务中台,运营中台,总经办+财务部,技术中台,内容中台,总计,"</formula1>
    </dataValidation>
    <dataValidation type="list" errorStyle="stop" allowBlank="true" showDropDown="false" showInputMessage="true" showErrorMessage="true" prompt="" sqref="F31:F42">
      <formula1>"签约部-工商,签约部-理工,签约部-文旅,培训部,自孵部,外采部,商务中台,运营中台,总经办+财务部,技术中台,内容中台,总计,"</formula1>
    </dataValidation>
    <dataValidation type="list" errorStyle="stop" allowBlank="true" showDropDown="false" showInputMessage="true" showErrorMessage="true" prompt="" sqref="F45:F56">
      <formula1>"签约部-工商,签约部-理工,签约部-文旅,培训部,自孵部,外采部,商务中台,运营中台,总经办+财务部,技术中台,内容中台,总计,"</formula1>
    </dataValidation>
    <dataValidation type="list" errorStyle="stop" allowBlank="true" showDropDown="false" showInputMessage="true" showErrorMessage="true" prompt="" sqref="I4:I6">
      <formula1>"自孵部,签约部,培训部,外采部,商务中台,运营中台,总经办+财务部,财务部,技术中台,内容中台,"</formula1>
    </dataValidation>
    <dataValidation type="list" errorStyle="stop" allowBlank="true" showDropDown="false" showInputMessage="true" showErrorMessage="true" prompt="" sqref="I7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I8:I12">
      <formula1>"自孵部,签约部,培训部,外采部,商务中台,运营中台,总经办+财务部,财务部,技术中台,内容中台,"</formula1>
    </dataValidation>
  </dataValidations>
  <drawing r:id="rId0"/>
</worksheet>
</file>

<file path=xl/worksheets/sheet10.xml><?xml version="1.0" encoding="utf-8"?>
<worksheet xmlns="http://schemas.openxmlformats.org/spreadsheetml/2006/main">
  <sheetPr codeName="2026-2">
    <tabColor/>
  </sheetPr>
  <dimension ref="Y242"/>
  <sheetViews>
    <sheetView showGridLines="true" workbookViewId="0">
      <pane ySplit="3" topLeftCell="A4" state="frozen"/>
    </sheetView>
  </sheetViews>
  <sheetFormatPr baseColWidth="13" defaultRowHeight="18" customHeight="true"/>
  <cols>
    <col min="1" max="1" width="16.7227" style="837" customWidth="true"/>
    <col min="2" max="3" width="24.0117" style="837" customWidth="true"/>
    <col min="4" max="4" width="13.8906" style="837" customWidth="true"/>
    <col min="5" max="5" width="13.8906" style="837" customWidth="true"/>
    <col min="6" max="6" width="10.9219" style="837" customWidth="true"/>
    <col min="7" max="7" width="10.9219" style="837" customWidth="true"/>
    <col min="8" max="8" width="62.4531" style="840" customWidth="true"/>
    <col min="9" max="11" width="13.6719" style="508"/>
    <col min="12" max="12" width="15.3711" style="508" customWidth="true"/>
    <col min="13" max="25" width="13.6719" style="508"/>
  </cols>
  <sheetData>
    <row r="1" spans="1:25" ht="61.5" customHeight="true">
      <c r="A1" s="705" t="s">
        <v>379</v>
      </c>
      <c r="B1" s="705" t="s"/>
      <c r="I1" s="706" t="s"/>
      <c r="J1" s="706" t="s">
        <v>380</v>
      </c>
      <c r="M1" s="508" t="s"/>
      <c r="N1" s="508" t="s"/>
      <c r="O1" s="508" t="s"/>
      <c r="P1" s="508" t="s"/>
      <c r="Q1" s="508" t="s"/>
      <c r="R1" s="508" t="s"/>
      <c r="S1" s="508" t="s"/>
      <c r="T1" s="508" t="s"/>
      <c r="U1" s="508" t="s"/>
      <c r="V1" s="508" t="s"/>
      <c r="W1" s="508" t="s"/>
      <c r="X1" s="508" t="s"/>
      <c r="Y1" s="508" t="s"/>
    </row>
    <row r="2" spans="1:25" ht="25.5" customHeight="true">
      <c r="A2" s="707" t="s">
        <v>121</v>
      </c>
      <c r="B2" s="708" t="s"/>
      <c r="C2" s="708" t="s"/>
      <c r="D2" s="708" t="s"/>
      <c r="E2" s="709" t="s"/>
      <c r="F2" s="709" t="s"/>
      <c r="G2" s="709" t="s"/>
      <c r="H2" s="710" t="s"/>
      <c r="I2" s="711" t="s">
        <v>122</v>
      </c>
      <c r="J2" s="712" t="s"/>
      <c r="K2" s="712" t="s"/>
      <c r="L2" s="713" t="s"/>
      <c r="M2" s="508" t="s"/>
      <c r="N2" s="508" t="s"/>
      <c r="O2" s="508" t="s"/>
      <c r="P2" s="508" t="s"/>
      <c r="Q2" s="508" t="s"/>
      <c r="R2" s="508" t="s"/>
      <c r="S2" s="508" t="s"/>
      <c r="T2" s="508" t="s"/>
      <c r="U2" s="508" t="s"/>
      <c r="V2" s="508" t="s"/>
      <c r="W2" s="508" t="s"/>
      <c r="X2" s="508" t="s"/>
      <c r="Y2" s="508" t="s"/>
    </row>
    <row r="3" spans="1:25" ht="19.5" customHeight="true">
      <c r="A3" s="714" t="s">
        <v>6</v>
      </c>
      <c r="B3" s="714" t="s">
        <v>123</v>
      </c>
      <c r="C3" s="714" t="s">
        <v>124</v>
      </c>
      <c r="D3" s="715" t="s"/>
      <c r="E3" s="714" t="s">
        <v>9</v>
      </c>
      <c r="F3" s="714" t="s">
        <v>10</v>
      </c>
      <c r="G3" s="714" t="s">
        <v>11</v>
      </c>
      <c r="H3" s="716" t="s">
        <v>125</v>
      </c>
      <c r="I3" s="717" t="s">
        <v>16</v>
      </c>
      <c r="J3" s="717" t="s">
        <v>17</v>
      </c>
      <c r="K3" s="717" t="s">
        <v>126</v>
      </c>
      <c r="L3" s="718" t="s">
        <v>127</v>
      </c>
      <c r="M3" s="508" t="s"/>
      <c r="N3" s="508" t="s"/>
      <c r="O3" s="508" t="s"/>
      <c r="P3" s="508" t="s"/>
      <c r="Q3" s="508" t="s"/>
      <c r="R3" s="508" t="s"/>
      <c r="S3" s="508" t="s"/>
      <c r="T3" s="508" t="s"/>
      <c r="U3" s="508" t="s"/>
      <c r="V3" s="508" t="s"/>
      <c r="W3" s="508" t="s"/>
      <c r="X3" s="508" t="s"/>
      <c r="Y3" s="508" t="s"/>
    </row>
    <row r="4" spans="1:25" hidden="true">
      <c r="A4" s="719" t="s">
        <v>39</v>
      </c>
      <c r="B4" s="720" t="s"/>
      <c r="C4" s="720">
        <v>59</v>
      </c>
      <c r="D4" s="721" t="s">
        <v>20</v>
      </c>
      <c r="E4" s="722" t="s">
        <v>36</v>
      </c>
      <c r="F4" s="723">
        <v>1</v>
      </c>
      <c r="G4" s="723" t="s">
        <v>30</v>
      </c>
      <c r="H4" s="724" t="s">
        <v>128</v>
      </c>
      <c r="I4" s="725" t="s"/>
      <c r="J4" s="725" t="s"/>
      <c r="K4" s="725" t="s"/>
      <c r="L4" s="726" t="s"/>
      <c r="M4" s="508" t="s"/>
      <c r="N4" s="508" t="s"/>
      <c r="O4" s="508" t="s"/>
      <c r="P4" s="508" t="s"/>
      <c r="Q4" s="508" t="s"/>
      <c r="R4" s="508" t="s"/>
      <c r="S4" s="508" t="s"/>
      <c r="T4" s="508" t="s"/>
      <c r="U4" s="508" t="s"/>
      <c r="V4" s="508" t="s"/>
      <c r="W4" s="508" t="s"/>
      <c r="X4" s="508" t="s"/>
      <c r="Y4" s="508" t="s"/>
    </row>
    <row r="5" spans="1:25" hidden="true">
      <c r="A5" s="727" t="s"/>
      <c r="B5" s="727" t="s"/>
      <c r="C5" s="727" t="s"/>
      <c r="D5" s="721" t="s">
        <v>20</v>
      </c>
      <c r="E5" s="722" t="s">
        <v>46</v>
      </c>
      <c r="F5" s="728">
        <v>3</v>
      </c>
      <c r="G5" s="721" t="s">
        <v>30</v>
      </c>
      <c r="H5" s="724" t="s">
        <v>129</v>
      </c>
      <c r="I5" s="725" t="s"/>
      <c r="J5" s="725" t="s"/>
      <c r="K5" s="725" t="s"/>
      <c r="L5" s="729" t="s"/>
      <c r="M5" s="508" t="s"/>
      <c r="N5" s="508" t="s"/>
      <c r="O5" s="508" t="s"/>
      <c r="P5" s="508" t="s"/>
      <c r="Q5" s="508" t="s"/>
      <c r="R5" s="508" t="s"/>
      <c r="S5" s="508" t="s"/>
      <c r="T5" s="508" t="s"/>
      <c r="U5" s="508" t="s"/>
      <c r="V5" s="508" t="s"/>
      <c r="W5" s="508" t="s"/>
      <c r="X5" s="508" t="s"/>
      <c r="Y5" s="508" t="s"/>
    </row>
    <row r="6" spans="1:25" hidden="true">
      <c r="A6" s="727" t="s"/>
      <c r="B6" s="727" t="s"/>
      <c r="C6" s="727" t="s"/>
      <c r="D6" s="721" t="s">
        <v>44</v>
      </c>
      <c r="E6" s="722" t="s">
        <v>40</v>
      </c>
      <c r="F6" s="728">
        <v>1</v>
      </c>
      <c r="G6" s="721" t="s">
        <v>35</v>
      </c>
      <c r="H6" s="724" t="s">
        <v>130</v>
      </c>
      <c r="I6" s="725" t="s"/>
      <c r="J6" s="725" t="s"/>
      <c r="K6" s="725" t="s"/>
      <c r="L6" s="729" t="s"/>
      <c r="M6" s="508" t="s"/>
      <c r="N6" s="508" t="s"/>
      <c r="O6" s="508" t="s"/>
      <c r="P6" s="508" t="s"/>
      <c r="Q6" s="508" t="s"/>
      <c r="R6" s="508" t="s"/>
      <c r="S6" s="508" t="s"/>
      <c r="T6" s="508" t="s"/>
      <c r="U6" s="508" t="s"/>
      <c r="V6" s="508" t="s"/>
      <c r="W6" s="508" t="s"/>
      <c r="X6" s="508" t="s"/>
      <c r="Y6" s="508" t="s"/>
    </row>
    <row r="7" spans="1:25" hidden="true">
      <c r="A7" s="727" t="s"/>
      <c r="B7" s="727" t="s"/>
      <c r="C7" s="727" t="s"/>
      <c r="D7" s="721" t="s">
        <v>44</v>
      </c>
      <c r="E7" s="722" t="s">
        <v>131</v>
      </c>
      <c r="F7" s="728">
        <v>1</v>
      </c>
      <c r="G7" s="721" t="s">
        <v>30</v>
      </c>
      <c r="H7" s="724" t="s">
        <v>132</v>
      </c>
      <c r="I7" s="725" t="s"/>
      <c r="J7" s="725" t="s"/>
      <c r="K7" s="725" t="s"/>
      <c r="L7" s="730" t="s"/>
      <c r="M7" s="508" t="s"/>
      <c r="N7" s="508" t="s"/>
      <c r="O7" s="508" t="s"/>
      <c r="P7" s="508" t="s"/>
      <c r="Q7" s="508" t="s"/>
      <c r="R7" s="508" t="s"/>
      <c r="S7" s="508" t="s"/>
      <c r="T7" s="508" t="s"/>
      <c r="U7" s="508" t="s"/>
      <c r="V7" s="508" t="s"/>
      <c r="W7" s="508" t="s"/>
      <c r="X7" s="508" t="s"/>
      <c r="Y7" s="508" t="s"/>
    </row>
    <row r="8" spans="1:25" ht="43.5" hidden="true" customHeight="true">
      <c r="A8" s="731" t="s"/>
      <c r="B8" s="732" t="s"/>
      <c r="C8" s="732" t="s"/>
      <c r="D8" s="721" t="s">
        <v>20</v>
      </c>
      <c r="E8" s="722" t="s">
        <v>49</v>
      </c>
      <c r="F8" s="721">
        <v>3</v>
      </c>
      <c r="G8" s="721" t="s">
        <v>35</v>
      </c>
      <c r="H8" s="724" t="s">
        <v>133</v>
      </c>
      <c r="I8" s="725" t="s"/>
      <c r="J8" s="725" t="s"/>
      <c r="K8" s="725" t="s"/>
      <c r="L8" s="733" t="s"/>
      <c r="M8" s="508" t="s"/>
      <c r="N8" s="508" t="s"/>
      <c r="O8" s="508" t="s"/>
      <c r="P8" s="508" t="s"/>
      <c r="Q8" s="508" t="s"/>
      <c r="R8" s="508" t="s"/>
      <c r="S8" s="508" t="s"/>
      <c r="T8" s="508" t="s"/>
      <c r="U8" s="508" t="s"/>
      <c r="V8" s="508" t="s"/>
      <c r="W8" s="508" t="s"/>
      <c r="X8" s="508" t="s"/>
      <c r="Y8" s="508" t="s"/>
    </row>
    <row r="9" spans="1:25" hidden="true">
      <c r="A9" s="734" t="s">
        <v>19</v>
      </c>
      <c r="B9" s="735" t="s"/>
      <c r="C9" s="735">
        <v>63</v>
      </c>
      <c r="D9" s="736" t="s">
        <v>44</v>
      </c>
      <c r="E9" s="737" t="s">
        <v>21</v>
      </c>
      <c r="F9" s="738">
        <v>3</v>
      </c>
      <c r="G9" s="738" t="s">
        <v>22</v>
      </c>
      <c r="H9" s="739" t="s"/>
      <c r="I9" s="740" t="s"/>
      <c r="J9" s="740" t="s"/>
      <c r="K9" s="740" t="s"/>
      <c r="L9" s="741" t="s"/>
      <c r="M9" s="508" t="s"/>
      <c r="N9" s="508" t="s"/>
      <c r="O9" s="508" t="s"/>
      <c r="P9" s="508" t="s"/>
      <c r="Q9" s="508" t="s"/>
      <c r="R9" s="508" t="s"/>
      <c r="S9" s="508" t="s"/>
      <c r="T9" s="508" t="s"/>
      <c r="U9" s="508" t="s"/>
      <c r="V9" s="508" t="s"/>
      <c r="W9" s="508" t="s"/>
      <c r="X9" s="508" t="s"/>
      <c r="Y9" s="508" t="s"/>
    </row>
    <row r="10" spans="1:25" hidden="true">
      <c r="A10" s="727" t="s"/>
      <c r="B10" s="727" t="s"/>
      <c r="C10" s="727" t="s"/>
      <c r="D10" s="736" t="s">
        <v>44</v>
      </c>
      <c r="E10" s="737" t="s">
        <v>66</v>
      </c>
      <c r="F10" s="742">
        <v>2</v>
      </c>
      <c r="G10" s="742" t="s">
        <v>30</v>
      </c>
      <c r="H10" s="739" t="s"/>
      <c r="I10" s="740" t="s"/>
      <c r="J10" s="740" t="s"/>
      <c r="K10" s="740" t="s"/>
      <c r="L10" s="729" t="s"/>
      <c r="M10" s="508" t="s"/>
      <c r="N10" s="508" t="s"/>
      <c r="O10" s="508" t="s"/>
      <c r="P10" s="508" t="s"/>
      <c r="Q10" s="508" t="s"/>
      <c r="R10" s="508" t="s"/>
      <c r="S10" s="508" t="s"/>
      <c r="T10" s="508" t="s"/>
      <c r="U10" s="508" t="s"/>
      <c r="V10" s="508" t="s"/>
      <c r="W10" s="508" t="s"/>
      <c r="X10" s="508" t="s"/>
      <c r="Y10" s="508" t="s"/>
    </row>
    <row r="11" spans="1:25" hidden="true">
      <c r="A11" s="743" t="s"/>
      <c r="B11" s="744" t="s"/>
      <c r="C11" s="744" t="s"/>
      <c r="D11" s="742" t="s"/>
      <c r="E11" s="737" t="s"/>
      <c r="F11" s="742" t="s"/>
      <c r="G11" s="742" t="s"/>
      <c r="H11" s="745" t="s"/>
      <c r="I11" s="740" t="s"/>
      <c r="J11" s="740" t="s"/>
      <c r="K11" s="740" t="s"/>
      <c r="L11" s="746" t="s"/>
      <c r="M11" s="508" t="s"/>
      <c r="N11" s="508" t="s"/>
      <c r="O11" s="508" t="s"/>
      <c r="P11" s="508" t="s"/>
      <c r="Q11" s="508" t="s"/>
      <c r="R11" s="508" t="s"/>
      <c r="S11" s="508" t="s"/>
      <c r="T11" s="508" t="s"/>
      <c r="U11" s="508" t="s"/>
      <c r="V11" s="508" t="s"/>
      <c r="W11" s="508" t="s"/>
      <c r="X11" s="508" t="s"/>
      <c r="Y11" s="508" t="s"/>
    </row>
    <row r="12" spans="1:25" hidden="true">
      <c r="A12" s="743" t="s"/>
      <c r="B12" s="744" t="s"/>
      <c r="C12" s="744" t="s"/>
      <c r="D12" s="747" t="s"/>
      <c r="E12" s="737" t="s"/>
      <c r="F12" s="742" t="s"/>
      <c r="G12" s="742" t="s"/>
      <c r="H12" s="748" t="s"/>
      <c r="I12" s="740" t="s"/>
      <c r="J12" s="740" t="s"/>
      <c r="K12" s="740" t="s"/>
      <c r="L12" s="746" t="s"/>
      <c r="M12" s="508" t="s"/>
      <c r="N12" s="508" t="s"/>
      <c r="O12" s="508" t="s"/>
      <c r="P12" s="508" t="s"/>
      <c r="Q12" s="508" t="s"/>
      <c r="R12" s="508" t="s"/>
      <c r="S12" s="508" t="s"/>
      <c r="T12" s="508" t="s"/>
      <c r="U12" s="508" t="s"/>
      <c r="V12" s="508" t="s"/>
      <c r="W12" s="508" t="s"/>
      <c r="X12" s="508" t="s"/>
      <c r="Y12" s="508" t="s"/>
    </row>
    <row r="13" spans="1:25" hidden="true">
      <c r="A13" s="727" t="s"/>
      <c r="B13" s="727" t="s"/>
      <c r="C13" s="727" t="s"/>
      <c r="D13" s="742" t="s"/>
      <c r="E13" s="737" t="s"/>
      <c r="F13" s="742" t="s"/>
      <c r="G13" s="742" t="s"/>
      <c r="H13" s="739" t="s"/>
      <c r="I13" s="740" t="s"/>
      <c r="J13" s="740" t="s"/>
      <c r="K13" s="740" t="s"/>
      <c r="L13" s="729" t="s"/>
      <c r="M13" s="508" t="s"/>
      <c r="N13" s="508" t="s"/>
      <c r="O13" s="508" t="s"/>
      <c r="P13" s="508" t="s"/>
      <c r="Q13" s="508" t="s"/>
      <c r="R13" s="508" t="s"/>
      <c r="S13" s="508" t="s"/>
      <c r="T13" s="508" t="s"/>
      <c r="U13" s="508" t="s"/>
      <c r="V13" s="508" t="s"/>
      <c r="W13" s="508" t="s"/>
      <c r="X13" s="508" t="s"/>
      <c r="Y13" s="508" t="s"/>
    </row>
    <row r="14" spans="1:25" hidden="true">
      <c r="A14" s="749" t="s"/>
      <c r="B14" s="749" t="s"/>
      <c r="C14" s="749" t="s"/>
      <c r="D14" s="742" t="s"/>
      <c r="E14" s="737" t="s"/>
      <c r="F14" s="742" t="s"/>
      <c r="G14" s="742" t="s"/>
      <c r="H14" s="739" t="s"/>
      <c r="I14" s="740" t="s"/>
      <c r="J14" s="740" t="s"/>
      <c r="K14" s="740" t="s"/>
      <c r="L14" s="730" t="s"/>
      <c r="M14" s="508" t="s"/>
      <c r="N14" s="508" t="s"/>
      <c r="O14" s="508" t="s"/>
      <c r="P14" s="508" t="s"/>
      <c r="Q14" s="508" t="s"/>
      <c r="R14" s="508" t="s"/>
      <c r="S14" s="508" t="s"/>
      <c r="T14" s="508" t="s"/>
      <c r="U14" s="508" t="s"/>
      <c r="V14" s="508" t="s"/>
      <c r="W14" s="508" t="s"/>
      <c r="X14" s="508" t="s"/>
      <c r="Y14" s="508" t="s"/>
    </row>
    <row r="15" spans="1:25" ht="27.75" hidden="true" customHeight="true">
      <c r="A15" s="750" t="s">
        <v>134</v>
      </c>
      <c r="B15" s="751" t="s"/>
      <c r="C15" s="751">
        <v>85</v>
      </c>
      <c r="D15" s="736" t="s">
        <v>47</v>
      </c>
      <c r="E15" s="752" t="s">
        <v>135</v>
      </c>
      <c r="F15" s="736">
        <v>2</v>
      </c>
      <c r="G15" s="736" t="s">
        <v>30</v>
      </c>
      <c r="H15" s="753" t="s">
        <v>136</v>
      </c>
      <c r="I15" s="754" t="s"/>
      <c r="J15" s="755" t="s"/>
      <c r="K15" s="754" t="s"/>
      <c r="L15" s="756" t="s"/>
      <c r="M15" s="508" t="s"/>
      <c r="N15" s="757" t="s"/>
      <c r="O15" s="508" t="s"/>
      <c r="P15" s="508" t="s"/>
      <c r="Q15" s="508" t="s"/>
      <c r="R15" s="508" t="s"/>
      <c r="S15" s="508" t="s"/>
      <c r="T15" s="508" t="s"/>
      <c r="U15" s="508" t="s"/>
      <c r="V15" s="508" t="s"/>
      <c r="W15" s="508" t="s"/>
      <c r="X15" s="508" t="s"/>
      <c r="Y15" s="508" t="s"/>
    </row>
    <row r="16" spans="1:25" hidden="true">
      <c r="A16" s="727" t="s"/>
      <c r="B16" s="727" t="s"/>
      <c r="C16" s="727" t="s"/>
      <c r="D16" s="736" t="s">
        <v>44</v>
      </c>
      <c r="E16" s="752" t="s">
        <v>57</v>
      </c>
      <c r="F16" s="736">
        <v>2</v>
      </c>
      <c r="G16" s="736" t="s">
        <v>30</v>
      </c>
      <c r="H16" s="753" t="s">
        <v>137</v>
      </c>
      <c r="I16" s="754" t="s"/>
      <c r="J16" s="754" t="s"/>
      <c r="K16" s="754" t="s"/>
      <c r="L16" s="729" t="s"/>
      <c r="M16" s="508" t="s"/>
      <c r="N16" s="508" t="s"/>
      <c r="O16" s="508" t="s"/>
      <c r="P16" s="508" t="s"/>
      <c r="Q16" s="508" t="s"/>
      <c r="R16" s="508" t="s"/>
      <c r="S16" s="508" t="s"/>
      <c r="T16" s="508" t="s"/>
      <c r="U16" s="508" t="s"/>
      <c r="V16" s="508" t="s"/>
      <c r="W16" s="508" t="s"/>
      <c r="X16" s="508" t="s"/>
      <c r="Y16" s="508" t="s"/>
    </row>
    <row r="17" spans="1:25" hidden="true">
      <c r="A17" s="758" t="s"/>
      <c r="B17" s="759" t="s"/>
      <c r="C17" s="759" t="s"/>
      <c r="D17" s="736" t="s">
        <v>44</v>
      </c>
      <c r="E17" s="760" t="s">
        <v>57</v>
      </c>
      <c r="F17" s="736">
        <v>6</v>
      </c>
      <c r="G17" s="736" t="s">
        <v>30</v>
      </c>
      <c r="H17" s="761" t="s">
        <v>137</v>
      </c>
      <c r="I17" s="754" t="s"/>
      <c r="J17" s="754" t="s"/>
      <c r="K17" s="754" t="s"/>
      <c r="L17" s="762" t="s"/>
      <c r="M17" s="508" t="s"/>
      <c r="N17" s="508" t="s"/>
      <c r="O17" s="508" t="s"/>
      <c r="P17" s="508" t="s"/>
      <c r="Q17" s="508" t="s"/>
      <c r="R17" s="508" t="s"/>
      <c r="S17" s="508" t="s"/>
      <c r="T17" s="508" t="s"/>
      <c r="U17" s="508" t="s"/>
      <c r="V17" s="508" t="s"/>
      <c r="W17" s="508" t="s"/>
      <c r="X17" s="508" t="s"/>
      <c r="Y17" s="508" t="s"/>
    </row>
    <row r="18" spans="1:25" hidden="true">
      <c r="A18" s="727" t="s"/>
      <c r="B18" s="727" t="s"/>
      <c r="C18" s="727" t="s"/>
      <c r="D18" s="736" t="s">
        <v>44</v>
      </c>
      <c r="E18" s="752" t="s">
        <v>138</v>
      </c>
      <c r="F18" s="736">
        <v>1</v>
      </c>
      <c r="G18" s="736" t="s">
        <v>35</v>
      </c>
      <c r="H18" s="753" t="s"/>
      <c r="I18" s="754" t="s"/>
      <c r="J18" s="755" t="s"/>
      <c r="K18" s="754" t="s"/>
      <c r="L18" s="729" t="s"/>
      <c r="M18" s="508" t="s"/>
      <c r="N18" s="508" t="s"/>
      <c r="O18" s="508" t="s"/>
      <c r="P18" s="508" t="s"/>
      <c r="Q18" s="508" t="s"/>
      <c r="R18" s="508" t="s"/>
      <c r="S18" s="508" t="s"/>
      <c r="T18" s="508" t="s"/>
      <c r="U18" s="508" t="s"/>
      <c r="V18" s="508" t="s"/>
      <c r="W18" s="508" t="s"/>
      <c r="X18" s="508" t="s"/>
      <c r="Y18" s="508" t="s"/>
    </row>
    <row r="19" spans="1:25" hidden="true">
      <c r="A19" s="727" t="s"/>
      <c r="B19" s="727" t="s"/>
      <c r="C19" s="727" t="s"/>
      <c r="D19" s="736" t="s"/>
      <c r="E19" s="752" t="s"/>
      <c r="F19" s="736" t="s"/>
      <c r="G19" s="736" t="s"/>
      <c r="H19" s="753" t="s"/>
      <c r="I19" s="754" t="s"/>
      <c r="J19" s="754" t="s"/>
      <c r="K19" s="754" t="s"/>
      <c r="L19" s="729" t="s"/>
      <c r="M19" s="508" t="s"/>
      <c r="N19" s="508" t="s"/>
      <c r="O19" s="508" t="s"/>
      <c r="P19" s="508" t="s"/>
      <c r="Q19" s="508" t="s"/>
      <c r="R19" s="508" t="s"/>
      <c r="S19" s="508" t="s"/>
      <c r="T19" s="508" t="s"/>
      <c r="U19" s="508" t="s"/>
      <c r="V19" s="508" t="s"/>
      <c r="W19" s="508" t="s"/>
      <c r="X19" s="508" t="s"/>
      <c r="Y19" s="508" t="s"/>
    </row>
    <row r="20" spans="1:25" hidden="true">
      <c r="A20" s="727" t="s"/>
      <c r="B20" s="727" t="s"/>
      <c r="C20" s="727" t="s"/>
      <c r="D20" s="736" t="s"/>
      <c r="E20" s="752" t="s"/>
      <c r="F20" s="736" t="s"/>
      <c r="G20" s="736" t="s"/>
      <c r="H20" s="753" t="s"/>
      <c r="I20" s="754" t="s"/>
      <c r="J20" s="754" t="s"/>
      <c r="K20" s="754" t="s"/>
      <c r="L20" s="729" t="s"/>
      <c r="M20" s="508" t="s"/>
      <c r="N20" s="508" t="s"/>
      <c r="O20" s="508" t="s"/>
      <c r="P20" s="508" t="s"/>
      <c r="Q20" s="508" t="s"/>
      <c r="R20" s="508" t="s"/>
      <c r="S20" s="508" t="s"/>
      <c r="T20" s="508" t="s"/>
      <c r="U20" s="508" t="s"/>
      <c r="V20" s="508" t="s"/>
      <c r="W20" s="508" t="s"/>
      <c r="X20" s="508" t="s"/>
      <c r="Y20" s="508" t="s"/>
    </row>
    <row r="21" spans="1:25" hidden="true">
      <c r="A21" s="749" t="s"/>
      <c r="B21" s="749" t="s"/>
      <c r="C21" s="749" t="s"/>
      <c r="D21" s="736" t="s"/>
      <c r="E21" s="752" t="s"/>
      <c r="F21" s="763" t="s"/>
      <c r="G21" s="763" t="s"/>
      <c r="H21" s="753" t="s"/>
      <c r="I21" s="754" t="s"/>
      <c r="J21" s="754" t="s"/>
      <c r="K21" s="754" t="s"/>
      <c r="L21" s="730" t="s"/>
      <c r="M21" s="508" t="s"/>
      <c r="N21" s="508" t="s"/>
      <c r="O21" s="508" t="s"/>
      <c r="P21" s="508" t="s"/>
      <c r="Q21" s="508" t="s"/>
      <c r="R21" s="508" t="s"/>
      <c r="S21" s="508" t="s"/>
      <c r="T21" s="508" t="s"/>
      <c r="U21" s="508" t="s"/>
      <c r="V21" s="508" t="s"/>
      <c r="W21" s="508" t="s"/>
      <c r="X21" s="508" t="s"/>
      <c r="Y21" s="508" t="s"/>
    </row>
    <row r="22" spans="1:25" hidden="true">
      <c r="A22" s="764" t="s">
        <v>50</v>
      </c>
      <c r="B22" s="765" t="s"/>
      <c r="C22" s="765">
        <v>27</v>
      </c>
      <c r="D22" s="766" t="s">
        <v>20</v>
      </c>
      <c r="E22" s="766" t="s">
        <v>82</v>
      </c>
      <c r="F22" s="766">
        <v>2</v>
      </c>
      <c r="G22" s="766" t="s">
        <v>35</v>
      </c>
      <c r="H22" s="766" t="s">
        <v>139</v>
      </c>
      <c r="I22" s="767" t="s"/>
      <c r="J22" s="768" t="s"/>
      <c r="K22" s="768" t="s"/>
      <c r="L22" s="769" t="s"/>
      <c r="M22" s="508" t="s"/>
      <c r="N22" s="508" t="s"/>
      <c r="O22" s="508" t="s"/>
      <c r="P22" s="508" t="s"/>
      <c r="Q22" s="508" t="s"/>
      <c r="R22" s="508" t="s"/>
      <c r="S22" s="508" t="s"/>
      <c r="T22" s="508" t="s"/>
      <c r="U22" s="508" t="s"/>
      <c r="V22" s="508" t="s"/>
      <c r="W22" s="508" t="s"/>
      <c r="X22" s="508" t="s"/>
      <c r="Y22" s="508" t="s"/>
    </row>
    <row r="23" spans="1:25" hidden="true">
      <c r="A23" s="770" t="s"/>
      <c r="B23" s="770" t="s"/>
      <c r="C23" s="770" t="s"/>
      <c r="D23" s="771" t="s">
        <v>20</v>
      </c>
      <c r="E23" s="771" t="s">
        <v>140</v>
      </c>
      <c r="F23" s="771">
        <v>4</v>
      </c>
      <c r="G23" s="771" t="s">
        <v>30</v>
      </c>
      <c r="H23" s="771" t="s">
        <v>141</v>
      </c>
      <c r="I23" s="772" t="s"/>
      <c r="J23" s="768" t="s"/>
      <c r="K23" s="768" t="s"/>
      <c r="L23" s="729" t="s"/>
      <c r="M23" s="508" t="s"/>
      <c r="N23" s="508" t="s"/>
      <c r="O23" s="508" t="s"/>
      <c r="P23" s="508" t="s"/>
      <c r="Q23" s="508" t="s"/>
      <c r="R23" s="508" t="s"/>
      <c r="S23" s="508" t="s"/>
      <c r="T23" s="508" t="s"/>
      <c r="U23" s="508" t="s"/>
      <c r="V23" s="508" t="s"/>
      <c r="W23" s="508" t="s"/>
      <c r="X23" s="508" t="s"/>
      <c r="Y23" s="508" t="s"/>
    </row>
    <row r="24" spans="1:25" hidden="true">
      <c r="A24" s="770" t="s"/>
      <c r="B24" s="770" t="s"/>
      <c r="C24" s="770" t="s"/>
      <c r="D24" s="766" t="s">
        <v>20</v>
      </c>
      <c r="E24" s="766" t="s">
        <v>36</v>
      </c>
      <c r="F24" s="766">
        <v>1</v>
      </c>
      <c r="G24" s="771" t="s">
        <v>30</v>
      </c>
      <c r="H24" s="766" t="s">
        <v>142</v>
      </c>
      <c r="I24" s="768" t="s"/>
      <c r="J24" s="768" t="s"/>
      <c r="K24" s="768" t="s"/>
      <c r="L24" s="729" t="s"/>
      <c r="M24" s="508" t="s"/>
      <c r="N24" s="508" t="s"/>
      <c r="O24" s="508" t="s"/>
      <c r="P24" s="508" t="s"/>
      <c r="Q24" s="508" t="s"/>
      <c r="R24" s="508" t="s"/>
      <c r="S24" s="508" t="s"/>
      <c r="T24" s="508" t="s"/>
      <c r="U24" s="508" t="s"/>
      <c r="V24" s="508" t="s"/>
      <c r="W24" s="508" t="s"/>
      <c r="X24" s="508" t="s"/>
      <c r="Y24" s="508" t="s"/>
    </row>
    <row r="25" spans="1:25" hidden="true">
      <c r="A25" s="770" t="s"/>
      <c r="B25" s="770" t="s"/>
      <c r="C25" s="770" t="s"/>
      <c r="D25" s="766" t="s">
        <v>20</v>
      </c>
      <c r="E25" s="766" t="s">
        <v>85</v>
      </c>
      <c r="F25" s="766">
        <v>2</v>
      </c>
      <c r="G25" s="771" t="s">
        <v>30</v>
      </c>
      <c r="H25" s="766" t="s">
        <v>143</v>
      </c>
      <c r="I25" s="768" t="s"/>
      <c r="J25" s="768" t="s"/>
      <c r="K25" s="768" t="s"/>
      <c r="L25" s="729" t="s"/>
      <c r="M25" s="508" t="s"/>
      <c r="N25" s="508" t="s"/>
      <c r="O25" s="508" t="s"/>
      <c r="P25" s="508" t="s"/>
      <c r="Q25" s="508" t="s"/>
      <c r="R25" s="508" t="s"/>
      <c r="S25" s="508" t="s"/>
      <c r="T25" s="508" t="s"/>
      <c r="U25" s="508" t="s"/>
      <c r="V25" s="508" t="s"/>
      <c r="W25" s="508" t="s"/>
      <c r="X25" s="508" t="s"/>
      <c r="Y25" s="508" t="s"/>
    </row>
    <row r="26" spans="1:25" hidden="true">
      <c r="A26" s="770" t="s"/>
      <c r="B26" s="770" t="s"/>
      <c r="C26" s="770" t="s"/>
      <c r="D26" s="766" t="s">
        <v>44</v>
      </c>
      <c r="E26" s="773" t="s">
        <v>144</v>
      </c>
      <c r="F26" s="766">
        <v>1</v>
      </c>
      <c r="G26" s="766" t="s">
        <v>35</v>
      </c>
      <c r="H26" s="774" t="s">
        <v>145</v>
      </c>
      <c r="I26" s="768" t="s"/>
      <c r="J26" s="768" t="s"/>
      <c r="K26" s="768" t="s"/>
      <c r="L26" s="729" t="s"/>
      <c r="M26" s="508" t="s"/>
      <c r="N26" s="508" t="s"/>
      <c r="O26" s="508" t="s"/>
      <c r="P26" s="508" t="s"/>
      <c r="Q26" s="508" t="s"/>
      <c r="R26" s="508" t="s"/>
      <c r="S26" s="508" t="s"/>
      <c r="T26" s="508" t="s"/>
      <c r="U26" s="508" t="s"/>
      <c r="V26" s="508" t="s"/>
      <c r="W26" s="508" t="s"/>
      <c r="X26" s="508" t="s"/>
      <c r="Y26" s="508" t="s"/>
    </row>
    <row r="27" spans="1:25" hidden="true">
      <c r="A27" s="770" t="s"/>
      <c r="B27" s="770" t="s"/>
      <c r="C27" s="770" t="s"/>
      <c r="D27" s="766" t="s"/>
      <c r="E27" s="773" t="s"/>
      <c r="F27" s="775" t="s"/>
      <c r="G27" s="775" t="s"/>
      <c r="H27" s="774" t="s"/>
      <c r="I27" s="768" t="s"/>
      <c r="J27" s="768" t="s"/>
      <c r="K27" s="768" t="s"/>
      <c r="L27" s="729" t="s"/>
      <c r="M27" s="508" t="s"/>
      <c r="N27" s="508" t="s"/>
      <c r="O27" s="508" t="s"/>
      <c r="P27" s="508" t="s"/>
      <c r="Q27" s="508" t="s"/>
      <c r="R27" s="508" t="s"/>
      <c r="S27" s="508" t="s"/>
      <c r="T27" s="508" t="s"/>
      <c r="U27" s="508" t="s"/>
      <c r="V27" s="508" t="s"/>
      <c r="W27" s="508" t="s"/>
      <c r="X27" s="508" t="s"/>
      <c r="Y27" s="508" t="s"/>
    </row>
    <row r="28" spans="1:25" hidden="true">
      <c r="A28" s="776" t="s"/>
      <c r="B28" s="776" t="s"/>
      <c r="C28" s="776" t="s"/>
      <c r="D28" s="766" t="s">
        <v>20</v>
      </c>
      <c r="E28" s="766" t="s">
        <v>138</v>
      </c>
      <c r="F28" s="766">
        <v>2</v>
      </c>
      <c r="G28" s="766" t="s">
        <v>35</v>
      </c>
      <c r="H28" s="766" t="s">
        <v>146</v>
      </c>
      <c r="I28" s="777" t="s"/>
      <c r="J28" s="777" t="s"/>
      <c r="K28" s="777" t="s"/>
      <c r="L28" s="730" t="s"/>
      <c r="M28" s="508" t="s"/>
      <c r="N28" s="508" t="s"/>
      <c r="O28" s="508" t="s"/>
      <c r="P28" s="508" t="s"/>
      <c r="Q28" s="508" t="s"/>
      <c r="R28" s="508" t="s"/>
      <c r="S28" s="508" t="s"/>
      <c r="T28" s="508" t="s"/>
      <c r="U28" s="508" t="s"/>
      <c r="V28" s="508" t="s"/>
      <c r="W28" s="508" t="s"/>
      <c r="X28" s="508" t="s"/>
      <c r="Y28" s="508" t="s"/>
    </row>
    <row r="29" spans="1:25" hidden="true">
      <c r="A29" s="778" t="s">
        <v>63</v>
      </c>
      <c r="B29" s="779" t="s"/>
      <c r="C29" s="779">
        <v>15</v>
      </c>
      <c r="D29" s="780" t="s">
        <v>20</v>
      </c>
      <c r="E29" s="781" t="s">
        <v>45</v>
      </c>
      <c r="F29" s="780">
        <v>1</v>
      </c>
      <c r="G29" s="780" t="s">
        <v>30</v>
      </c>
      <c r="H29" s="782" t="s">
        <v>147</v>
      </c>
      <c r="I29" s="777" t="s"/>
      <c r="J29" s="777" t="s"/>
      <c r="K29" s="777" t="s"/>
      <c r="L29" s="783" t="s"/>
      <c r="M29" s="508" t="s"/>
      <c r="N29" s="508" t="s"/>
      <c r="O29" s="508" t="s"/>
      <c r="P29" s="508" t="s"/>
      <c r="Q29" s="508" t="s"/>
      <c r="R29" s="508" t="s"/>
      <c r="S29" s="508" t="s"/>
      <c r="T29" s="508" t="s"/>
      <c r="U29" s="508" t="s"/>
      <c r="V29" s="508" t="s"/>
      <c r="W29" s="508" t="s"/>
      <c r="X29" s="508" t="s"/>
      <c r="Y29" s="508" t="s"/>
    </row>
    <row r="30" spans="1:25" hidden="true">
      <c r="A30" s="784" t="s"/>
      <c r="B30" s="785" t="s"/>
      <c r="C30" s="785" t="s"/>
      <c r="D30" s="780" t="s">
        <v>20</v>
      </c>
      <c r="E30" s="781" t="s">
        <v>148</v>
      </c>
      <c r="F30" s="780">
        <v>1</v>
      </c>
      <c r="G30" s="780" t="s">
        <v>30</v>
      </c>
      <c r="H30" s="782" t="s">
        <v>149</v>
      </c>
      <c r="I30" s="777" t="s"/>
      <c r="J30" s="777" t="s"/>
      <c r="K30" s="777" t="s"/>
      <c r="L30" s="786" t="s"/>
      <c r="M30" s="508" t="s"/>
      <c r="N30" s="508" t="s"/>
      <c r="O30" s="508" t="s"/>
      <c r="P30" s="508" t="s"/>
      <c r="Q30" s="508" t="s"/>
      <c r="R30" s="508" t="s"/>
      <c r="S30" s="508" t="s"/>
      <c r="T30" s="508" t="s"/>
      <c r="U30" s="508" t="s"/>
      <c r="V30" s="508" t="s"/>
      <c r="W30" s="508" t="s"/>
      <c r="X30" s="508" t="s"/>
      <c r="Y30" s="508" t="s"/>
    </row>
    <row r="31" spans="1:25" hidden="true">
      <c r="A31" s="727" t="s"/>
      <c r="B31" s="727" t="s"/>
      <c r="C31" s="727" t="s"/>
      <c r="D31" s="787" t="s"/>
      <c r="E31" s="781" t="s"/>
      <c r="F31" s="780" t="s"/>
      <c r="G31" s="780" t="s"/>
      <c r="H31" s="782" t="s"/>
      <c r="I31" s="777" t="s"/>
      <c r="J31" s="777" t="s"/>
      <c r="K31" s="777" t="s"/>
      <c r="L31" s="729" t="s"/>
      <c r="M31" s="508" t="s"/>
      <c r="N31" s="508" t="s"/>
      <c r="O31" s="508" t="s"/>
      <c r="P31" s="508" t="s"/>
      <c r="Q31" s="508" t="s"/>
      <c r="R31" s="508" t="s"/>
      <c r="S31" s="508" t="s"/>
      <c r="T31" s="508" t="s"/>
      <c r="U31" s="508" t="s"/>
      <c r="V31" s="508" t="s"/>
      <c r="W31" s="508" t="s"/>
      <c r="X31" s="508" t="s"/>
      <c r="Y31" s="508" t="s"/>
    </row>
    <row r="32" spans="1:25" hidden="true">
      <c r="A32" s="727" t="s"/>
      <c r="B32" s="727" t="s"/>
      <c r="C32" s="727" t="s"/>
      <c r="D32" s="780" t="s"/>
      <c r="E32" s="781" t="s"/>
      <c r="F32" s="780" t="s"/>
      <c r="G32" s="780" t="s"/>
      <c r="H32" s="782" t="s"/>
      <c r="I32" s="777" t="s"/>
      <c r="J32" s="777" t="s"/>
      <c r="K32" s="777" t="s"/>
      <c r="L32" s="729" t="s"/>
      <c r="M32" s="508" t="s"/>
      <c r="N32" s="508" t="s"/>
      <c r="O32" s="508" t="s"/>
      <c r="P32" s="508" t="s"/>
      <c r="Q32" s="508" t="s"/>
      <c r="R32" s="508" t="s"/>
      <c r="S32" s="508" t="s"/>
      <c r="T32" s="508" t="s"/>
      <c r="U32" s="508" t="s"/>
      <c r="V32" s="508" t="s"/>
      <c r="W32" s="508" t="s"/>
      <c r="X32" s="508" t="s"/>
      <c r="Y32" s="508" t="s"/>
    </row>
    <row r="33" spans="1:25" hidden="true">
      <c r="A33" s="749" t="s"/>
      <c r="B33" s="749" t="s"/>
      <c r="C33" s="749" t="s"/>
      <c r="D33" s="780" t="s"/>
      <c r="E33" s="781" t="s"/>
      <c r="F33" s="780" t="s"/>
      <c r="G33" s="780" t="s"/>
      <c r="H33" s="782" t="s"/>
      <c r="I33" s="777" t="s"/>
      <c r="J33" s="777" t="s"/>
      <c r="K33" s="777" t="s"/>
      <c r="L33" s="730" t="s"/>
      <c r="M33" s="508" t="s"/>
      <c r="N33" s="508" t="s"/>
      <c r="O33" s="508" t="s"/>
      <c r="P33" s="508" t="s"/>
      <c r="Q33" s="508" t="s"/>
      <c r="R33" s="508" t="s"/>
      <c r="S33" s="508" t="s"/>
      <c r="T33" s="508" t="s"/>
      <c r="U33" s="508" t="s"/>
      <c r="V33" s="508" t="s"/>
      <c r="W33" s="508" t="s"/>
      <c r="X33" s="508" t="s"/>
      <c r="Y33" s="508" t="s"/>
    </row>
    <row r="34" spans="1:25" ht="27.75" customHeight="true">
      <c r="A34" s="788" t="s">
        <v>32</v>
      </c>
      <c r="B34" s="789" t="s"/>
      <c r="C34" s="789">
        <v>41</v>
      </c>
      <c r="D34" s="790" t="s">
        <v>47</v>
      </c>
      <c r="E34" s="791" t="s">
        <v>48</v>
      </c>
      <c r="F34" s="790">
        <v>1</v>
      </c>
      <c r="G34" s="792" t="s">
        <v>30</v>
      </c>
      <c r="H34" s="793" t="s">
        <v>150</v>
      </c>
      <c r="I34" s="794" t="s"/>
      <c r="J34" s="794" t="s"/>
      <c r="K34" s="795" t="s"/>
      <c r="L34" s="796" t="s"/>
      <c r="M34" s="508" t="s"/>
      <c r="N34" s="508" t="s"/>
      <c r="O34" s="508" t="s"/>
      <c r="P34" s="508" t="s"/>
      <c r="Q34" s="508" t="s"/>
      <c r="R34" s="508" t="s"/>
      <c r="S34" s="508" t="s"/>
      <c r="T34" s="508" t="s"/>
      <c r="U34" s="508" t="s"/>
      <c r="V34" s="508" t="s"/>
      <c r="W34" s="508" t="s"/>
      <c r="X34" s="508" t="s"/>
      <c r="Y34" s="508" t="s"/>
    </row>
    <row r="35" spans="1:25" ht="27.75" customHeight="true">
      <c r="A35" s="770" t="s"/>
      <c r="B35" s="770" t="s"/>
      <c r="C35" s="770" t="s"/>
      <c r="D35" s="792" t="s">
        <v>44</v>
      </c>
      <c r="E35" s="797" t="s">
        <v>151</v>
      </c>
      <c r="F35" s="792">
        <v>1</v>
      </c>
      <c r="G35" s="792" t="s">
        <v>30</v>
      </c>
      <c r="H35" s="798" t="s">
        <v>152</v>
      </c>
      <c r="I35" s="795" t="s"/>
      <c r="J35" s="795" t="s"/>
      <c r="K35" s="795" t="s"/>
      <c r="L35" s="729" t="s"/>
      <c r="M35" s="508" t="s"/>
      <c r="N35" s="508" t="s"/>
      <c r="O35" s="508" t="s"/>
      <c r="P35" s="508" t="s"/>
      <c r="Q35" s="508" t="s"/>
      <c r="R35" s="508" t="s"/>
      <c r="S35" s="508" t="s"/>
      <c r="T35" s="508" t="s"/>
      <c r="U35" s="508" t="s"/>
      <c r="V35" s="508" t="s"/>
      <c r="W35" s="508" t="s"/>
      <c r="X35" s="508" t="s"/>
      <c r="Y35" s="508" t="s"/>
    </row>
    <row r="36" spans="1:25">
      <c r="A36" s="770" t="s"/>
      <c r="B36" s="770" t="s"/>
      <c r="C36" s="770" t="s"/>
      <c r="D36" s="792" t="s">
        <v>47</v>
      </c>
      <c r="E36" s="797" t="s">
        <v>151</v>
      </c>
      <c r="F36" s="792">
        <v>1</v>
      </c>
      <c r="G36" s="792" t="s">
        <v>30</v>
      </c>
      <c r="H36" s="798" t="s">
        <v>152</v>
      </c>
      <c r="I36" s="794" t="s"/>
      <c r="J36" s="794" t="s"/>
      <c r="K36" s="795" t="s"/>
      <c r="L36" s="729" t="s"/>
      <c r="M36" s="508" t="s"/>
      <c r="N36" s="508" t="s"/>
      <c r="O36" s="508" t="s"/>
      <c r="P36" s="508" t="s"/>
      <c r="Q36" s="508" t="s"/>
      <c r="R36" s="508" t="s"/>
      <c r="S36" s="508" t="s"/>
      <c r="T36" s="508" t="s"/>
      <c r="U36" s="508" t="s"/>
      <c r="V36" s="508" t="s"/>
      <c r="W36" s="508" t="s"/>
      <c r="X36" s="508" t="s"/>
      <c r="Y36" s="508" t="s"/>
    </row>
    <row r="37" spans="1:25">
      <c r="A37" s="770" t="s"/>
      <c r="B37" s="770" t="s"/>
      <c r="C37" s="770" t="s"/>
      <c r="D37" s="792" t="s">
        <v>20</v>
      </c>
      <c r="E37" s="797" t="s">
        <v>56</v>
      </c>
      <c r="F37" s="792">
        <v>2</v>
      </c>
      <c r="G37" s="792" t="s">
        <v>30</v>
      </c>
      <c r="H37" s="798" t="s">
        <v>153</v>
      </c>
      <c r="I37" s="794" t="s"/>
      <c r="J37" s="794" t="s"/>
      <c r="K37" s="795" t="s"/>
      <c r="L37" s="729" t="s"/>
      <c r="M37" s="508" t="s"/>
      <c r="N37" s="508" t="s"/>
      <c r="O37" s="508" t="s"/>
      <c r="P37" s="508" t="s"/>
      <c r="Q37" s="508" t="s"/>
      <c r="R37" s="508" t="s"/>
      <c r="S37" s="508" t="s"/>
      <c r="T37" s="508" t="s"/>
      <c r="U37" s="508" t="s"/>
      <c r="V37" s="508" t="s"/>
      <c r="W37" s="508" t="s"/>
      <c r="X37" s="508" t="s"/>
      <c r="Y37" s="508" t="s"/>
    </row>
    <row r="38" spans="1:25" ht="42" customHeight="true">
      <c r="A38" s="770" t="s"/>
      <c r="B38" s="770" t="s"/>
      <c r="C38" s="770" t="s"/>
      <c r="D38" s="792" t="s">
        <v>44</v>
      </c>
      <c r="E38" s="797" t="s">
        <v>56</v>
      </c>
      <c r="F38" s="792">
        <v>1</v>
      </c>
      <c r="G38" s="792" t="s">
        <v>35</v>
      </c>
      <c r="H38" s="798" t="s">
        <v>154</v>
      </c>
      <c r="I38" s="794" t="s"/>
      <c r="J38" s="794" t="s"/>
      <c r="K38" s="795" t="s"/>
      <c r="L38" s="729" t="s"/>
      <c r="M38" s="508" t="s"/>
      <c r="N38" s="508" t="s"/>
      <c r="O38" s="508" t="s"/>
      <c r="P38" s="508" t="s"/>
      <c r="Q38" s="508" t="s"/>
      <c r="R38" s="508" t="s"/>
      <c r="S38" s="508" t="s"/>
      <c r="T38" s="508" t="s"/>
      <c r="U38" s="508" t="s"/>
      <c r="V38" s="508" t="s"/>
      <c r="W38" s="508" t="s"/>
      <c r="X38" s="508" t="s"/>
      <c r="Y38" s="508" t="s"/>
    </row>
    <row r="39" spans="1:25" ht="42" customHeight="true">
      <c r="A39" s="770" t="s"/>
      <c r="B39" s="770" t="s"/>
      <c r="C39" s="770" t="s"/>
      <c r="D39" s="792" t="s">
        <v>44</v>
      </c>
      <c r="E39" s="797" t="s">
        <v>60</v>
      </c>
      <c r="F39" s="792">
        <v>1</v>
      </c>
      <c r="G39" s="792" t="s">
        <v>30</v>
      </c>
      <c r="H39" s="799" t="s">
        <v>155</v>
      </c>
      <c r="I39" s="795" t="s"/>
      <c r="J39" s="795" t="s"/>
      <c r="K39" s="795" t="s"/>
      <c r="L39" s="729" t="s"/>
      <c r="M39" s="508" t="s"/>
      <c r="N39" s="508" t="s"/>
      <c r="O39" s="508" t="s"/>
      <c r="P39" s="508" t="s"/>
      <c r="Q39" s="508" t="s"/>
      <c r="R39" s="508" t="s"/>
      <c r="S39" s="508" t="s"/>
      <c r="T39" s="508" t="s"/>
      <c r="U39" s="508" t="s"/>
      <c r="V39" s="508" t="s"/>
      <c r="W39" s="508" t="s"/>
      <c r="X39" s="508" t="s"/>
      <c r="Y39" s="508" t="s"/>
    </row>
    <row r="40" spans="1:25">
      <c r="A40" s="770" t="s"/>
      <c r="B40" s="770" t="s"/>
      <c r="C40" s="770" t="s"/>
      <c r="D40" s="792" t="s">
        <v>44</v>
      </c>
      <c r="E40" s="797" t="s">
        <v>156</v>
      </c>
      <c r="F40" s="792">
        <v>1</v>
      </c>
      <c r="G40" s="792" t="s">
        <v>30</v>
      </c>
      <c r="H40" s="798" t="s">
        <v>157</v>
      </c>
      <c r="I40" s="795" t="s"/>
      <c r="J40" s="795" t="s"/>
      <c r="K40" s="795" t="s"/>
      <c r="L40" s="729" t="s"/>
      <c r="M40" s="508" t="s"/>
      <c r="N40" s="508" t="s"/>
      <c r="O40" s="508" t="s"/>
      <c r="P40" s="508" t="s"/>
      <c r="Q40" s="508" t="s"/>
      <c r="R40" s="508" t="s"/>
      <c r="S40" s="508" t="s"/>
      <c r="T40" s="508" t="s"/>
      <c r="U40" s="508" t="s"/>
      <c r="V40" s="508" t="s"/>
      <c r="W40" s="508" t="s"/>
      <c r="X40" s="508" t="s"/>
      <c r="Y40" s="508" t="s"/>
    </row>
    <row r="41" spans="1:25" ht="27.75" customHeight="true">
      <c r="A41" s="770" t="s"/>
      <c r="B41" s="770" t="s"/>
      <c r="C41" s="770" t="s"/>
      <c r="D41" s="792" t="s">
        <v>20</v>
      </c>
      <c r="E41" s="797" t="s">
        <v>60</v>
      </c>
      <c r="F41" s="792">
        <v>1</v>
      </c>
      <c r="G41" s="792" t="s">
        <v>30</v>
      </c>
      <c r="H41" s="800" t="s">
        <v>155</v>
      </c>
      <c r="I41" s="794" t="s"/>
      <c r="J41" s="794" t="s"/>
      <c r="K41" s="795" t="s"/>
      <c r="L41" s="730" t="s"/>
      <c r="M41" s="508" t="s"/>
      <c r="N41" s="508" t="s"/>
      <c r="O41" s="508" t="s"/>
      <c r="P41" s="508" t="s"/>
      <c r="Q41" s="508" t="s"/>
      <c r="R41" s="508" t="s"/>
      <c r="S41" s="508" t="s"/>
      <c r="T41" s="508" t="s"/>
      <c r="U41" s="508" t="s"/>
      <c r="V41" s="508" t="s"/>
      <c r="W41" s="508" t="s"/>
      <c r="X41" s="508" t="s"/>
      <c r="Y41" s="508" t="s"/>
    </row>
    <row r="42" spans="1:25" ht="27.75" customHeight="true">
      <c r="A42" s="770" t="s"/>
      <c r="B42" s="770" t="s"/>
      <c r="C42" s="770" t="s"/>
      <c r="D42" s="792" t="s">
        <v>47</v>
      </c>
      <c r="E42" s="797" t="s">
        <v>60</v>
      </c>
      <c r="F42" s="792">
        <v>1</v>
      </c>
      <c r="G42" s="792" t="s">
        <v>30</v>
      </c>
      <c r="H42" s="799" t="s">
        <v>155</v>
      </c>
      <c r="I42" s="794" t="s"/>
      <c r="J42" s="794" t="s"/>
      <c r="K42" s="795" t="s"/>
      <c r="L42" s="801" t="s"/>
      <c r="M42" s="508" t="s"/>
      <c r="N42" s="508" t="s"/>
      <c r="O42" s="508" t="s"/>
      <c r="P42" s="508" t="s"/>
      <c r="Q42" s="508" t="s"/>
      <c r="R42" s="508" t="s"/>
      <c r="S42" s="508" t="s"/>
      <c r="T42" s="508" t="s"/>
      <c r="U42" s="508" t="s"/>
      <c r="V42" s="508" t="s"/>
      <c r="W42" s="508" t="s"/>
      <c r="X42" s="508" t="s"/>
      <c r="Y42" s="508" t="s"/>
    </row>
    <row r="43" spans="1:25" ht="27.75" customHeight="true">
      <c r="A43" s="770" t="s"/>
      <c r="B43" s="770" t="s"/>
      <c r="C43" s="770" t="s"/>
      <c r="D43" s="792" t="s">
        <v>44</v>
      </c>
      <c r="E43" s="797" t="s">
        <v>156</v>
      </c>
      <c r="F43" s="792">
        <v>1</v>
      </c>
      <c r="G43" s="792" t="s">
        <v>30</v>
      </c>
      <c r="H43" s="798" t="s">
        <v>157</v>
      </c>
      <c r="I43" s="794" t="s"/>
      <c r="J43" s="794" t="s"/>
      <c r="K43" s="795" t="s"/>
      <c r="L43" s="801" t="s"/>
      <c r="M43" s="508" t="s"/>
      <c r="N43" s="508" t="s"/>
      <c r="O43" s="508" t="s"/>
      <c r="P43" s="508" t="s"/>
      <c r="Q43" s="508" t="s"/>
      <c r="R43" s="508" t="s"/>
      <c r="S43" s="508" t="s"/>
      <c r="T43" s="508" t="s"/>
      <c r="U43" s="508" t="s"/>
      <c r="V43" s="508" t="s"/>
      <c r="W43" s="508" t="s"/>
      <c r="X43" s="508" t="s"/>
      <c r="Y43" s="508" t="s"/>
    </row>
    <row r="44" spans="1:25" ht="27.75" customHeight="true">
      <c r="A44" s="770" t="s"/>
      <c r="B44" s="770" t="s"/>
      <c r="C44" s="770" t="s"/>
      <c r="D44" s="792" t="s">
        <v>20</v>
      </c>
      <c r="E44" s="797" t="s">
        <v>158</v>
      </c>
      <c r="F44" s="792">
        <v>2</v>
      </c>
      <c r="G44" s="792" t="s">
        <v>35</v>
      </c>
      <c r="H44" s="798" t="s">
        <v>159</v>
      </c>
      <c r="I44" s="794" t="s"/>
      <c r="J44" s="794" t="s"/>
      <c r="K44" s="795" t="s"/>
      <c r="L44" s="801" t="s"/>
      <c r="M44" s="508" t="s"/>
      <c r="N44" s="508" t="s"/>
      <c r="O44" s="508" t="s"/>
      <c r="P44" s="508" t="s"/>
      <c r="Q44" s="508" t="s"/>
      <c r="R44" s="508" t="s"/>
      <c r="S44" s="508" t="s"/>
      <c r="T44" s="508" t="s"/>
      <c r="U44" s="508" t="s"/>
      <c r="V44" s="508" t="s"/>
      <c r="W44" s="508" t="s"/>
      <c r="X44" s="508" t="s"/>
      <c r="Y44" s="508" t="s"/>
    </row>
    <row r="45" spans="1:25" ht="27.75" customHeight="true">
      <c r="A45" s="802" t="s"/>
      <c r="B45" s="803" t="s"/>
      <c r="C45" s="803" t="s"/>
      <c r="D45" s="804" t="s">
        <v>44</v>
      </c>
      <c r="E45" s="805" t="s">
        <v>160</v>
      </c>
      <c r="F45" s="804">
        <v>1</v>
      </c>
      <c r="G45" s="804" t="s">
        <v>35</v>
      </c>
      <c r="H45" s="806" t="s">
        <v>161</v>
      </c>
      <c r="I45" s="807" t="s"/>
      <c r="J45" s="807" t="s"/>
      <c r="K45" s="795" t="s"/>
      <c r="L45" s="801" t="s"/>
      <c r="M45" s="508" t="s"/>
      <c r="N45" s="508" t="s"/>
      <c r="O45" s="508" t="s"/>
      <c r="P45" s="508" t="s"/>
      <c r="Q45" s="508" t="s"/>
      <c r="R45" s="508" t="s"/>
      <c r="S45" s="508" t="s"/>
      <c r="T45" s="508" t="s"/>
      <c r="U45" s="508" t="s"/>
      <c r="V45" s="508" t="s"/>
      <c r="W45" s="508" t="s"/>
      <c r="X45" s="508" t="s"/>
      <c r="Y45" s="508" t="s"/>
    </row>
    <row r="46" spans="1:25" ht="27.75" customHeight="true">
      <c r="A46" s="802" t="s"/>
      <c r="B46" s="803" t="s"/>
      <c r="C46" s="803" t="s"/>
      <c r="D46" s="804" t="s">
        <v>20</v>
      </c>
      <c r="E46" s="805" t="s">
        <v>60</v>
      </c>
      <c r="F46" s="804">
        <v>1</v>
      </c>
      <c r="G46" s="804" t="s">
        <v>30</v>
      </c>
      <c r="H46" s="806" t="s">
        <v>162</v>
      </c>
      <c r="I46" s="807" t="s"/>
      <c r="J46" s="807" t="s"/>
      <c r="K46" s="795" t="s"/>
      <c r="L46" s="801" t="s"/>
      <c r="M46" s="508" t="s"/>
      <c r="N46" s="508" t="s"/>
      <c r="O46" s="508" t="s"/>
      <c r="P46" s="508" t="s"/>
      <c r="Q46" s="508" t="s"/>
      <c r="R46" s="508" t="s"/>
      <c r="S46" s="508" t="s"/>
      <c r="T46" s="508" t="s"/>
      <c r="U46" s="508" t="s"/>
      <c r="V46" s="508" t="s"/>
      <c r="W46" s="508" t="s"/>
      <c r="X46" s="508" t="s"/>
      <c r="Y46" s="508" t="s"/>
    </row>
    <row r="47" spans="1:25" ht="27.75" customHeight="true">
      <c r="A47" s="802" t="s"/>
      <c r="B47" s="803" t="s"/>
      <c r="C47" s="803" t="s"/>
      <c r="D47" s="804" t="s">
        <v>44</v>
      </c>
      <c r="E47" s="805" t="s">
        <v>56</v>
      </c>
      <c r="F47" s="804">
        <v>1</v>
      </c>
      <c r="G47" s="804" t="s">
        <v>30</v>
      </c>
      <c r="H47" s="806" t="s">
        <v>162</v>
      </c>
      <c r="I47" s="807" t="s"/>
      <c r="J47" s="807" t="s"/>
      <c r="K47" s="795" t="s"/>
      <c r="L47" s="801" t="s"/>
      <c r="M47" s="508" t="s"/>
      <c r="N47" s="508" t="s"/>
      <c r="O47" s="508" t="s"/>
      <c r="P47" s="508" t="s"/>
      <c r="Q47" s="508" t="s"/>
      <c r="R47" s="508" t="s"/>
      <c r="S47" s="508" t="s"/>
      <c r="T47" s="508" t="s"/>
      <c r="U47" s="508" t="s"/>
      <c r="V47" s="508" t="s"/>
      <c r="W47" s="508" t="s"/>
      <c r="X47" s="508" t="s"/>
      <c r="Y47" s="508" t="s"/>
    </row>
    <row r="48" spans="1:25" hidden="true">
      <c r="A48" s="808" t="s">
        <v>71</v>
      </c>
      <c r="B48" s="809">
        <v>21</v>
      </c>
      <c r="C48" s="809">
        <v>20</v>
      </c>
      <c r="D48" s="810" t="s">
        <v>20</v>
      </c>
      <c r="E48" s="811" t="s">
        <v>102</v>
      </c>
      <c r="F48" s="812">
        <v>1</v>
      </c>
      <c r="G48" s="812" t="s">
        <v>30</v>
      </c>
      <c r="H48" s="813" t="s">
        <v>163</v>
      </c>
      <c r="I48" s="814" t="s"/>
      <c r="J48" s="814" t="s"/>
      <c r="K48" s="815" t="s"/>
      <c r="L48" s="816" t="s"/>
      <c r="M48" s="508" t="s"/>
      <c r="N48" s="508" t="s"/>
      <c r="O48" s="508" t="s"/>
      <c r="P48" s="508" t="s"/>
      <c r="Q48" s="508" t="s"/>
      <c r="R48" s="508" t="s"/>
      <c r="S48" s="508" t="s"/>
      <c r="T48" s="508" t="s"/>
      <c r="U48" s="508" t="s"/>
      <c r="V48" s="508" t="s"/>
      <c r="W48" s="508" t="s"/>
      <c r="X48" s="508" t="s"/>
      <c r="Y48" s="508" t="s"/>
    </row>
    <row r="49" spans="1:25" ht="27.75" hidden="true" customHeight="true">
      <c r="A49" s="770" t="s"/>
      <c r="B49" s="770" t="s"/>
      <c r="C49" s="770" t="s"/>
      <c r="D49" s="810" t="s">
        <v>20</v>
      </c>
      <c r="E49" s="811" t="s">
        <v>164</v>
      </c>
      <c r="F49" s="812">
        <v>1</v>
      </c>
      <c r="G49" s="812" t="s">
        <v>30</v>
      </c>
      <c r="H49" s="813" t="s">
        <v>165</v>
      </c>
      <c r="I49" s="814" t="s"/>
      <c r="J49" s="814" t="s"/>
      <c r="K49" s="815" t="s"/>
      <c r="L49" s="729" t="s"/>
      <c r="M49" s="508" t="s"/>
      <c r="N49" s="508" t="s"/>
      <c r="O49" s="508" t="s"/>
      <c r="P49" s="508" t="s"/>
      <c r="Q49" s="508" t="s"/>
      <c r="R49" s="508" t="s"/>
      <c r="S49" s="508" t="s"/>
      <c r="T49" s="508" t="s"/>
      <c r="U49" s="508" t="s"/>
      <c r="V49" s="508" t="s"/>
      <c r="W49" s="508" t="s"/>
      <c r="X49" s="508" t="s"/>
      <c r="Y49" s="508" t="s"/>
    </row>
    <row r="50" spans="1:25" hidden="true">
      <c r="A50" s="770" t="s"/>
      <c r="B50" s="770" t="s"/>
      <c r="C50" s="770" t="s"/>
      <c r="D50" s="817" t="s">
        <v>44</v>
      </c>
      <c r="E50" s="818" t="s">
        <v>166</v>
      </c>
      <c r="F50" s="819">
        <v>1</v>
      </c>
      <c r="G50" s="819" t="s">
        <v>30</v>
      </c>
      <c r="H50" s="820" t="s">
        <v>167</v>
      </c>
      <c r="I50" s="815" t="s"/>
      <c r="J50" s="815" t="s"/>
      <c r="K50" s="815" t="s"/>
      <c r="L50" s="729" t="s"/>
      <c r="M50" s="508" t="s"/>
      <c r="N50" s="508" t="s"/>
      <c r="O50" s="508" t="s"/>
      <c r="P50" s="508" t="s"/>
      <c r="Q50" s="508" t="s"/>
      <c r="R50" s="508" t="s"/>
      <c r="S50" s="508" t="s"/>
      <c r="T50" s="508" t="s"/>
      <c r="U50" s="508" t="s"/>
      <c r="V50" s="508" t="s"/>
      <c r="W50" s="508" t="s"/>
      <c r="X50" s="508" t="s"/>
      <c r="Y50" s="508" t="s"/>
    </row>
    <row r="51" spans="1:25" hidden="true">
      <c r="A51" s="770" t="s"/>
      <c r="B51" s="770" t="s"/>
      <c r="C51" s="770" t="s"/>
      <c r="D51" s="810" t="s">
        <v>20</v>
      </c>
      <c r="E51" s="811" t="s">
        <v>72</v>
      </c>
      <c r="F51" s="812">
        <v>1</v>
      </c>
      <c r="G51" s="812" t="s">
        <v>30</v>
      </c>
      <c r="H51" s="813" t="s">
        <v>168</v>
      </c>
      <c r="I51" s="814" t="s"/>
      <c r="J51" s="814" t="s"/>
      <c r="K51" s="815" t="s"/>
      <c r="L51" s="729" t="s"/>
      <c r="M51" s="508" t="s"/>
      <c r="N51" s="508" t="s"/>
      <c r="O51" s="508" t="s"/>
      <c r="P51" s="508" t="s"/>
      <c r="Q51" s="508" t="s"/>
      <c r="R51" s="508" t="s"/>
      <c r="S51" s="508" t="s"/>
      <c r="T51" s="508" t="s"/>
      <c r="U51" s="508" t="s"/>
      <c r="V51" s="508" t="s"/>
      <c r="W51" s="508" t="s"/>
      <c r="X51" s="508" t="s"/>
      <c r="Y51" s="508" t="s"/>
    </row>
    <row r="52" spans="1:25" ht="26.25" hidden="true" customHeight="true">
      <c r="A52" s="821" t="s"/>
      <c r="B52" s="822" t="s"/>
      <c r="C52" s="822" t="s"/>
      <c r="D52" s="810" t="s">
        <v>20</v>
      </c>
      <c r="E52" s="818" t="s">
        <v>80</v>
      </c>
      <c r="F52" s="819">
        <v>1</v>
      </c>
      <c r="G52" s="819" t="s">
        <v>30</v>
      </c>
      <c r="H52" s="820" t="s">
        <v>169</v>
      </c>
      <c r="I52" s="815" t="s"/>
      <c r="J52" s="815" t="s"/>
      <c r="K52" s="815" t="s"/>
      <c r="L52" s="823" t="s"/>
      <c r="M52" s="508" t="s"/>
      <c r="N52" s="508" t="s"/>
      <c r="O52" s="508" t="s"/>
      <c r="P52" s="508" t="s"/>
      <c r="Q52" s="508" t="s"/>
      <c r="R52" s="508" t="s"/>
      <c r="S52" s="508" t="s"/>
      <c r="T52" s="508" t="s"/>
      <c r="U52" s="508" t="s"/>
      <c r="V52" s="508" t="s"/>
      <c r="W52" s="508" t="s"/>
      <c r="X52" s="508" t="s"/>
      <c r="Y52" s="508" t="s"/>
    </row>
    <row r="53" spans="1:25" ht="55.5" hidden="true" customHeight="true">
      <c r="A53" s="824" t="s"/>
      <c r="B53" s="824" t="s"/>
      <c r="C53" s="824" t="s"/>
      <c r="D53" s="817" t="s">
        <v>47</v>
      </c>
      <c r="E53" s="818" t="s">
        <v>170</v>
      </c>
      <c r="F53" s="819">
        <v>1</v>
      </c>
      <c r="G53" s="819" t="s">
        <v>30</v>
      </c>
      <c r="H53" s="820" t="s">
        <v>171</v>
      </c>
      <c r="I53" s="815" t="s"/>
      <c r="J53" s="815" t="s"/>
      <c r="K53" s="815" t="s"/>
      <c r="L53" s="730" t="s"/>
      <c r="M53" s="508" t="s"/>
      <c r="N53" s="508" t="s"/>
      <c r="O53" s="508" t="s"/>
      <c r="P53" s="508" t="s"/>
      <c r="Q53" s="508" t="s"/>
      <c r="R53" s="508" t="s"/>
      <c r="S53" s="508" t="s"/>
      <c r="T53" s="508" t="s"/>
      <c r="U53" s="508" t="s"/>
      <c r="V53" s="508" t="s"/>
      <c r="W53" s="508" t="s"/>
      <c r="X53" s="508" t="s"/>
      <c r="Y53" s="508" t="s"/>
    </row>
    <row r="54" spans="1:25" hidden="true">
      <c r="A54" s="825" t="s">
        <v>172</v>
      </c>
      <c r="B54" s="826">
        <v>7</v>
      </c>
      <c r="C54" s="826">
        <v>7</v>
      </c>
      <c r="D54" s="825" t="s"/>
      <c r="E54" s="826" t="s"/>
      <c r="F54" s="827" t="s"/>
      <c r="G54" s="827" t="s"/>
      <c r="H54" s="828" t="s"/>
      <c r="I54" s="829" t="s"/>
      <c r="J54" s="829" t="s"/>
      <c r="K54" s="829" t="s"/>
      <c r="L54" s="830">
        <v>7</v>
      </c>
      <c r="M54" s="508" t="s"/>
      <c r="N54" s="508" t="s"/>
      <c r="O54" s="508" t="s"/>
      <c r="P54" s="508" t="s"/>
      <c r="Q54" s="508" t="s"/>
      <c r="R54" s="508" t="s"/>
      <c r="S54" s="508" t="s"/>
      <c r="T54" s="508" t="s"/>
      <c r="U54" s="508" t="s"/>
      <c r="V54" s="508" t="s"/>
      <c r="W54" s="508" t="s"/>
      <c r="X54" s="508" t="s"/>
      <c r="Y54" s="508" t="s"/>
    </row>
    <row r="55" spans="1:25" hidden="true">
      <c r="A55" s="831" t="s"/>
      <c r="B55" s="832" t="s"/>
      <c r="C55" s="832">
        <f>=SUM(C4:C54)</f>
        <v>317</v>
      </c>
      <c r="D55" s="831" t="s"/>
      <c r="E55" s="832" t="s"/>
      <c r="F55" s="833">
        <f>=SUM(F4:F53)</f>
        <v>61</v>
      </c>
      <c r="G55" s="833" t="s"/>
      <c r="H55" s="834" t="s"/>
      <c r="I55" s="835" t="s"/>
      <c r="J55" s="835" t="s"/>
      <c r="K55" s="835" t="s"/>
      <c r="L55" s="836">
        <f>=SUM(L4:L54)</f>
        <v>7</v>
      </c>
      <c r="M55" s="508" t="s"/>
      <c r="N55" s="508" t="s"/>
      <c r="O55" s="508" t="s"/>
      <c r="P55" s="508" t="s"/>
      <c r="Q55" s="508" t="s"/>
      <c r="R55" s="508" t="s"/>
      <c r="S55" s="508" t="s"/>
      <c r="T55" s="508" t="s"/>
      <c r="U55" s="508" t="s"/>
      <c r="V55" s="508" t="s"/>
      <c r="W55" s="508" t="s"/>
      <c r="X55" s="508" t="s"/>
      <c r="Y55" s="508" t="s"/>
    </row>
    <row r="56" spans="1:25">
      <c r="A56" s="680" t="s"/>
      <c r="B56" s="837" t="s"/>
      <c r="C56" s="837" t="s"/>
      <c r="D56" s="838" t="s"/>
      <c r="E56" s="837" t="s"/>
      <c r="F56" s="839" t="s"/>
      <c r="G56" s="839" t="s"/>
      <c r="H56" s="840" t="s"/>
      <c r="I56" s="508" t="s"/>
      <c r="J56" s="508" t="s"/>
      <c r="K56" s="508" t="s"/>
      <c r="L56" s="508" t="s"/>
      <c r="M56" s="508" t="s"/>
      <c r="N56" s="508" t="s"/>
      <c r="O56" s="508" t="s"/>
      <c r="P56" s="508" t="s"/>
      <c r="Q56" s="508" t="s"/>
      <c r="R56" s="508" t="s"/>
      <c r="S56" s="508" t="s"/>
      <c r="T56" s="508" t="s"/>
      <c r="U56" s="508" t="s"/>
      <c r="V56" s="508" t="s"/>
      <c r="W56" s="508" t="s"/>
      <c r="X56" s="508" t="s"/>
      <c r="Y56" s="508" t="s"/>
    </row>
    <row r="57" spans="1:25">
      <c r="A57" s="680" t="s"/>
      <c r="B57" s="837" t="s"/>
      <c r="C57" s="837" t="s"/>
      <c r="D57" s="838" t="s"/>
      <c r="E57" s="837" t="s"/>
      <c r="F57" s="839" t="s"/>
      <c r="G57" s="839" t="s"/>
      <c r="H57" s="840" t="s"/>
      <c r="I57" s="508" t="s"/>
      <c r="J57" s="508" t="s"/>
      <c r="K57" s="508" t="s"/>
      <c r="L57" s="508" t="s"/>
      <c r="M57" s="508" t="s"/>
      <c r="N57" s="508" t="s"/>
      <c r="O57" s="508" t="s"/>
      <c r="P57" s="508" t="s"/>
      <c r="Q57" s="508" t="s"/>
      <c r="R57" s="508" t="s"/>
      <c r="S57" s="508" t="s"/>
      <c r="T57" s="508" t="s"/>
      <c r="U57" s="508" t="s"/>
      <c r="V57" s="508" t="s"/>
      <c r="W57" s="508" t="s"/>
      <c r="X57" s="508" t="s"/>
      <c r="Y57" s="508" t="s"/>
    </row>
    <row r="58" spans="1:25">
      <c r="A58" s="680" t="s"/>
      <c r="B58" s="841" t="s"/>
      <c r="C58" s="841" t="s"/>
      <c r="D58" s="838" t="s"/>
      <c r="E58" s="837" t="s"/>
      <c r="F58" s="839" t="s"/>
      <c r="G58" s="839" t="s"/>
      <c r="H58" s="840" t="s"/>
      <c r="I58" s="508" t="s"/>
      <c r="J58" s="508" t="s"/>
      <c r="K58" s="508" t="s"/>
      <c r="L58" s="508" t="s"/>
      <c r="M58" s="508" t="s"/>
      <c r="N58" s="508" t="s"/>
      <c r="O58" s="508" t="s"/>
      <c r="P58" s="508" t="s"/>
      <c r="Q58" s="508" t="s"/>
      <c r="R58" s="508" t="s"/>
      <c r="S58" s="508" t="s"/>
      <c r="T58" s="508" t="s"/>
      <c r="U58" s="508" t="s"/>
      <c r="V58" s="508" t="s"/>
      <c r="W58" s="508" t="s"/>
      <c r="X58" s="508" t="s"/>
      <c r="Y58" s="508" t="s"/>
    </row>
    <row r="59" spans="1:25">
      <c r="A59" s="680" t="s"/>
      <c r="B59" s="841" t="s"/>
      <c r="C59" s="841" t="s"/>
      <c r="D59" s="842" t="s"/>
      <c r="E59" s="841" t="s"/>
      <c r="F59" s="843" t="s"/>
      <c r="G59" s="843" t="s"/>
      <c r="H59" s="844" t="s"/>
      <c r="I59" s="508" t="s"/>
      <c r="J59" s="508" t="s"/>
      <c r="K59" s="508" t="s"/>
      <c r="L59" s="508" t="s"/>
      <c r="M59" s="508" t="s"/>
      <c r="N59" s="508" t="s"/>
      <c r="O59" s="508" t="s"/>
      <c r="P59" s="508" t="s"/>
      <c r="Q59" s="508" t="s"/>
      <c r="R59" s="508" t="s"/>
      <c r="S59" s="508" t="s"/>
      <c r="T59" s="508" t="s"/>
      <c r="U59" s="508" t="s"/>
      <c r="V59" s="508" t="s"/>
      <c r="W59" s="508" t="s"/>
      <c r="X59" s="508" t="s"/>
      <c r="Y59" s="508" t="s"/>
    </row>
    <row r="60" spans="1:25">
      <c r="A60" s="680" t="s"/>
      <c r="B60" s="837" t="s"/>
      <c r="C60" s="837" t="s"/>
      <c r="D60" s="838" t="s"/>
      <c r="E60" s="837" t="s"/>
      <c r="F60" s="839" t="s"/>
      <c r="G60" s="839" t="s"/>
      <c r="H60" s="840" t="s"/>
      <c r="I60" s="508" t="s"/>
      <c r="J60" s="508" t="s"/>
      <c r="K60" s="508" t="s"/>
      <c r="L60" s="508" t="s"/>
      <c r="M60" s="508" t="s"/>
      <c r="N60" s="508" t="s"/>
      <c r="O60" s="508" t="s"/>
      <c r="P60" s="508" t="s"/>
      <c r="Q60" s="508" t="s"/>
      <c r="R60" s="508" t="s"/>
      <c r="S60" s="508" t="s"/>
      <c r="T60" s="508" t="s"/>
      <c r="U60" s="508" t="s"/>
      <c r="V60" s="508" t="s"/>
      <c r="W60" s="508" t="s"/>
      <c r="X60" s="508" t="s"/>
      <c r="Y60" s="508" t="s"/>
    </row>
    <row r="61" spans="1:25">
      <c r="A61" s="680" t="s"/>
      <c r="B61" s="837" t="s"/>
      <c r="C61" s="837" t="s"/>
      <c r="D61" s="838" t="s"/>
      <c r="E61" s="837" t="s"/>
      <c r="F61" s="839" t="s"/>
      <c r="G61" s="839" t="s"/>
      <c r="H61" s="840" t="s"/>
      <c r="I61" s="508" t="s"/>
      <c r="J61" s="508" t="s"/>
      <c r="K61" s="508" t="s"/>
      <c r="L61" s="508" t="s"/>
      <c r="M61" s="508" t="s"/>
      <c r="N61" s="508" t="s"/>
      <c r="O61" s="508" t="s"/>
      <c r="P61" s="508" t="s"/>
      <c r="Q61" s="508" t="s"/>
      <c r="R61" s="508" t="s"/>
      <c r="S61" s="508" t="s"/>
      <c r="T61" s="508" t="s"/>
      <c r="U61" s="508" t="s"/>
      <c r="V61" s="508" t="s"/>
      <c r="W61" s="508" t="s"/>
      <c r="X61" s="508" t="s"/>
      <c r="Y61" s="508" t="s"/>
    </row>
    <row r="62" spans="1:25">
      <c r="A62" s="680" t="s"/>
      <c r="B62" s="837" t="s"/>
      <c r="C62" s="837" t="s"/>
      <c r="D62" s="838" t="s"/>
      <c r="E62" s="837" t="s"/>
      <c r="F62" s="839" t="s"/>
      <c r="G62" s="839" t="s"/>
      <c r="H62" s="840" t="s"/>
      <c r="I62" s="508" t="s"/>
      <c r="J62" s="508" t="s"/>
      <c r="K62" s="508" t="s"/>
      <c r="L62" s="508" t="s"/>
      <c r="M62" s="508" t="s"/>
      <c r="N62" s="508" t="s"/>
      <c r="O62" s="508" t="s"/>
      <c r="P62" s="508" t="s"/>
      <c r="Q62" s="508" t="s"/>
      <c r="R62" s="508" t="s"/>
      <c r="S62" s="508" t="s"/>
      <c r="T62" s="508" t="s"/>
      <c r="U62" s="508" t="s"/>
      <c r="V62" s="508" t="s"/>
      <c r="W62" s="508" t="s"/>
      <c r="X62" s="508" t="s"/>
      <c r="Y62" s="508" t="s"/>
    </row>
    <row r="63" spans="1:25">
      <c r="A63" s="680" t="s"/>
      <c r="B63" s="837" t="s"/>
      <c r="C63" s="837" t="s"/>
      <c r="D63" s="838" t="s"/>
      <c r="E63" s="837" t="s"/>
      <c r="F63" s="839" t="s"/>
      <c r="G63" s="839" t="s"/>
      <c r="H63" s="840" t="s"/>
      <c r="I63" s="508" t="s"/>
      <c r="J63" s="508" t="s"/>
      <c r="K63" s="508" t="s"/>
      <c r="L63" s="508" t="s"/>
      <c r="M63" s="508" t="s"/>
      <c r="N63" s="508" t="s"/>
      <c r="O63" s="508" t="s"/>
      <c r="P63" s="508" t="s"/>
      <c r="Q63" s="508" t="s"/>
      <c r="R63" s="508" t="s"/>
      <c r="S63" s="508" t="s"/>
      <c r="T63" s="508" t="s"/>
      <c r="U63" s="508" t="s"/>
      <c r="V63" s="508" t="s"/>
      <c r="W63" s="508" t="s"/>
      <c r="X63" s="508" t="s"/>
      <c r="Y63" s="508" t="s"/>
    </row>
    <row r="64" spans="1:25">
      <c r="A64" s="680" t="s"/>
      <c r="B64" s="837" t="s"/>
      <c r="C64" s="837" t="s"/>
      <c r="D64" s="838" t="s"/>
      <c r="E64" s="837" t="s"/>
      <c r="F64" s="839" t="s"/>
      <c r="G64" s="839" t="s"/>
      <c r="H64" s="840" t="s"/>
      <c r="I64" s="508" t="s"/>
      <c r="J64" s="508" t="s"/>
      <c r="K64" s="508" t="s"/>
      <c r="L64" s="508" t="s"/>
      <c r="M64" s="508" t="s"/>
      <c r="N64" s="508" t="s"/>
      <c r="O64" s="508" t="s"/>
      <c r="P64" s="508" t="s"/>
      <c r="Q64" s="508" t="s"/>
      <c r="R64" s="508" t="s"/>
      <c r="S64" s="508" t="s"/>
      <c r="T64" s="508" t="s"/>
      <c r="U64" s="508" t="s"/>
      <c r="V64" s="508" t="s"/>
      <c r="W64" s="508" t="s"/>
      <c r="X64" s="508" t="s"/>
      <c r="Y64" s="508" t="s"/>
    </row>
    <row r="65" spans="1:25">
      <c r="A65" s="680" t="s"/>
      <c r="B65" s="837" t="s"/>
      <c r="C65" s="837" t="s"/>
      <c r="D65" s="838" t="s"/>
      <c r="E65" s="837" t="s"/>
      <c r="F65" s="839" t="s"/>
      <c r="G65" s="839" t="s"/>
      <c r="H65" s="840" t="s"/>
      <c r="I65" s="508" t="s"/>
      <c r="J65" s="508" t="s"/>
      <c r="K65" s="508" t="s"/>
      <c r="L65" s="508" t="s"/>
      <c r="M65" s="508" t="s"/>
      <c r="N65" s="508" t="s"/>
      <c r="O65" s="508" t="s"/>
      <c r="P65" s="508" t="s"/>
      <c r="Q65" s="508" t="s"/>
      <c r="R65" s="508" t="s"/>
      <c r="S65" s="508" t="s"/>
      <c r="T65" s="508" t="s"/>
      <c r="U65" s="508" t="s"/>
      <c r="V65" s="508" t="s"/>
      <c r="W65" s="508" t="s"/>
      <c r="X65" s="508" t="s"/>
      <c r="Y65" s="508" t="s"/>
    </row>
    <row r="66" spans="1:25">
      <c r="A66" s="680" t="s"/>
      <c r="B66" s="837" t="s"/>
      <c r="C66" s="837" t="s"/>
      <c r="D66" s="838" t="s"/>
      <c r="E66" s="837" t="s"/>
      <c r="F66" s="839" t="s"/>
      <c r="G66" s="839" t="s"/>
      <c r="H66" s="840" t="s"/>
      <c r="I66" s="508" t="s"/>
      <c r="J66" s="508" t="s"/>
      <c r="K66" s="508" t="s"/>
      <c r="L66" s="508" t="s"/>
      <c r="M66" s="508" t="s"/>
      <c r="N66" s="508" t="s"/>
      <c r="O66" s="508" t="s"/>
      <c r="P66" s="508" t="s"/>
      <c r="Q66" s="508" t="s"/>
      <c r="R66" s="508" t="s"/>
      <c r="S66" s="508" t="s"/>
      <c r="T66" s="508" t="s"/>
      <c r="U66" s="508" t="s"/>
      <c r="V66" s="508" t="s"/>
      <c r="W66" s="508" t="s"/>
      <c r="X66" s="508" t="s"/>
      <c r="Y66" s="508" t="s"/>
    </row>
    <row r="67" spans="1:25">
      <c r="A67" s="680" t="s"/>
      <c r="B67" s="837" t="s"/>
      <c r="C67" s="837" t="s"/>
      <c r="D67" s="838" t="s"/>
      <c r="E67" s="837" t="s"/>
      <c r="F67" s="839" t="s"/>
      <c r="G67" s="839" t="s"/>
      <c r="H67" s="840" t="s"/>
      <c r="I67" s="508" t="s"/>
      <c r="J67" s="508" t="s"/>
      <c r="K67" s="508" t="s"/>
      <c r="L67" s="508" t="s"/>
      <c r="M67" s="508" t="s"/>
      <c r="N67" s="508" t="s"/>
      <c r="O67" s="508" t="s"/>
      <c r="P67" s="508" t="s"/>
      <c r="Q67" s="508" t="s"/>
      <c r="R67" s="508" t="s"/>
      <c r="S67" s="508" t="s"/>
      <c r="T67" s="508" t="s"/>
      <c r="U67" s="508" t="s"/>
      <c r="V67" s="508" t="s"/>
      <c r="W67" s="508" t="s"/>
      <c r="X67" s="508" t="s"/>
      <c r="Y67" s="508" t="s"/>
    </row>
    <row r="68" spans="1:25">
      <c r="A68" s="680" t="s"/>
      <c r="B68" s="837" t="s"/>
      <c r="C68" s="837" t="s"/>
      <c r="D68" s="838" t="s"/>
      <c r="E68" s="837" t="s"/>
      <c r="F68" s="839" t="s"/>
      <c r="G68" s="839" t="s"/>
      <c r="H68" s="840" t="s"/>
      <c r="I68" s="508" t="s"/>
      <c r="J68" s="508" t="s"/>
      <c r="K68" s="508" t="s"/>
      <c r="L68" s="508" t="s"/>
      <c r="M68" s="508" t="s"/>
      <c r="N68" s="508" t="s"/>
      <c r="O68" s="508" t="s"/>
      <c r="P68" s="508" t="s"/>
      <c r="Q68" s="508" t="s"/>
      <c r="R68" s="508" t="s"/>
      <c r="S68" s="508" t="s"/>
      <c r="T68" s="508" t="s"/>
      <c r="U68" s="508" t="s"/>
      <c r="V68" s="508" t="s"/>
      <c r="W68" s="508" t="s"/>
      <c r="X68" s="508" t="s"/>
      <c r="Y68" s="508" t="s"/>
    </row>
    <row r="69" spans="1:25">
      <c r="A69" s="680" t="s"/>
      <c r="B69" s="837" t="s"/>
      <c r="C69" s="837" t="s"/>
      <c r="D69" s="838" t="s"/>
      <c r="E69" s="837" t="s"/>
      <c r="F69" s="839" t="s"/>
      <c r="G69" s="839" t="s"/>
      <c r="H69" s="840" t="s"/>
      <c r="I69" s="508" t="s"/>
      <c r="J69" s="508" t="s"/>
      <c r="K69" s="508" t="s"/>
      <c r="L69" s="508" t="s"/>
      <c r="M69" s="508" t="s"/>
      <c r="N69" s="508" t="s"/>
      <c r="O69" s="508" t="s"/>
      <c r="P69" s="508" t="s"/>
      <c r="Q69" s="508" t="s"/>
      <c r="R69" s="508" t="s"/>
      <c r="S69" s="508" t="s"/>
      <c r="T69" s="508" t="s"/>
      <c r="U69" s="508" t="s"/>
      <c r="V69" s="508" t="s"/>
      <c r="W69" s="508" t="s"/>
      <c r="X69" s="508" t="s"/>
      <c r="Y69" s="508" t="s"/>
    </row>
    <row r="70" spans="1:25">
      <c r="A70" s="680" t="s"/>
      <c r="B70" s="837" t="s"/>
      <c r="C70" s="837" t="s"/>
      <c r="D70" s="838" t="s"/>
      <c r="E70" s="837" t="s"/>
      <c r="F70" s="839" t="s"/>
      <c r="G70" s="839" t="s"/>
      <c r="H70" s="840" t="s"/>
      <c r="I70" s="508" t="s"/>
      <c r="J70" s="508" t="s"/>
      <c r="K70" s="508" t="s"/>
      <c r="L70" s="508" t="s"/>
      <c r="M70" s="508" t="s"/>
      <c r="N70" s="508" t="s"/>
      <c r="O70" s="508" t="s"/>
      <c r="P70" s="508" t="s"/>
      <c r="Q70" s="508" t="s"/>
      <c r="R70" s="508" t="s"/>
      <c r="S70" s="508" t="s"/>
      <c r="T70" s="508" t="s"/>
      <c r="U70" s="508" t="s"/>
      <c r="V70" s="508" t="s"/>
      <c r="W70" s="508" t="s"/>
      <c r="X70" s="508" t="s"/>
      <c r="Y70" s="508" t="s"/>
    </row>
    <row r="71" spans="1:25">
      <c r="A71" s="680" t="s"/>
      <c r="B71" s="837" t="s"/>
      <c r="C71" s="837" t="s"/>
      <c r="D71" s="838" t="s"/>
      <c r="E71" s="837" t="s"/>
      <c r="F71" s="839" t="s"/>
      <c r="G71" s="839" t="s"/>
      <c r="H71" s="840" t="s"/>
      <c r="I71" s="508" t="s"/>
      <c r="J71" s="508" t="s"/>
      <c r="K71" s="508" t="s"/>
      <c r="L71" s="508" t="s"/>
      <c r="M71" s="508" t="s"/>
      <c r="N71" s="508" t="s"/>
      <c r="O71" s="508" t="s"/>
      <c r="P71" s="508" t="s"/>
      <c r="Q71" s="508" t="s"/>
      <c r="R71" s="508" t="s"/>
      <c r="S71" s="508" t="s"/>
      <c r="T71" s="508" t="s"/>
      <c r="U71" s="508" t="s"/>
      <c r="V71" s="508" t="s"/>
      <c r="W71" s="508" t="s"/>
      <c r="X71" s="508" t="s"/>
      <c r="Y71" s="508" t="s"/>
    </row>
    <row r="72" spans="1:25">
      <c r="A72" s="680" t="s"/>
      <c r="B72" s="837" t="s"/>
      <c r="C72" s="837" t="s"/>
      <c r="D72" s="838" t="s"/>
      <c r="E72" s="837" t="s"/>
      <c r="F72" s="839" t="s"/>
      <c r="G72" s="839" t="s"/>
      <c r="H72" s="840" t="s"/>
      <c r="I72" s="508" t="s"/>
      <c r="J72" s="508" t="s"/>
      <c r="K72" s="508" t="s"/>
      <c r="L72" s="508" t="s"/>
      <c r="M72" s="508" t="s"/>
      <c r="N72" s="508" t="s"/>
      <c r="O72" s="508" t="s"/>
      <c r="P72" s="508" t="s"/>
      <c r="Q72" s="508" t="s"/>
      <c r="R72" s="508" t="s"/>
      <c r="S72" s="508" t="s"/>
      <c r="T72" s="508" t="s"/>
      <c r="U72" s="508" t="s"/>
      <c r="V72" s="508" t="s"/>
      <c r="W72" s="508" t="s"/>
      <c r="X72" s="508" t="s"/>
      <c r="Y72" s="508" t="s"/>
    </row>
    <row r="73" spans="1:25">
      <c r="A73" s="680" t="s"/>
      <c r="B73" s="837" t="s"/>
      <c r="C73" s="837" t="s"/>
      <c r="D73" s="838" t="s"/>
      <c r="E73" s="837" t="s"/>
      <c r="F73" s="839" t="s"/>
      <c r="G73" s="839" t="s"/>
      <c r="H73" s="840" t="s"/>
      <c r="I73" s="508" t="s"/>
      <c r="J73" s="508" t="s"/>
      <c r="K73" s="508" t="s"/>
      <c r="L73" s="508" t="s"/>
      <c r="M73" s="508" t="s"/>
      <c r="N73" s="508" t="s"/>
      <c r="O73" s="508" t="s"/>
      <c r="P73" s="508" t="s"/>
      <c r="Q73" s="508" t="s"/>
      <c r="R73" s="508" t="s"/>
      <c r="S73" s="508" t="s"/>
      <c r="T73" s="508" t="s"/>
      <c r="U73" s="508" t="s"/>
      <c r="V73" s="508" t="s"/>
      <c r="W73" s="508" t="s"/>
      <c r="X73" s="508" t="s"/>
      <c r="Y73" s="508" t="s"/>
    </row>
    <row r="74" spans="1:25">
      <c r="A74" s="680" t="s"/>
      <c r="B74" s="837" t="s"/>
      <c r="C74" s="837" t="s"/>
      <c r="D74" s="838" t="s"/>
      <c r="E74" s="837" t="s"/>
      <c r="F74" s="839" t="s"/>
      <c r="G74" s="839" t="s"/>
      <c r="H74" s="840" t="s"/>
      <c r="I74" s="508" t="s"/>
      <c r="J74" s="508" t="s"/>
      <c r="K74" s="508" t="s"/>
      <c r="L74" s="508" t="s"/>
      <c r="M74" s="508" t="s"/>
      <c r="N74" s="508" t="s"/>
      <c r="O74" s="508" t="s"/>
      <c r="P74" s="508" t="s"/>
      <c r="Q74" s="508" t="s"/>
      <c r="R74" s="508" t="s"/>
      <c r="S74" s="508" t="s"/>
      <c r="T74" s="508" t="s"/>
      <c r="U74" s="508" t="s"/>
      <c r="V74" s="508" t="s"/>
      <c r="W74" s="508" t="s"/>
      <c r="X74" s="508" t="s"/>
      <c r="Y74" s="508" t="s"/>
    </row>
    <row r="75" spans="1:25">
      <c r="A75" s="680" t="s"/>
      <c r="B75" s="837" t="s"/>
      <c r="C75" s="837" t="s"/>
      <c r="D75" s="838" t="s"/>
      <c r="E75" s="837" t="s"/>
      <c r="F75" s="839" t="s"/>
      <c r="G75" s="839" t="s"/>
      <c r="H75" s="840" t="s"/>
      <c r="I75" s="508" t="s"/>
      <c r="J75" s="508" t="s"/>
      <c r="K75" s="508" t="s"/>
      <c r="L75" s="508" t="s"/>
      <c r="M75" s="508" t="s"/>
      <c r="N75" s="508" t="s"/>
      <c r="O75" s="508" t="s"/>
      <c r="P75" s="508" t="s"/>
      <c r="Q75" s="508" t="s"/>
      <c r="R75" s="508" t="s"/>
      <c r="S75" s="508" t="s"/>
      <c r="T75" s="508" t="s"/>
      <c r="U75" s="508" t="s"/>
      <c r="V75" s="508" t="s"/>
      <c r="W75" s="508" t="s"/>
      <c r="X75" s="508" t="s"/>
      <c r="Y75" s="508" t="s"/>
    </row>
    <row r="76" spans="1:25">
      <c r="A76" s="680" t="s"/>
      <c r="B76" s="837" t="s"/>
      <c r="C76" s="837" t="s"/>
      <c r="D76" s="838" t="s"/>
      <c r="E76" s="837" t="s"/>
      <c r="F76" s="839" t="s"/>
      <c r="G76" s="839" t="s"/>
      <c r="H76" s="840" t="s"/>
      <c r="I76" s="508" t="s"/>
      <c r="J76" s="508" t="s"/>
      <c r="K76" s="508" t="s"/>
      <c r="L76" s="508" t="s"/>
      <c r="M76" s="508" t="s"/>
      <c r="N76" s="508" t="s"/>
      <c r="O76" s="508" t="s"/>
      <c r="P76" s="508" t="s"/>
      <c r="Q76" s="508" t="s"/>
      <c r="R76" s="508" t="s"/>
      <c r="S76" s="508" t="s"/>
      <c r="T76" s="508" t="s"/>
      <c r="U76" s="508" t="s"/>
      <c r="V76" s="508" t="s"/>
      <c r="W76" s="508" t="s"/>
      <c r="X76" s="508" t="s"/>
      <c r="Y76" s="508" t="s"/>
    </row>
    <row r="77" spans="1:25">
      <c r="A77" s="680" t="s"/>
      <c r="B77" s="837" t="s"/>
      <c r="C77" s="837" t="s"/>
      <c r="D77" s="838" t="s"/>
      <c r="E77" s="837" t="s"/>
      <c r="F77" s="839" t="s"/>
      <c r="G77" s="839" t="s"/>
      <c r="H77" s="840" t="s"/>
      <c r="I77" s="508" t="s"/>
      <c r="J77" s="508" t="s"/>
      <c r="K77" s="508" t="s"/>
      <c r="L77" s="508" t="s"/>
      <c r="M77" s="508" t="s"/>
      <c r="N77" s="508" t="s"/>
      <c r="O77" s="508" t="s"/>
      <c r="P77" s="508" t="s"/>
      <c r="Q77" s="508" t="s"/>
      <c r="R77" s="508" t="s"/>
      <c r="S77" s="508" t="s"/>
      <c r="T77" s="508" t="s"/>
      <c r="U77" s="508" t="s"/>
      <c r="V77" s="508" t="s"/>
      <c r="W77" s="508" t="s"/>
      <c r="X77" s="508" t="s"/>
      <c r="Y77" s="508" t="s"/>
    </row>
    <row r="78" spans="1:25">
      <c r="A78" s="680" t="s"/>
      <c r="B78" s="837" t="s"/>
      <c r="C78" s="837" t="s"/>
      <c r="D78" s="838" t="s"/>
      <c r="E78" s="837" t="s"/>
      <c r="F78" s="839" t="s"/>
      <c r="G78" s="839" t="s"/>
      <c r="H78" s="840" t="s"/>
      <c r="I78" s="508" t="s"/>
      <c r="J78" s="508" t="s"/>
      <c r="K78" s="508" t="s"/>
      <c r="L78" s="508" t="s"/>
      <c r="M78" s="508" t="s"/>
      <c r="N78" s="508" t="s"/>
      <c r="O78" s="508" t="s"/>
      <c r="P78" s="508" t="s"/>
      <c r="Q78" s="508" t="s"/>
      <c r="R78" s="508" t="s"/>
      <c r="S78" s="508" t="s"/>
      <c r="T78" s="508" t="s"/>
      <c r="U78" s="508" t="s"/>
      <c r="V78" s="508" t="s"/>
      <c r="W78" s="508" t="s"/>
      <c r="X78" s="508" t="s"/>
      <c r="Y78" s="508" t="s"/>
    </row>
    <row r="79" spans="1:25">
      <c r="A79" s="680" t="s"/>
      <c r="B79" s="837" t="s"/>
      <c r="C79" s="837" t="s"/>
      <c r="D79" s="838" t="s"/>
      <c r="E79" s="837" t="s"/>
      <c r="F79" s="839" t="s"/>
      <c r="G79" s="839" t="s"/>
      <c r="H79" s="840" t="s"/>
      <c r="I79" s="508" t="s"/>
      <c r="J79" s="508" t="s"/>
      <c r="K79" s="508" t="s"/>
      <c r="L79" s="508" t="s"/>
      <c r="M79" s="508" t="s"/>
      <c r="N79" s="508" t="s"/>
      <c r="O79" s="508" t="s"/>
      <c r="P79" s="508" t="s"/>
      <c r="Q79" s="508" t="s"/>
      <c r="R79" s="508" t="s"/>
      <c r="S79" s="508" t="s"/>
      <c r="T79" s="508" t="s"/>
      <c r="U79" s="508" t="s"/>
      <c r="V79" s="508" t="s"/>
      <c r="W79" s="508" t="s"/>
      <c r="X79" s="508" t="s"/>
      <c r="Y79" s="508" t="s"/>
    </row>
    <row r="80" spans="1:25">
      <c r="A80" s="680" t="s"/>
      <c r="B80" s="837" t="s"/>
      <c r="C80" s="837" t="s"/>
      <c r="D80" s="838" t="s"/>
      <c r="E80" s="837" t="s"/>
      <c r="F80" s="839" t="s"/>
      <c r="G80" s="839" t="s"/>
      <c r="H80" s="840" t="s"/>
      <c r="I80" s="508" t="s"/>
      <c r="J80" s="508" t="s"/>
      <c r="K80" s="508" t="s"/>
      <c r="L80" s="508" t="s"/>
      <c r="M80" s="508" t="s"/>
      <c r="N80" s="508" t="s"/>
      <c r="O80" s="508" t="s"/>
      <c r="P80" s="508" t="s"/>
      <c r="Q80" s="508" t="s"/>
      <c r="R80" s="508" t="s"/>
      <c r="S80" s="508" t="s"/>
      <c r="T80" s="508" t="s"/>
      <c r="U80" s="508" t="s"/>
      <c r="V80" s="508" t="s"/>
      <c r="W80" s="508" t="s"/>
      <c r="X80" s="508" t="s"/>
      <c r="Y80" s="508" t="s"/>
    </row>
    <row r="81" spans="1:25">
      <c r="A81" s="680" t="s"/>
      <c r="B81" s="837" t="s"/>
      <c r="C81" s="837" t="s"/>
      <c r="D81" s="838" t="s"/>
      <c r="E81" s="837" t="s"/>
      <c r="F81" s="839" t="s"/>
      <c r="G81" s="839" t="s"/>
      <c r="H81" s="840" t="s"/>
      <c r="I81" s="508" t="s"/>
      <c r="J81" s="508" t="s"/>
      <c r="K81" s="508" t="s"/>
      <c r="L81" s="508" t="s"/>
      <c r="M81" s="508" t="s"/>
      <c r="N81" s="508" t="s"/>
      <c r="O81" s="508" t="s"/>
      <c r="P81" s="508" t="s"/>
      <c r="Q81" s="508" t="s"/>
      <c r="R81" s="508" t="s"/>
      <c r="S81" s="508" t="s"/>
      <c r="T81" s="508" t="s"/>
      <c r="U81" s="508" t="s"/>
      <c r="V81" s="508" t="s"/>
      <c r="W81" s="508" t="s"/>
      <c r="X81" s="508" t="s"/>
      <c r="Y81" s="508" t="s"/>
    </row>
    <row r="82" spans="1:25">
      <c r="A82" s="680" t="s"/>
      <c r="B82" s="837" t="s"/>
      <c r="C82" s="837" t="s"/>
      <c r="D82" s="838" t="s"/>
      <c r="E82" s="837" t="s"/>
      <c r="F82" s="839" t="s"/>
      <c r="G82" s="839" t="s"/>
      <c r="H82" s="840" t="s"/>
      <c r="I82" s="508" t="s"/>
      <c r="J82" s="508" t="s"/>
      <c r="K82" s="508" t="s"/>
      <c r="L82" s="508" t="s"/>
      <c r="M82" s="508" t="s"/>
      <c r="N82" s="508" t="s"/>
      <c r="O82" s="508" t="s"/>
      <c r="P82" s="508" t="s"/>
      <c r="Q82" s="508" t="s"/>
      <c r="R82" s="508" t="s"/>
      <c r="S82" s="508" t="s"/>
      <c r="T82" s="508" t="s"/>
      <c r="U82" s="508" t="s"/>
      <c r="V82" s="508" t="s"/>
      <c r="W82" s="508" t="s"/>
      <c r="X82" s="508" t="s"/>
      <c r="Y82" s="508" t="s"/>
    </row>
    <row r="83" spans="1:25">
      <c r="A83" s="680" t="s"/>
      <c r="B83" s="837" t="s"/>
      <c r="C83" s="837" t="s"/>
      <c r="D83" s="838" t="s"/>
      <c r="E83" s="837" t="s"/>
      <c r="F83" s="839" t="s"/>
      <c r="G83" s="839" t="s"/>
      <c r="H83" s="840" t="s"/>
      <c r="I83" s="508" t="s"/>
      <c r="J83" s="508" t="s"/>
      <c r="K83" s="508" t="s"/>
      <c r="L83" s="508" t="s"/>
      <c r="M83" s="508" t="s"/>
      <c r="N83" s="508" t="s"/>
      <c r="O83" s="508" t="s"/>
      <c r="P83" s="508" t="s"/>
      <c r="Q83" s="508" t="s"/>
      <c r="R83" s="508" t="s"/>
      <c r="S83" s="508" t="s"/>
      <c r="T83" s="508" t="s"/>
      <c r="U83" s="508" t="s"/>
      <c r="V83" s="508" t="s"/>
      <c r="W83" s="508" t="s"/>
      <c r="X83" s="508" t="s"/>
      <c r="Y83" s="508" t="s"/>
    </row>
    <row r="84" spans="1:25">
      <c r="A84" s="680" t="s"/>
      <c r="B84" s="837" t="s"/>
      <c r="C84" s="837" t="s"/>
      <c r="D84" s="838" t="s"/>
      <c r="E84" s="837" t="s"/>
      <c r="F84" s="839" t="s"/>
      <c r="G84" s="839" t="s"/>
      <c r="H84" s="840" t="s"/>
      <c r="I84" s="508" t="s"/>
      <c r="J84" s="508" t="s"/>
      <c r="K84" s="508" t="s"/>
      <c r="L84" s="508" t="s"/>
      <c r="M84" s="508" t="s"/>
      <c r="N84" s="508" t="s"/>
      <c r="O84" s="508" t="s"/>
      <c r="P84" s="508" t="s"/>
      <c r="Q84" s="508" t="s"/>
      <c r="R84" s="508" t="s"/>
      <c r="S84" s="508" t="s"/>
      <c r="T84" s="508" t="s"/>
      <c r="U84" s="508" t="s"/>
      <c r="V84" s="508" t="s"/>
      <c r="W84" s="508" t="s"/>
      <c r="X84" s="508" t="s"/>
      <c r="Y84" s="508" t="s"/>
    </row>
    <row r="85" spans="1:25">
      <c r="A85" s="680" t="s"/>
      <c r="B85" s="837" t="s"/>
      <c r="C85" s="837" t="s"/>
      <c r="D85" s="838" t="s"/>
      <c r="E85" s="837" t="s"/>
      <c r="F85" s="839" t="s"/>
      <c r="G85" s="839" t="s"/>
      <c r="H85" s="840" t="s"/>
      <c r="I85" s="508" t="s"/>
      <c r="J85" s="508" t="s"/>
      <c r="K85" s="508" t="s"/>
      <c r="L85" s="508" t="s"/>
      <c r="M85" s="508" t="s"/>
      <c r="N85" s="508" t="s"/>
      <c r="O85" s="508" t="s"/>
      <c r="P85" s="508" t="s"/>
      <c r="Q85" s="508" t="s"/>
      <c r="R85" s="508" t="s"/>
      <c r="S85" s="508" t="s"/>
      <c r="T85" s="508" t="s"/>
      <c r="U85" s="508" t="s"/>
      <c r="V85" s="508" t="s"/>
      <c r="W85" s="508" t="s"/>
      <c r="X85" s="508" t="s"/>
      <c r="Y85" s="508" t="s"/>
    </row>
    <row r="86" spans="1:25">
      <c r="A86" s="680" t="s"/>
      <c r="B86" s="837" t="s"/>
      <c r="C86" s="837" t="s"/>
      <c r="D86" s="838" t="s"/>
      <c r="E86" s="837" t="s"/>
      <c r="F86" s="839" t="s"/>
      <c r="G86" s="839" t="s"/>
      <c r="H86" s="840" t="s"/>
      <c r="I86" s="508" t="s"/>
      <c r="J86" s="508" t="s"/>
      <c r="K86" s="508" t="s"/>
      <c r="L86" s="508" t="s"/>
      <c r="M86" s="508" t="s"/>
      <c r="N86" s="508" t="s"/>
      <c r="O86" s="508" t="s"/>
      <c r="P86" s="508" t="s"/>
      <c r="Q86" s="508" t="s"/>
      <c r="R86" s="508" t="s"/>
      <c r="S86" s="508" t="s"/>
      <c r="T86" s="508" t="s"/>
      <c r="U86" s="508" t="s"/>
      <c r="V86" s="508" t="s"/>
      <c r="W86" s="508" t="s"/>
      <c r="X86" s="508" t="s"/>
      <c r="Y86" s="508" t="s"/>
    </row>
    <row r="87" spans="1:25">
      <c r="A87" s="680" t="s"/>
      <c r="B87" s="837" t="s"/>
      <c r="C87" s="837" t="s"/>
      <c r="D87" s="838" t="s"/>
      <c r="E87" s="837" t="s"/>
      <c r="F87" s="839" t="s"/>
      <c r="G87" s="839" t="s"/>
      <c r="H87" s="840" t="s"/>
      <c r="I87" s="508" t="s"/>
      <c r="J87" s="508" t="s"/>
      <c r="K87" s="508" t="s"/>
      <c r="L87" s="508" t="s"/>
      <c r="M87" s="508" t="s"/>
      <c r="N87" s="508" t="s"/>
      <c r="O87" s="508" t="s"/>
      <c r="P87" s="508" t="s"/>
      <c r="Q87" s="508" t="s"/>
      <c r="R87" s="508" t="s"/>
      <c r="S87" s="508" t="s"/>
      <c r="T87" s="508" t="s"/>
      <c r="U87" s="508" t="s"/>
      <c r="V87" s="508" t="s"/>
      <c r="W87" s="508" t="s"/>
      <c r="X87" s="508" t="s"/>
      <c r="Y87" s="508" t="s"/>
    </row>
    <row r="88" spans="1:25">
      <c r="A88" s="680" t="s"/>
      <c r="B88" s="837" t="s"/>
      <c r="C88" s="837" t="s"/>
      <c r="D88" s="838" t="s"/>
      <c r="E88" s="837" t="s"/>
      <c r="F88" s="839" t="s"/>
      <c r="G88" s="839" t="s"/>
      <c r="H88" s="840" t="s"/>
      <c r="I88" s="508" t="s"/>
      <c r="J88" s="508" t="s"/>
      <c r="K88" s="508" t="s"/>
      <c r="L88" s="508" t="s"/>
      <c r="M88" s="508" t="s"/>
      <c r="N88" s="508" t="s"/>
      <c r="O88" s="508" t="s"/>
      <c r="P88" s="508" t="s"/>
      <c r="Q88" s="508" t="s"/>
      <c r="R88" s="508" t="s"/>
      <c r="S88" s="508" t="s"/>
      <c r="T88" s="508" t="s"/>
      <c r="U88" s="508" t="s"/>
      <c r="V88" s="508" t="s"/>
      <c r="W88" s="508" t="s"/>
      <c r="X88" s="508" t="s"/>
      <c r="Y88" s="508" t="s"/>
    </row>
    <row r="89" spans="1:25">
      <c r="A89" s="680" t="s"/>
      <c r="B89" s="837" t="s"/>
      <c r="C89" s="837" t="s"/>
      <c r="D89" s="838" t="s"/>
      <c r="E89" s="837" t="s"/>
      <c r="F89" s="839" t="s"/>
      <c r="G89" s="839" t="s"/>
      <c r="H89" s="840" t="s"/>
      <c r="I89" s="508" t="s"/>
      <c r="J89" s="508" t="s"/>
      <c r="K89" s="508" t="s"/>
      <c r="L89" s="508" t="s"/>
      <c r="M89" s="508" t="s"/>
      <c r="N89" s="508" t="s"/>
      <c r="O89" s="508" t="s"/>
      <c r="P89" s="508" t="s"/>
      <c r="Q89" s="508" t="s"/>
      <c r="R89" s="508" t="s"/>
      <c r="S89" s="508" t="s"/>
      <c r="T89" s="508" t="s"/>
      <c r="U89" s="508" t="s"/>
      <c r="V89" s="508" t="s"/>
      <c r="W89" s="508" t="s"/>
      <c r="X89" s="508" t="s"/>
      <c r="Y89" s="508" t="s"/>
    </row>
    <row r="90" spans="1:25">
      <c r="A90" s="680" t="s"/>
      <c r="B90" s="837" t="s"/>
      <c r="C90" s="837" t="s"/>
      <c r="D90" s="838" t="s"/>
      <c r="E90" s="837" t="s"/>
      <c r="F90" s="839" t="s"/>
      <c r="G90" s="839" t="s"/>
      <c r="H90" s="840" t="s"/>
      <c r="I90" s="508" t="s"/>
      <c r="J90" s="508" t="s"/>
      <c r="K90" s="508" t="s"/>
      <c r="L90" s="508" t="s"/>
      <c r="M90" s="508" t="s"/>
      <c r="N90" s="508" t="s"/>
      <c r="O90" s="508" t="s"/>
      <c r="P90" s="508" t="s"/>
      <c r="Q90" s="508" t="s"/>
      <c r="R90" s="508" t="s"/>
      <c r="S90" s="508" t="s"/>
      <c r="T90" s="508" t="s"/>
      <c r="U90" s="508" t="s"/>
      <c r="V90" s="508" t="s"/>
      <c r="W90" s="508" t="s"/>
      <c r="X90" s="508" t="s"/>
      <c r="Y90" s="508" t="s"/>
    </row>
    <row r="91" spans="1:25">
      <c r="A91" s="680" t="s"/>
      <c r="B91" s="837" t="s"/>
      <c r="C91" s="837" t="s"/>
      <c r="D91" s="838" t="s"/>
      <c r="E91" s="837" t="s"/>
      <c r="F91" s="839" t="s"/>
      <c r="G91" s="839" t="s"/>
      <c r="H91" s="840" t="s"/>
      <c r="I91" s="508" t="s"/>
      <c r="J91" s="508" t="s"/>
      <c r="K91" s="508" t="s"/>
      <c r="L91" s="508" t="s"/>
      <c r="M91" s="508" t="s"/>
      <c r="N91" s="508" t="s"/>
      <c r="O91" s="508" t="s"/>
      <c r="P91" s="508" t="s"/>
      <c r="Q91" s="508" t="s"/>
      <c r="R91" s="508" t="s"/>
      <c r="S91" s="508" t="s"/>
      <c r="T91" s="508" t="s"/>
      <c r="U91" s="508" t="s"/>
      <c r="V91" s="508" t="s"/>
      <c r="W91" s="508" t="s"/>
      <c r="X91" s="508" t="s"/>
      <c r="Y91" s="508" t="s"/>
    </row>
    <row r="92" spans="1:25">
      <c r="A92" s="680" t="s"/>
      <c r="B92" s="837" t="s"/>
      <c r="C92" s="837" t="s"/>
      <c r="D92" s="838" t="s"/>
      <c r="E92" s="837" t="s"/>
      <c r="F92" s="839" t="s"/>
      <c r="G92" s="839" t="s"/>
      <c r="H92" s="840" t="s"/>
      <c r="I92" s="508" t="s"/>
      <c r="J92" s="508" t="s"/>
      <c r="K92" s="508" t="s"/>
      <c r="L92" s="508" t="s"/>
      <c r="M92" s="508" t="s"/>
      <c r="N92" s="508" t="s"/>
      <c r="O92" s="508" t="s"/>
      <c r="P92" s="508" t="s"/>
      <c r="Q92" s="508" t="s"/>
      <c r="R92" s="508" t="s"/>
      <c r="S92" s="508" t="s"/>
      <c r="T92" s="508" t="s"/>
      <c r="U92" s="508" t="s"/>
      <c r="V92" s="508" t="s"/>
      <c r="W92" s="508" t="s"/>
      <c r="X92" s="508" t="s"/>
      <c r="Y92" s="508" t="s"/>
    </row>
    <row r="93" spans="1:25">
      <c r="A93" s="680" t="s"/>
      <c r="B93" s="837" t="s"/>
      <c r="C93" s="837" t="s"/>
      <c r="D93" s="838" t="s"/>
      <c r="E93" s="837" t="s"/>
      <c r="F93" s="839" t="s"/>
      <c r="G93" s="839" t="s"/>
      <c r="H93" s="840" t="s"/>
      <c r="I93" s="508" t="s"/>
      <c r="J93" s="508" t="s"/>
      <c r="K93" s="508" t="s"/>
      <c r="L93" s="508" t="s"/>
      <c r="M93" s="508" t="s"/>
      <c r="N93" s="508" t="s"/>
      <c r="O93" s="508" t="s"/>
      <c r="P93" s="508" t="s"/>
      <c r="Q93" s="508" t="s"/>
      <c r="R93" s="508" t="s"/>
      <c r="S93" s="508" t="s"/>
      <c r="T93" s="508" t="s"/>
      <c r="U93" s="508" t="s"/>
      <c r="V93" s="508" t="s"/>
      <c r="W93" s="508" t="s"/>
      <c r="X93" s="508" t="s"/>
      <c r="Y93" s="508" t="s"/>
    </row>
    <row r="94" spans="1:25">
      <c r="A94" s="680" t="s"/>
      <c r="B94" s="837" t="s"/>
      <c r="C94" s="837" t="s"/>
      <c r="D94" s="838" t="s"/>
      <c r="E94" s="837" t="s"/>
      <c r="F94" s="839" t="s"/>
      <c r="G94" s="839" t="s"/>
      <c r="H94" s="840" t="s"/>
      <c r="I94" s="508" t="s"/>
      <c r="J94" s="508" t="s"/>
      <c r="K94" s="508" t="s"/>
      <c r="L94" s="508" t="s"/>
      <c r="M94" s="508" t="s"/>
      <c r="N94" s="508" t="s"/>
      <c r="O94" s="508" t="s"/>
      <c r="P94" s="508" t="s"/>
      <c r="Q94" s="508" t="s"/>
      <c r="R94" s="508" t="s"/>
      <c r="S94" s="508" t="s"/>
      <c r="T94" s="508" t="s"/>
      <c r="U94" s="508" t="s"/>
      <c r="V94" s="508" t="s"/>
      <c r="W94" s="508" t="s"/>
      <c r="X94" s="508" t="s"/>
      <c r="Y94" s="508" t="s"/>
    </row>
    <row r="95" spans="1:25">
      <c r="A95" s="680" t="s"/>
      <c r="B95" s="837" t="s"/>
      <c r="C95" s="837" t="s"/>
      <c r="D95" s="838" t="s"/>
      <c r="E95" s="837" t="s"/>
      <c r="F95" s="839" t="s"/>
      <c r="G95" s="839" t="s"/>
      <c r="H95" s="840" t="s"/>
      <c r="I95" s="508" t="s"/>
      <c r="J95" s="508" t="s"/>
      <c r="K95" s="508" t="s"/>
      <c r="L95" s="508" t="s"/>
      <c r="M95" s="508" t="s"/>
      <c r="N95" s="508" t="s"/>
      <c r="O95" s="508" t="s"/>
      <c r="P95" s="508" t="s"/>
      <c r="Q95" s="508" t="s"/>
      <c r="R95" s="508" t="s"/>
      <c r="S95" s="508" t="s"/>
      <c r="T95" s="508" t="s"/>
      <c r="U95" s="508" t="s"/>
      <c r="V95" s="508" t="s"/>
      <c r="W95" s="508" t="s"/>
      <c r="X95" s="508" t="s"/>
      <c r="Y95" s="508" t="s"/>
    </row>
    <row r="96" spans="1:25">
      <c r="A96" s="680" t="s"/>
      <c r="B96" s="837" t="s"/>
      <c r="C96" s="837" t="s"/>
      <c r="D96" s="838" t="s"/>
      <c r="E96" s="837" t="s"/>
      <c r="F96" s="839" t="s"/>
      <c r="G96" s="839" t="s"/>
      <c r="H96" s="840" t="s"/>
      <c r="I96" s="508" t="s"/>
      <c r="J96" s="508" t="s"/>
      <c r="K96" s="508" t="s"/>
      <c r="L96" s="508" t="s"/>
      <c r="M96" s="508" t="s"/>
      <c r="N96" s="508" t="s"/>
      <c r="O96" s="508" t="s"/>
      <c r="P96" s="508" t="s"/>
      <c r="Q96" s="508" t="s"/>
      <c r="R96" s="508" t="s"/>
      <c r="S96" s="508" t="s"/>
      <c r="T96" s="508" t="s"/>
      <c r="U96" s="508" t="s"/>
      <c r="V96" s="508" t="s"/>
      <c r="W96" s="508" t="s"/>
      <c r="X96" s="508" t="s"/>
      <c r="Y96" s="508" t="s"/>
    </row>
    <row r="97" spans="1:25">
      <c r="A97" s="680" t="s"/>
      <c r="B97" s="837" t="s"/>
      <c r="C97" s="837" t="s"/>
      <c r="D97" s="838" t="s"/>
      <c r="E97" s="837" t="s"/>
      <c r="F97" s="839" t="s"/>
      <c r="G97" s="839" t="s"/>
      <c r="H97" s="840" t="s"/>
      <c r="I97" s="508" t="s"/>
      <c r="J97" s="508" t="s"/>
      <c r="K97" s="508" t="s"/>
      <c r="L97" s="508" t="s"/>
      <c r="M97" s="508" t="s"/>
      <c r="N97" s="508" t="s"/>
      <c r="O97" s="508" t="s"/>
      <c r="P97" s="508" t="s"/>
      <c r="Q97" s="508" t="s"/>
      <c r="R97" s="508" t="s"/>
      <c r="S97" s="508" t="s"/>
      <c r="T97" s="508" t="s"/>
      <c r="U97" s="508" t="s"/>
      <c r="V97" s="508" t="s"/>
      <c r="W97" s="508" t="s"/>
      <c r="X97" s="508" t="s"/>
      <c r="Y97" s="508" t="s"/>
    </row>
    <row r="98" spans="1:25">
      <c r="A98" s="680" t="s"/>
      <c r="B98" s="837" t="s"/>
      <c r="C98" s="837" t="s"/>
      <c r="D98" s="838" t="s"/>
      <c r="E98" s="837" t="s"/>
      <c r="F98" s="839" t="s"/>
      <c r="G98" s="839" t="s"/>
      <c r="H98" s="840" t="s"/>
      <c r="I98" s="508" t="s"/>
      <c r="J98" s="508" t="s"/>
      <c r="K98" s="508" t="s"/>
      <c r="L98" s="508" t="s"/>
      <c r="M98" s="508" t="s"/>
      <c r="N98" s="508" t="s"/>
      <c r="O98" s="508" t="s"/>
      <c r="P98" s="508" t="s"/>
      <c r="Q98" s="508" t="s"/>
      <c r="R98" s="508" t="s"/>
      <c r="S98" s="508" t="s"/>
      <c r="T98" s="508" t="s"/>
      <c r="U98" s="508" t="s"/>
      <c r="V98" s="508" t="s"/>
      <c r="W98" s="508" t="s"/>
      <c r="X98" s="508" t="s"/>
      <c r="Y98" s="508" t="s"/>
    </row>
    <row r="99" spans="1:25">
      <c r="A99" s="680" t="s"/>
      <c r="B99" s="837" t="s"/>
      <c r="C99" s="837" t="s"/>
      <c r="D99" s="838" t="s"/>
      <c r="E99" s="837" t="s"/>
      <c r="F99" s="839" t="s"/>
      <c r="G99" s="839" t="s"/>
      <c r="H99" s="840" t="s"/>
      <c r="I99" s="508" t="s"/>
      <c r="J99" s="508" t="s"/>
      <c r="K99" s="508" t="s"/>
      <c r="L99" s="508" t="s"/>
      <c r="M99" s="508" t="s"/>
      <c r="N99" s="508" t="s"/>
      <c r="O99" s="508" t="s"/>
      <c r="P99" s="508" t="s"/>
      <c r="Q99" s="508" t="s"/>
      <c r="R99" s="508" t="s"/>
      <c r="S99" s="508" t="s"/>
      <c r="T99" s="508" t="s"/>
      <c r="U99" s="508" t="s"/>
      <c r="V99" s="508" t="s"/>
      <c r="W99" s="508" t="s"/>
      <c r="X99" s="508" t="s"/>
      <c r="Y99" s="508" t="s"/>
    </row>
    <row r="100" spans="1:25">
      <c r="A100" s="680" t="s"/>
      <c r="B100" s="837" t="s"/>
      <c r="C100" s="837" t="s"/>
      <c r="D100" s="838" t="s"/>
      <c r="E100" s="837" t="s"/>
      <c r="F100" s="839" t="s"/>
      <c r="G100" s="839" t="s"/>
      <c r="H100" s="840" t="s"/>
      <c r="I100" s="508" t="s"/>
      <c r="J100" s="508" t="s"/>
      <c r="K100" s="508" t="s"/>
      <c r="L100" s="508" t="s"/>
      <c r="M100" s="508" t="s"/>
      <c r="N100" s="508" t="s"/>
      <c r="O100" s="508" t="s"/>
      <c r="P100" s="508" t="s"/>
      <c r="Q100" s="508" t="s"/>
      <c r="R100" s="508" t="s"/>
      <c r="S100" s="508" t="s"/>
      <c r="T100" s="508" t="s"/>
      <c r="U100" s="508" t="s"/>
      <c r="V100" s="508" t="s"/>
      <c r="W100" s="508" t="s"/>
      <c r="X100" s="508" t="s"/>
      <c r="Y100" s="508" t="s"/>
    </row>
    <row r="101" spans="1:25">
      <c r="A101" s="680" t="s"/>
      <c r="B101" s="837" t="s"/>
      <c r="C101" s="837" t="s"/>
      <c r="D101" s="838" t="s"/>
      <c r="E101" s="837" t="s"/>
      <c r="F101" s="839" t="s"/>
      <c r="G101" s="839" t="s"/>
      <c r="H101" s="840" t="s"/>
      <c r="I101" s="508" t="s"/>
      <c r="J101" s="508" t="s"/>
      <c r="K101" s="508" t="s"/>
      <c r="L101" s="508" t="s"/>
      <c r="M101" s="508" t="s"/>
      <c r="N101" s="508" t="s"/>
      <c r="O101" s="508" t="s"/>
      <c r="P101" s="508" t="s"/>
      <c r="Q101" s="508" t="s"/>
      <c r="R101" s="508" t="s"/>
      <c r="S101" s="508" t="s"/>
      <c r="T101" s="508" t="s"/>
      <c r="U101" s="508" t="s"/>
      <c r="V101" s="508" t="s"/>
      <c r="W101" s="508" t="s"/>
      <c r="X101" s="508" t="s"/>
      <c r="Y101" s="508" t="s"/>
    </row>
    <row r="102" spans="1:25">
      <c r="A102" s="680" t="s"/>
      <c r="B102" s="837" t="s"/>
      <c r="C102" s="837" t="s"/>
      <c r="D102" s="838" t="s"/>
      <c r="E102" s="837" t="s"/>
      <c r="F102" s="839" t="s"/>
      <c r="G102" s="839" t="s"/>
      <c r="H102" s="840" t="s"/>
      <c r="I102" s="508" t="s"/>
      <c r="J102" s="508" t="s"/>
      <c r="K102" s="508" t="s"/>
      <c r="L102" s="508" t="s"/>
      <c r="M102" s="508" t="s"/>
      <c r="N102" s="508" t="s"/>
      <c r="O102" s="508" t="s"/>
      <c r="P102" s="508" t="s"/>
      <c r="Q102" s="508" t="s"/>
      <c r="R102" s="508" t="s"/>
      <c r="S102" s="508" t="s"/>
      <c r="T102" s="508" t="s"/>
      <c r="U102" s="508" t="s"/>
      <c r="V102" s="508" t="s"/>
      <c r="W102" s="508" t="s"/>
      <c r="X102" s="508" t="s"/>
      <c r="Y102" s="508" t="s"/>
    </row>
    <row r="103" spans="1:25">
      <c r="A103" s="680" t="s"/>
      <c r="B103" s="837" t="s"/>
      <c r="C103" s="837" t="s"/>
      <c r="D103" s="838" t="s"/>
      <c r="E103" s="837" t="s"/>
      <c r="F103" s="839" t="s"/>
      <c r="G103" s="839" t="s"/>
      <c r="H103" s="840" t="s"/>
      <c r="I103" s="508" t="s"/>
      <c r="J103" s="508" t="s"/>
      <c r="K103" s="508" t="s"/>
      <c r="L103" s="508" t="s"/>
      <c r="M103" s="508" t="s"/>
      <c r="N103" s="508" t="s"/>
      <c r="O103" s="508" t="s"/>
      <c r="P103" s="508" t="s"/>
      <c r="Q103" s="508" t="s"/>
      <c r="R103" s="508" t="s"/>
      <c r="S103" s="508" t="s"/>
      <c r="T103" s="508" t="s"/>
      <c r="U103" s="508" t="s"/>
      <c r="V103" s="508" t="s"/>
      <c r="W103" s="508" t="s"/>
      <c r="X103" s="508" t="s"/>
      <c r="Y103" s="508" t="s"/>
    </row>
    <row r="104" spans="1:25">
      <c r="A104" s="680" t="s"/>
      <c r="B104" s="837" t="s"/>
      <c r="C104" s="837" t="s"/>
      <c r="D104" s="838" t="s"/>
      <c r="E104" s="837" t="s"/>
      <c r="F104" s="839" t="s"/>
      <c r="G104" s="839" t="s"/>
      <c r="H104" s="840" t="s"/>
      <c r="I104" s="508" t="s"/>
      <c r="J104" s="508" t="s"/>
      <c r="K104" s="508" t="s"/>
      <c r="L104" s="508" t="s"/>
      <c r="M104" s="508" t="s"/>
      <c r="N104" s="508" t="s"/>
      <c r="O104" s="508" t="s"/>
      <c r="P104" s="508" t="s"/>
      <c r="Q104" s="508" t="s"/>
      <c r="R104" s="508" t="s"/>
      <c r="S104" s="508" t="s"/>
      <c r="T104" s="508" t="s"/>
      <c r="U104" s="508" t="s"/>
      <c r="V104" s="508" t="s"/>
      <c r="W104" s="508" t="s"/>
      <c r="X104" s="508" t="s"/>
      <c r="Y104" s="508" t="s"/>
    </row>
    <row r="105" spans="1:25">
      <c r="A105" s="680" t="s"/>
      <c r="B105" s="837" t="s"/>
      <c r="C105" s="837" t="s"/>
      <c r="D105" s="838" t="s"/>
      <c r="E105" s="837" t="s"/>
      <c r="F105" s="839" t="s"/>
      <c r="G105" s="839" t="s"/>
      <c r="H105" s="840" t="s"/>
      <c r="I105" s="508" t="s"/>
      <c r="J105" s="508" t="s"/>
      <c r="K105" s="508" t="s"/>
      <c r="L105" s="508" t="s"/>
      <c r="M105" s="508" t="s"/>
      <c r="N105" s="508" t="s"/>
      <c r="O105" s="508" t="s"/>
      <c r="P105" s="508" t="s"/>
      <c r="Q105" s="508" t="s"/>
      <c r="R105" s="508" t="s"/>
      <c r="S105" s="508" t="s"/>
      <c r="T105" s="508" t="s"/>
      <c r="U105" s="508" t="s"/>
      <c r="V105" s="508" t="s"/>
      <c r="W105" s="508" t="s"/>
      <c r="X105" s="508" t="s"/>
      <c r="Y105" s="508" t="s"/>
    </row>
    <row r="106" spans="1:25">
      <c r="A106" s="680" t="s"/>
      <c r="B106" s="837" t="s"/>
      <c r="C106" s="837" t="s"/>
      <c r="D106" s="838" t="s"/>
      <c r="E106" s="837" t="s"/>
      <c r="F106" s="839" t="s"/>
      <c r="G106" s="839" t="s"/>
      <c r="H106" s="840" t="s"/>
      <c r="I106" s="508" t="s"/>
      <c r="J106" s="508" t="s"/>
      <c r="K106" s="508" t="s"/>
      <c r="L106" s="508" t="s"/>
      <c r="M106" s="508" t="s"/>
      <c r="N106" s="508" t="s"/>
      <c r="O106" s="508" t="s"/>
      <c r="P106" s="508" t="s"/>
      <c r="Q106" s="508" t="s"/>
      <c r="R106" s="508" t="s"/>
      <c r="S106" s="508" t="s"/>
      <c r="T106" s="508" t="s"/>
      <c r="U106" s="508" t="s"/>
      <c r="V106" s="508" t="s"/>
      <c r="W106" s="508" t="s"/>
      <c r="X106" s="508" t="s"/>
      <c r="Y106" s="508" t="s"/>
    </row>
    <row r="107" spans="1:25">
      <c r="A107" s="680" t="s"/>
      <c r="B107" s="837" t="s"/>
      <c r="C107" s="837" t="s"/>
      <c r="D107" s="838" t="s"/>
      <c r="E107" s="837" t="s"/>
      <c r="F107" s="839" t="s"/>
      <c r="G107" s="839" t="s"/>
      <c r="H107" s="840" t="s"/>
      <c r="I107" s="508" t="s"/>
      <c r="J107" s="508" t="s"/>
      <c r="K107" s="508" t="s"/>
      <c r="L107" s="508" t="s"/>
      <c r="M107" s="508" t="s"/>
      <c r="N107" s="508" t="s"/>
      <c r="O107" s="508" t="s"/>
      <c r="P107" s="508" t="s"/>
      <c r="Q107" s="508" t="s"/>
      <c r="R107" s="508" t="s"/>
      <c r="S107" s="508" t="s"/>
      <c r="T107" s="508" t="s"/>
      <c r="U107" s="508" t="s"/>
      <c r="V107" s="508" t="s"/>
      <c r="W107" s="508" t="s"/>
      <c r="X107" s="508" t="s"/>
      <c r="Y107" s="508" t="s"/>
    </row>
    <row r="108" spans="1:25">
      <c r="A108" s="680" t="s"/>
      <c r="B108" s="837" t="s"/>
      <c r="C108" s="837" t="s"/>
      <c r="D108" s="838" t="s"/>
      <c r="E108" s="837" t="s"/>
      <c r="F108" s="839" t="s"/>
      <c r="G108" s="839" t="s"/>
      <c r="H108" s="840" t="s"/>
      <c r="I108" s="508" t="s"/>
      <c r="J108" s="508" t="s"/>
      <c r="K108" s="508" t="s"/>
      <c r="L108" s="508" t="s"/>
      <c r="M108" s="508" t="s"/>
      <c r="N108" s="508" t="s"/>
      <c r="O108" s="508" t="s"/>
      <c r="P108" s="508" t="s"/>
      <c r="Q108" s="508" t="s"/>
      <c r="R108" s="508" t="s"/>
      <c r="S108" s="508" t="s"/>
      <c r="T108" s="508" t="s"/>
      <c r="U108" s="508" t="s"/>
      <c r="V108" s="508" t="s"/>
      <c r="W108" s="508" t="s"/>
      <c r="X108" s="508" t="s"/>
      <c r="Y108" s="508" t="s"/>
    </row>
    <row r="109" spans="1:25">
      <c r="A109" s="680" t="s"/>
      <c r="B109" s="837" t="s"/>
      <c r="C109" s="837" t="s"/>
      <c r="D109" s="838" t="s"/>
      <c r="E109" s="837" t="s"/>
      <c r="F109" s="839" t="s"/>
      <c r="G109" s="839" t="s"/>
      <c r="H109" s="840" t="s"/>
      <c r="I109" s="508" t="s"/>
      <c r="J109" s="508" t="s"/>
      <c r="K109" s="508" t="s"/>
      <c r="L109" s="508" t="s"/>
      <c r="M109" s="508" t="s"/>
      <c r="N109" s="508" t="s"/>
      <c r="O109" s="508" t="s"/>
      <c r="P109" s="508" t="s"/>
      <c r="Q109" s="508" t="s"/>
      <c r="R109" s="508" t="s"/>
      <c r="S109" s="508" t="s"/>
      <c r="T109" s="508" t="s"/>
      <c r="U109" s="508" t="s"/>
      <c r="V109" s="508" t="s"/>
      <c r="W109" s="508" t="s"/>
      <c r="X109" s="508" t="s"/>
      <c r="Y109" s="508" t="s"/>
    </row>
    <row r="110" spans="1:25">
      <c r="A110" s="680" t="s"/>
      <c r="B110" s="837" t="s"/>
      <c r="C110" s="837" t="s"/>
      <c r="D110" s="838" t="s"/>
      <c r="E110" s="837" t="s"/>
      <c r="F110" s="839" t="s"/>
      <c r="G110" s="839" t="s"/>
      <c r="H110" s="840" t="s"/>
      <c r="I110" s="508" t="s"/>
      <c r="J110" s="508" t="s"/>
      <c r="K110" s="508" t="s"/>
      <c r="L110" s="508" t="s"/>
      <c r="M110" s="508" t="s"/>
      <c r="N110" s="508" t="s"/>
      <c r="O110" s="508" t="s"/>
      <c r="P110" s="508" t="s"/>
      <c r="Q110" s="508" t="s"/>
      <c r="R110" s="508" t="s"/>
      <c r="S110" s="508" t="s"/>
      <c r="T110" s="508" t="s"/>
      <c r="U110" s="508" t="s"/>
      <c r="V110" s="508" t="s"/>
      <c r="W110" s="508" t="s"/>
      <c r="X110" s="508" t="s"/>
      <c r="Y110" s="508" t="s"/>
    </row>
    <row r="111" spans="1:25">
      <c r="A111" s="680" t="s"/>
      <c r="B111" s="837" t="s"/>
      <c r="C111" s="837" t="s"/>
      <c r="D111" s="838" t="s"/>
      <c r="E111" s="837" t="s"/>
      <c r="F111" s="839" t="s"/>
      <c r="G111" s="839" t="s"/>
      <c r="H111" s="840" t="s"/>
      <c r="I111" s="508" t="s"/>
      <c r="J111" s="508" t="s"/>
      <c r="K111" s="508" t="s"/>
      <c r="L111" s="508" t="s"/>
      <c r="M111" s="508" t="s"/>
      <c r="N111" s="508" t="s"/>
      <c r="O111" s="508" t="s"/>
      <c r="P111" s="508" t="s"/>
      <c r="Q111" s="508" t="s"/>
      <c r="R111" s="508" t="s"/>
      <c r="S111" s="508" t="s"/>
      <c r="T111" s="508" t="s"/>
      <c r="U111" s="508" t="s"/>
      <c r="V111" s="508" t="s"/>
      <c r="W111" s="508" t="s"/>
      <c r="X111" s="508" t="s"/>
      <c r="Y111" s="508" t="s"/>
    </row>
    <row r="112" spans="1:25">
      <c r="A112" s="680" t="s"/>
      <c r="B112" s="837" t="s"/>
      <c r="C112" s="837" t="s"/>
      <c r="D112" s="838" t="s"/>
      <c r="E112" s="837" t="s"/>
      <c r="F112" s="839" t="s"/>
      <c r="G112" s="839" t="s"/>
      <c r="H112" s="840" t="s"/>
      <c r="I112" s="508" t="s"/>
      <c r="J112" s="508" t="s"/>
      <c r="K112" s="508" t="s"/>
      <c r="L112" s="508" t="s"/>
      <c r="M112" s="508" t="s"/>
      <c r="N112" s="508" t="s"/>
      <c r="O112" s="508" t="s"/>
      <c r="P112" s="508" t="s"/>
      <c r="Q112" s="508" t="s"/>
      <c r="R112" s="508" t="s"/>
      <c r="S112" s="508" t="s"/>
      <c r="T112" s="508" t="s"/>
      <c r="U112" s="508" t="s"/>
      <c r="V112" s="508" t="s"/>
      <c r="W112" s="508" t="s"/>
      <c r="X112" s="508" t="s"/>
      <c r="Y112" s="508" t="s"/>
    </row>
    <row r="113" spans="1:25">
      <c r="A113" s="680" t="s"/>
      <c r="B113" s="837" t="s"/>
      <c r="C113" s="837" t="s"/>
      <c r="D113" s="838" t="s"/>
      <c r="E113" s="837" t="s"/>
      <c r="F113" s="839" t="s"/>
      <c r="G113" s="839" t="s"/>
      <c r="H113" s="840" t="s"/>
      <c r="I113" s="508" t="s"/>
      <c r="J113" s="508" t="s"/>
      <c r="K113" s="508" t="s"/>
      <c r="L113" s="508" t="s"/>
      <c r="M113" s="508" t="s"/>
      <c r="N113" s="508" t="s"/>
      <c r="O113" s="508" t="s"/>
      <c r="P113" s="508" t="s"/>
      <c r="Q113" s="508" t="s"/>
      <c r="R113" s="508" t="s"/>
      <c r="S113" s="508" t="s"/>
      <c r="T113" s="508" t="s"/>
      <c r="U113" s="508" t="s"/>
      <c r="V113" s="508" t="s"/>
      <c r="W113" s="508" t="s"/>
      <c r="X113" s="508" t="s"/>
      <c r="Y113" s="508" t="s"/>
    </row>
    <row r="114" spans="1:25">
      <c r="A114" s="680" t="s"/>
      <c r="B114" s="837" t="s"/>
      <c r="C114" s="837" t="s"/>
      <c r="D114" s="838" t="s"/>
      <c r="E114" s="837" t="s"/>
      <c r="F114" s="839" t="s"/>
      <c r="G114" s="839" t="s"/>
      <c r="H114" s="840" t="s"/>
      <c r="I114" s="508" t="s"/>
      <c r="J114" s="508" t="s"/>
      <c r="K114" s="508" t="s"/>
      <c r="L114" s="508" t="s"/>
      <c r="M114" s="508" t="s"/>
      <c r="N114" s="508" t="s"/>
      <c r="O114" s="508" t="s"/>
      <c r="P114" s="508" t="s"/>
      <c r="Q114" s="508" t="s"/>
      <c r="R114" s="508" t="s"/>
      <c r="S114" s="508" t="s"/>
      <c r="T114" s="508" t="s"/>
      <c r="U114" s="508" t="s"/>
      <c r="V114" s="508" t="s"/>
      <c r="W114" s="508" t="s"/>
      <c r="X114" s="508" t="s"/>
      <c r="Y114" s="508" t="s"/>
    </row>
    <row r="115" spans="1:25">
      <c r="A115" s="680" t="s"/>
      <c r="B115" s="837" t="s"/>
      <c r="C115" s="837" t="s"/>
      <c r="D115" s="838" t="s"/>
      <c r="E115" s="837" t="s"/>
      <c r="F115" s="839" t="s"/>
      <c r="G115" s="839" t="s"/>
      <c r="H115" s="840" t="s"/>
      <c r="I115" s="508" t="s"/>
      <c r="J115" s="508" t="s"/>
      <c r="K115" s="508" t="s"/>
      <c r="L115" s="508" t="s"/>
      <c r="M115" s="508" t="s"/>
      <c r="N115" s="508" t="s"/>
      <c r="O115" s="508" t="s"/>
      <c r="P115" s="508" t="s"/>
      <c r="Q115" s="508" t="s"/>
      <c r="R115" s="508" t="s"/>
      <c r="S115" s="508" t="s"/>
      <c r="T115" s="508" t="s"/>
      <c r="U115" s="508" t="s"/>
      <c r="V115" s="508" t="s"/>
      <c r="W115" s="508" t="s"/>
      <c r="X115" s="508" t="s"/>
      <c r="Y115" s="508" t="s"/>
    </row>
    <row r="116" spans="1:25">
      <c r="A116" s="680" t="s"/>
      <c r="B116" s="837" t="s"/>
      <c r="C116" s="837" t="s"/>
      <c r="D116" s="838" t="s"/>
      <c r="E116" s="837" t="s"/>
      <c r="F116" s="839" t="s"/>
      <c r="G116" s="839" t="s"/>
      <c r="H116" s="840" t="s"/>
      <c r="I116" s="508" t="s"/>
      <c r="J116" s="508" t="s"/>
      <c r="K116" s="508" t="s"/>
      <c r="L116" s="508" t="s"/>
      <c r="M116" s="508" t="s"/>
      <c r="N116" s="508" t="s"/>
      <c r="O116" s="508" t="s"/>
      <c r="P116" s="508" t="s"/>
      <c r="Q116" s="508" t="s"/>
      <c r="R116" s="508" t="s"/>
      <c r="S116" s="508" t="s"/>
      <c r="T116" s="508" t="s"/>
      <c r="U116" s="508" t="s"/>
      <c r="V116" s="508" t="s"/>
      <c r="W116" s="508" t="s"/>
      <c r="X116" s="508" t="s"/>
      <c r="Y116" s="508" t="s"/>
    </row>
    <row r="117" spans="1:25">
      <c r="A117" s="680" t="s"/>
      <c r="B117" s="837" t="s"/>
      <c r="C117" s="837" t="s"/>
      <c r="D117" s="838" t="s"/>
      <c r="E117" s="837" t="s"/>
      <c r="F117" s="839" t="s"/>
      <c r="G117" s="839" t="s"/>
      <c r="H117" s="840" t="s"/>
      <c r="I117" s="508" t="s"/>
      <c r="J117" s="508" t="s"/>
      <c r="K117" s="508" t="s"/>
      <c r="L117" s="508" t="s"/>
      <c r="M117" s="508" t="s"/>
      <c r="N117" s="508" t="s"/>
      <c r="O117" s="508" t="s"/>
      <c r="P117" s="508" t="s"/>
      <c r="Q117" s="508" t="s"/>
      <c r="R117" s="508" t="s"/>
      <c r="S117" s="508" t="s"/>
      <c r="T117" s="508" t="s"/>
      <c r="U117" s="508" t="s"/>
      <c r="V117" s="508" t="s"/>
      <c r="W117" s="508" t="s"/>
      <c r="X117" s="508" t="s"/>
      <c r="Y117" s="508" t="s"/>
    </row>
    <row r="118" spans="1:25">
      <c r="A118" s="680" t="s"/>
      <c r="B118" s="837" t="s"/>
      <c r="C118" s="837" t="s"/>
      <c r="D118" s="838" t="s"/>
      <c r="E118" s="837" t="s"/>
      <c r="F118" s="839" t="s"/>
      <c r="G118" s="839" t="s"/>
      <c r="H118" s="840" t="s"/>
      <c r="I118" s="508" t="s"/>
      <c r="J118" s="508" t="s"/>
      <c r="K118" s="508" t="s"/>
      <c r="L118" s="508" t="s"/>
      <c r="M118" s="508" t="s"/>
      <c r="N118" s="508" t="s"/>
      <c r="O118" s="508" t="s"/>
      <c r="P118" s="508" t="s"/>
      <c r="Q118" s="508" t="s"/>
      <c r="R118" s="508" t="s"/>
      <c r="S118" s="508" t="s"/>
      <c r="T118" s="508" t="s"/>
      <c r="U118" s="508" t="s"/>
      <c r="V118" s="508" t="s"/>
      <c r="W118" s="508" t="s"/>
      <c r="X118" s="508" t="s"/>
      <c r="Y118" s="508" t="s"/>
    </row>
    <row r="119" spans="1:25">
      <c r="A119" s="680" t="s"/>
      <c r="B119" s="837" t="s"/>
      <c r="C119" s="837" t="s"/>
      <c r="D119" s="838" t="s"/>
      <c r="E119" s="837" t="s"/>
      <c r="F119" s="839" t="s"/>
      <c r="G119" s="839" t="s"/>
      <c r="H119" s="840" t="s"/>
      <c r="I119" s="508" t="s"/>
      <c r="J119" s="508" t="s"/>
      <c r="K119" s="508" t="s"/>
      <c r="L119" s="508" t="s"/>
      <c r="M119" s="508" t="s"/>
      <c r="N119" s="508" t="s"/>
      <c r="O119" s="508" t="s"/>
      <c r="P119" s="508" t="s"/>
      <c r="Q119" s="508" t="s"/>
      <c r="R119" s="508" t="s"/>
      <c r="S119" s="508" t="s"/>
      <c r="T119" s="508" t="s"/>
      <c r="U119" s="508" t="s"/>
      <c r="V119" s="508" t="s"/>
      <c r="W119" s="508" t="s"/>
      <c r="X119" s="508" t="s"/>
      <c r="Y119" s="508" t="s"/>
    </row>
    <row r="120" spans="1:25">
      <c r="A120" s="680" t="s"/>
      <c r="B120" s="837" t="s"/>
      <c r="C120" s="837" t="s"/>
      <c r="D120" s="838" t="s"/>
      <c r="E120" s="837" t="s"/>
      <c r="F120" s="839" t="s"/>
      <c r="G120" s="839" t="s"/>
      <c r="H120" s="840" t="s"/>
      <c r="I120" s="508" t="s"/>
      <c r="J120" s="508" t="s"/>
      <c r="K120" s="508" t="s"/>
      <c r="L120" s="508" t="s"/>
      <c r="M120" s="508" t="s"/>
      <c r="N120" s="508" t="s"/>
      <c r="O120" s="508" t="s"/>
      <c r="P120" s="508" t="s"/>
      <c r="Q120" s="508" t="s"/>
      <c r="R120" s="508" t="s"/>
      <c r="S120" s="508" t="s"/>
      <c r="T120" s="508" t="s"/>
      <c r="U120" s="508" t="s"/>
      <c r="V120" s="508" t="s"/>
      <c r="W120" s="508" t="s"/>
      <c r="X120" s="508" t="s"/>
      <c r="Y120" s="508" t="s"/>
    </row>
    <row r="121" spans="1:25">
      <c r="A121" s="680" t="s"/>
      <c r="B121" s="837" t="s"/>
      <c r="C121" s="837" t="s"/>
      <c r="D121" s="838" t="s"/>
      <c r="E121" s="837" t="s"/>
      <c r="F121" s="839" t="s"/>
      <c r="G121" s="839" t="s"/>
      <c r="H121" s="840" t="s"/>
      <c r="I121" s="508" t="s"/>
      <c r="J121" s="508" t="s"/>
      <c r="K121" s="508" t="s"/>
      <c r="L121" s="508" t="s"/>
      <c r="M121" s="508" t="s"/>
      <c r="N121" s="508" t="s"/>
      <c r="O121" s="508" t="s"/>
      <c r="P121" s="508" t="s"/>
      <c r="Q121" s="508" t="s"/>
      <c r="R121" s="508" t="s"/>
      <c r="S121" s="508" t="s"/>
      <c r="T121" s="508" t="s"/>
      <c r="U121" s="508" t="s"/>
      <c r="V121" s="508" t="s"/>
      <c r="W121" s="508" t="s"/>
      <c r="X121" s="508" t="s"/>
      <c r="Y121" s="508" t="s"/>
    </row>
    <row r="122" spans="1:25">
      <c r="A122" s="680" t="s"/>
      <c r="B122" s="837" t="s"/>
      <c r="C122" s="837" t="s"/>
      <c r="D122" s="838" t="s"/>
      <c r="E122" s="837" t="s"/>
      <c r="F122" s="839" t="s"/>
      <c r="G122" s="839" t="s"/>
      <c r="H122" s="840" t="s"/>
      <c r="I122" s="508" t="s"/>
      <c r="J122" s="508" t="s"/>
      <c r="K122" s="508" t="s"/>
      <c r="L122" s="508" t="s"/>
      <c r="M122" s="508" t="s"/>
      <c r="N122" s="508" t="s"/>
      <c r="O122" s="508" t="s"/>
      <c r="P122" s="508" t="s"/>
      <c r="Q122" s="508" t="s"/>
      <c r="R122" s="508" t="s"/>
      <c r="S122" s="508" t="s"/>
      <c r="T122" s="508" t="s"/>
      <c r="U122" s="508" t="s"/>
      <c r="V122" s="508" t="s"/>
      <c r="W122" s="508" t="s"/>
      <c r="X122" s="508" t="s"/>
      <c r="Y122" s="508" t="s"/>
    </row>
    <row r="123" spans="1:25">
      <c r="A123" s="680" t="s"/>
      <c r="B123" s="837" t="s"/>
      <c r="C123" s="837" t="s"/>
      <c r="D123" s="838" t="s"/>
      <c r="E123" s="837" t="s"/>
      <c r="F123" s="839" t="s"/>
      <c r="G123" s="839" t="s"/>
      <c r="H123" s="840" t="s"/>
      <c r="I123" s="508" t="s"/>
      <c r="J123" s="508" t="s"/>
      <c r="K123" s="508" t="s"/>
      <c r="L123" s="508" t="s"/>
      <c r="M123" s="508" t="s"/>
      <c r="N123" s="508" t="s"/>
      <c r="O123" s="508" t="s"/>
      <c r="P123" s="508" t="s"/>
      <c r="Q123" s="508" t="s"/>
      <c r="R123" s="508" t="s"/>
      <c r="S123" s="508" t="s"/>
      <c r="T123" s="508" t="s"/>
      <c r="U123" s="508" t="s"/>
      <c r="V123" s="508" t="s"/>
      <c r="W123" s="508" t="s"/>
      <c r="X123" s="508" t="s"/>
      <c r="Y123" s="508" t="s"/>
    </row>
    <row r="124" spans="1:25">
      <c r="A124" s="680" t="s"/>
      <c r="B124" s="837" t="s"/>
      <c r="C124" s="837" t="s"/>
      <c r="D124" s="838" t="s"/>
      <c r="E124" s="837" t="s"/>
      <c r="F124" s="839" t="s"/>
      <c r="G124" s="839" t="s"/>
      <c r="H124" s="840" t="s"/>
      <c r="I124" s="508" t="s"/>
      <c r="J124" s="508" t="s"/>
      <c r="K124" s="508" t="s"/>
      <c r="L124" s="508" t="s"/>
      <c r="M124" s="508" t="s"/>
      <c r="N124" s="508" t="s"/>
      <c r="O124" s="508" t="s"/>
      <c r="P124" s="508" t="s"/>
      <c r="Q124" s="508" t="s"/>
      <c r="R124" s="508" t="s"/>
      <c r="S124" s="508" t="s"/>
      <c r="T124" s="508" t="s"/>
      <c r="U124" s="508" t="s"/>
      <c r="V124" s="508" t="s"/>
      <c r="W124" s="508" t="s"/>
      <c r="X124" s="508" t="s"/>
      <c r="Y124" s="508" t="s"/>
    </row>
    <row r="125" spans="1:25">
      <c r="A125" s="680" t="s"/>
      <c r="B125" s="837" t="s"/>
      <c r="C125" s="837" t="s"/>
      <c r="D125" s="838" t="s"/>
      <c r="E125" s="837" t="s"/>
      <c r="F125" s="839" t="s"/>
      <c r="G125" s="839" t="s"/>
      <c r="H125" s="840" t="s"/>
      <c r="I125" s="508" t="s"/>
      <c r="J125" s="508" t="s"/>
      <c r="K125" s="508" t="s"/>
      <c r="L125" s="508" t="s"/>
      <c r="M125" s="508" t="s"/>
      <c r="N125" s="508" t="s"/>
      <c r="O125" s="508" t="s"/>
      <c r="P125" s="508" t="s"/>
      <c r="Q125" s="508" t="s"/>
      <c r="R125" s="508" t="s"/>
      <c r="S125" s="508" t="s"/>
      <c r="T125" s="508" t="s"/>
      <c r="U125" s="508" t="s"/>
      <c r="V125" s="508" t="s"/>
      <c r="W125" s="508" t="s"/>
      <c r="X125" s="508" t="s"/>
      <c r="Y125" s="508" t="s"/>
    </row>
    <row r="126" spans="1:25">
      <c r="A126" s="680" t="s"/>
      <c r="B126" s="837" t="s"/>
      <c r="C126" s="837" t="s"/>
      <c r="D126" s="838" t="s"/>
      <c r="E126" s="837" t="s"/>
      <c r="F126" s="839" t="s"/>
      <c r="G126" s="839" t="s"/>
      <c r="H126" s="840" t="s"/>
      <c r="I126" s="508" t="s"/>
      <c r="J126" s="508" t="s"/>
      <c r="K126" s="508" t="s"/>
      <c r="L126" s="508" t="s"/>
      <c r="M126" s="508" t="s"/>
      <c r="N126" s="508" t="s"/>
      <c r="O126" s="508" t="s"/>
      <c r="P126" s="508" t="s"/>
      <c r="Q126" s="508" t="s"/>
      <c r="R126" s="508" t="s"/>
      <c r="S126" s="508" t="s"/>
      <c r="T126" s="508" t="s"/>
      <c r="U126" s="508" t="s"/>
      <c r="V126" s="508" t="s"/>
      <c r="W126" s="508" t="s"/>
      <c r="X126" s="508" t="s"/>
      <c r="Y126" s="508" t="s"/>
    </row>
    <row r="127" spans="1:25">
      <c r="A127" s="680" t="s"/>
      <c r="B127" s="837" t="s"/>
      <c r="C127" s="837" t="s"/>
      <c r="D127" s="838" t="s"/>
      <c r="E127" s="837" t="s"/>
      <c r="F127" s="839" t="s"/>
      <c r="G127" s="839" t="s"/>
      <c r="H127" s="840" t="s"/>
      <c r="I127" s="508" t="s"/>
      <c r="J127" s="508" t="s"/>
      <c r="K127" s="508" t="s"/>
      <c r="L127" s="508" t="s"/>
      <c r="M127" s="508" t="s"/>
      <c r="N127" s="508" t="s"/>
      <c r="O127" s="508" t="s"/>
      <c r="P127" s="508" t="s"/>
      <c r="Q127" s="508" t="s"/>
      <c r="R127" s="508" t="s"/>
      <c r="S127" s="508" t="s"/>
      <c r="T127" s="508" t="s"/>
      <c r="U127" s="508" t="s"/>
      <c r="V127" s="508" t="s"/>
      <c r="W127" s="508" t="s"/>
      <c r="X127" s="508" t="s"/>
      <c r="Y127" s="508" t="s"/>
    </row>
    <row r="128" spans="1:25">
      <c r="A128" s="680" t="s"/>
      <c r="B128" s="837" t="s"/>
      <c r="C128" s="837" t="s"/>
      <c r="D128" s="838" t="s"/>
      <c r="E128" s="837" t="s"/>
      <c r="F128" s="839" t="s"/>
      <c r="G128" s="839" t="s"/>
      <c r="H128" s="840" t="s"/>
      <c r="I128" s="508" t="s"/>
      <c r="J128" s="508" t="s"/>
      <c r="K128" s="508" t="s"/>
      <c r="L128" s="508" t="s"/>
      <c r="M128" s="508" t="s"/>
      <c r="N128" s="508" t="s"/>
      <c r="O128" s="508" t="s"/>
      <c r="P128" s="508" t="s"/>
      <c r="Q128" s="508" t="s"/>
      <c r="R128" s="508" t="s"/>
      <c r="S128" s="508" t="s"/>
      <c r="T128" s="508" t="s"/>
      <c r="U128" s="508" t="s"/>
      <c r="V128" s="508" t="s"/>
      <c r="W128" s="508" t="s"/>
      <c r="X128" s="508" t="s"/>
      <c r="Y128" s="508" t="s"/>
    </row>
    <row r="129" spans="1:25">
      <c r="A129" s="680" t="s"/>
      <c r="B129" s="837" t="s"/>
      <c r="C129" s="837" t="s"/>
      <c r="D129" s="838" t="s"/>
      <c r="E129" s="837" t="s"/>
      <c r="F129" s="839" t="s"/>
      <c r="G129" s="839" t="s"/>
      <c r="H129" s="840" t="s"/>
      <c r="I129" s="508" t="s"/>
      <c r="J129" s="508" t="s"/>
      <c r="K129" s="508" t="s"/>
      <c r="L129" s="508" t="s"/>
      <c r="M129" s="508" t="s"/>
      <c r="N129" s="508" t="s"/>
      <c r="O129" s="508" t="s"/>
      <c r="P129" s="508" t="s"/>
      <c r="Q129" s="508" t="s"/>
      <c r="R129" s="508" t="s"/>
      <c r="S129" s="508" t="s"/>
      <c r="T129" s="508" t="s"/>
      <c r="U129" s="508" t="s"/>
      <c r="V129" s="508" t="s"/>
      <c r="W129" s="508" t="s"/>
      <c r="X129" s="508" t="s"/>
      <c r="Y129" s="508" t="s"/>
    </row>
    <row r="130" spans="1:25">
      <c r="A130" s="680" t="s"/>
      <c r="B130" s="837" t="s"/>
      <c r="C130" s="837" t="s"/>
      <c r="D130" s="838" t="s"/>
      <c r="E130" s="837" t="s"/>
      <c r="F130" s="839" t="s"/>
      <c r="G130" s="839" t="s"/>
      <c r="H130" s="840" t="s"/>
      <c r="I130" s="508" t="s"/>
      <c r="J130" s="508" t="s"/>
      <c r="K130" s="508" t="s"/>
      <c r="L130" s="508" t="s"/>
      <c r="M130" s="508" t="s"/>
      <c r="N130" s="508" t="s"/>
      <c r="O130" s="508" t="s"/>
      <c r="P130" s="508" t="s"/>
      <c r="Q130" s="508" t="s"/>
      <c r="R130" s="508" t="s"/>
      <c r="S130" s="508" t="s"/>
      <c r="T130" s="508" t="s"/>
      <c r="U130" s="508" t="s"/>
      <c r="V130" s="508" t="s"/>
      <c r="W130" s="508" t="s"/>
      <c r="X130" s="508" t="s"/>
      <c r="Y130" s="508" t="s"/>
    </row>
    <row r="131" spans="1:25">
      <c r="A131" s="680" t="s"/>
      <c r="B131" s="837" t="s"/>
      <c r="C131" s="837" t="s"/>
      <c r="D131" s="838" t="s"/>
      <c r="E131" s="837" t="s"/>
      <c r="F131" s="839" t="s"/>
      <c r="G131" s="839" t="s"/>
      <c r="H131" s="840" t="s"/>
      <c r="I131" s="508" t="s"/>
      <c r="J131" s="508" t="s"/>
      <c r="K131" s="508" t="s"/>
      <c r="L131" s="508" t="s"/>
      <c r="M131" s="508" t="s"/>
      <c r="N131" s="508" t="s"/>
      <c r="O131" s="508" t="s"/>
      <c r="P131" s="508" t="s"/>
      <c r="Q131" s="508" t="s"/>
      <c r="R131" s="508" t="s"/>
      <c r="S131" s="508" t="s"/>
      <c r="T131" s="508" t="s"/>
      <c r="U131" s="508" t="s"/>
      <c r="V131" s="508" t="s"/>
      <c r="W131" s="508" t="s"/>
      <c r="X131" s="508" t="s"/>
      <c r="Y131" s="508" t="s"/>
    </row>
    <row r="132" spans="1:25">
      <c r="A132" s="680" t="s"/>
      <c r="B132" s="837" t="s"/>
      <c r="C132" s="837" t="s"/>
      <c r="D132" s="838" t="s"/>
      <c r="E132" s="837" t="s"/>
      <c r="F132" s="839" t="s"/>
      <c r="G132" s="839" t="s"/>
      <c r="H132" s="840" t="s"/>
      <c r="I132" s="508" t="s"/>
      <c r="J132" s="508" t="s"/>
      <c r="K132" s="508" t="s"/>
      <c r="L132" s="508" t="s"/>
      <c r="M132" s="508" t="s"/>
      <c r="N132" s="508" t="s"/>
      <c r="O132" s="508" t="s"/>
      <c r="P132" s="508" t="s"/>
      <c r="Q132" s="508" t="s"/>
      <c r="R132" s="508" t="s"/>
      <c r="S132" s="508" t="s"/>
      <c r="T132" s="508" t="s"/>
      <c r="U132" s="508" t="s"/>
      <c r="V132" s="508" t="s"/>
      <c r="W132" s="508" t="s"/>
      <c r="X132" s="508" t="s"/>
      <c r="Y132" s="508" t="s"/>
    </row>
    <row r="133" spans="1:25">
      <c r="A133" s="680" t="s"/>
      <c r="B133" s="837" t="s"/>
      <c r="C133" s="837" t="s"/>
      <c r="D133" s="838" t="s"/>
      <c r="E133" s="837" t="s"/>
      <c r="F133" s="839" t="s"/>
      <c r="G133" s="839" t="s"/>
      <c r="H133" s="840" t="s"/>
      <c r="I133" s="508" t="s"/>
      <c r="J133" s="508" t="s"/>
      <c r="K133" s="508" t="s"/>
      <c r="L133" s="508" t="s"/>
      <c r="M133" s="508" t="s"/>
      <c r="N133" s="508" t="s"/>
      <c r="O133" s="508" t="s"/>
      <c r="P133" s="508" t="s"/>
      <c r="Q133" s="508" t="s"/>
      <c r="R133" s="508" t="s"/>
      <c r="S133" s="508" t="s"/>
      <c r="T133" s="508" t="s"/>
      <c r="U133" s="508" t="s"/>
      <c r="V133" s="508" t="s"/>
      <c r="W133" s="508" t="s"/>
      <c r="X133" s="508" t="s"/>
      <c r="Y133" s="508" t="s"/>
    </row>
    <row r="134" spans="1:25">
      <c r="A134" s="680" t="s"/>
      <c r="B134" s="837" t="s"/>
      <c r="C134" s="837" t="s"/>
      <c r="D134" s="838" t="s"/>
      <c r="E134" s="837" t="s"/>
      <c r="F134" s="839" t="s"/>
      <c r="G134" s="839" t="s"/>
      <c r="H134" s="840" t="s"/>
      <c r="I134" s="508" t="s"/>
      <c r="J134" s="508" t="s"/>
      <c r="K134" s="508" t="s"/>
      <c r="L134" s="508" t="s"/>
      <c r="M134" s="508" t="s"/>
      <c r="N134" s="508" t="s"/>
      <c r="O134" s="508" t="s"/>
      <c r="P134" s="508" t="s"/>
      <c r="Q134" s="508" t="s"/>
      <c r="R134" s="508" t="s"/>
      <c r="S134" s="508" t="s"/>
      <c r="T134" s="508" t="s"/>
      <c r="U134" s="508" t="s"/>
      <c r="V134" s="508" t="s"/>
      <c r="W134" s="508" t="s"/>
      <c r="X134" s="508" t="s"/>
      <c r="Y134" s="508" t="s"/>
    </row>
    <row r="135" spans="1:25">
      <c r="A135" s="680" t="s"/>
      <c r="B135" s="837" t="s"/>
      <c r="C135" s="837" t="s"/>
      <c r="D135" s="838" t="s"/>
      <c r="E135" s="837" t="s"/>
      <c r="F135" s="839" t="s"/>
      <c r="G135" s="839" t="s"/>
      <c r="H135" s="840" t="s"/>
      <c r="I135" s="508" t="s"/>
      <c r="J135" s="508" t="s"/>
      <c r="K135" s="508" t="s"/>
      <c r="L135" s="508" t="s"/>
      <c r="M135" s="508" t="s"/>
      <c r="N135" s="508" t="s"/>
      <c r="O135" s="508" t="s"/>
      <c r="P135" s="508" t="s"/>
      <c r="Q135" s="508" t="s"/>
      <c r="R135" s="508" t="s"/>
      <c r="S135" s="508" t="s"/>
      <c r="T135" s="508" t="s"/>
      <c r="U135" s="508" t="s"/>
      <c r="V135" s="508" t="s"/>
      <c r="W135" s="508" t="s"/>
      <c r="X135" s="508" t="s"/>
      <c r="Y135" s="508" t="s"/>
    </row>
    <row r="136" spans="1:25">
      <c r="A136" s="680" t="s"/>
      <c r="B136" s="837" t="s"/>
      <c r="C136" s="837" t="s"/>
      <c r="D136" s="838" t="s"/>
      <c r="E136" s="837" t="s"/>
      <c r="F136" s="839" t="s"/>
      <c r="G136" s="839" t="s"/>
      <c r="H136" s="840" t="s"/>
      <c r="I136" s="508" t="s"/>
      <c r="J136" s="508" t="s"/>
      <c r="K136" s="508" t="s"/>
      <c r="L136" s="508" t="s"/>
      <c r="M136" s="508" t="s"/>
      <c r="N136" s="508" t="s"/>
      <c r="O136" s="508" t="s"/>
      <c r="P136" s="508" t="s"/>
      <c r="Q136" s="508" t="s"/>
      <c r="R136" s="508" t="s"/>
      <c r="S136" s="508" t="s"/>
      <c r="T136" s="508" t="s"/>
      <c r="U136" s="508" t="s"/>
      <c r="V136" s="508" t="s"/>
      <c r="W136" s="508" t="s"/>
      <c r="X136" s="508" t="s"/>
      <c r="Y136" s="508" t="s"/>
    </row>
    <row r="137" spans="1:25">
      <c r="A137" s="680" t="s"/>
      <c r="B137" s="837" t="s"/>
      <c r="C137" s="837" t="s"/>
      <c r="D137" s="838" t="s"/>
      <c r="E137" s="837" t="s"/>
      <c r="F137" s="839" t="s"/>
      <c r="G137" s="839" t="s"/>
      <c r="H137" s="840" t="s"/>
      <c r="I137" s="508" t="s"/>
      <c r="J137" s="508" t="s"/>
      <c r="K137" s="508" t="s"/>
      <c r="L137" s="508" t="s"/>
      <c r="M137" s="508" t="s"/>
      <c r="N137" s="508" t="s"/>
      <c r="O137" s="508" t="s"/>
      <c r="P137" s="508" t="s"/>
      <c r="Q137" s="508" t="s"/>
      <c r="R137" s="508" t="s"/>
      <c r="S137" s="508" t="s"/>
      <c r="T137" s="508" t="s"/>
      <c r="U137" s="508" t="s"/>
      <c r="V137" s="508" t="s"/>
      <c r="W137" s="508" t="s"/>
      <c r="X137" s="508" t="s"/>
      <c r="Y137" s="508" t="s"/>
    </row>
    <row r="138" spans="1:25">
      <c r="A138" s="680" t="s"/>
      <c r="B138" s="837" t="s"/>
      <c r="C138" s="837" t="s"/>
      <c r="D138" s="838" t="s"/>
      <c r="E138" s="837" t="s"/>
      <c r="F138" s="839" t="s"/>
      <c r="G138" s="839" t="s"/>
      <c r="H138" s="840" t="s"/>
      <c r="I138" s="508" t="s"/>
      <c r="J138" s="508" t="s"/>
      <c r="K138" s="508" t="s"/>
      <c r="L138" s="508" t="s"/>
      <c r="M138" s="508" t="s"/>
      <c r="N138" s="508" t="s"/>
      <c r="O138" s="508" t="s"/>
      <c r="P138" s="508" t="s"/>
      <c r="Q138" s="508" t="s"/>
      <c r="R138" s="508" t="s"/>
      <c r="S138" s="508" t="s"/>
      <c r="T138" s="508" t="s"/>
      <c r="U138" s="508" t="s"/>
      <c r="V138" s="508" t="s"/>
      <c r="W138" s="508" t="s"/>
      <c r="X138" s="508" t="s"/>
      <c r="Y138" s="508" t="s"/>
    </row>
    <row r="139" spans="1:25">
      <c r="A139" s="680" t="s"/>
      <c r="B139" s="837" t="s"/>
      <c r="C139" s="837" t="s"/>
      <c r="D139" s="838" t="s"/>
      <c r="E139" s="837" t="s"/>
      <c r="F139" s="839" t="s"/>
      <c r="G139" s="839" t="s"/>
      <c r="H139" s="840" t="s"/>
      <c r="I139" s="508" t="s"/>
      <c r="J139" s="508" t="s"/>
      <c r="K139" s="508" t="s"/>
      <c r="L139" s="508" t="s"/>
      <c r="M139" s="508" t="s"/>
      <c r="N139" s="508" t="s"/>
      <c r="O139" s="508" t="s"/>
      <c r="P139" s="508" t="s"/>
      <c r="Q139" s="508" t="s"/>
      <c r="R139" s="508" t="s"/>
      <c r="S139" s="508" t="s"/>
      <c r="T139" s="508" t="s"/>
      <c r="U139" s="508" t="s"/>
      <c r="V139" s="508" t="s"/>
      <c r="W139" s="508" t="s"/>
      <c r="X139" s="508" t="s"/>
      <c r="Y139" s="508" t="s"/>
    </row>
    <row r="140" spans="1:25">
      <c r="A140" s="680" t="s"/>
      <c r="B140" s="837" t="s"/>
      <c r="C140" s="837" t="s"/>
      <c r="D140" s="838" t="s"/>
      <c r="E140" s="837" t="s"/>
      <c r="F140" s="839" t="s"/>
      <c r="G140" s="839" t="s"/>
      <c r="H140" s="840" t="s"/>
      <c r="I140" s="508" t="s"/>
      <c r="J140" s="508" t="s"/>
      <c r="K140" s="508" t="s"/>
      <c r="L140" s="508" t="s"/>
      <c r="M140" s="508" t="s"/>
      <c r="N140" s="508" t="s"/>
      <c r="O140" s="508" t="s"/>
      <c r="P140" s="508" t="s"/>
      <c r="Q140" s="508" t="s"/>
      <c r="R140" s="508" t="s"/>
      <c r="S140" s="508" t="s"/>
      <c r="T140" s="508" t="s"/>
      <c r="U140" s="508" t="s"/>
      <c r="V140" s="508" t="s"/>
      <c r="W140" s="508" t="s"/>
      <c r="X140" s="508" t="s"/>
      <c r="Y140" s="508" t="s"/>
    </row>
    <row r="141" spans="1:25">
      <c r="A141" s="680" t="s"/>
      <c r="B141" s="837" t="s"/>
      <c r="C141" s="837" t="s"/>
      <c r="D141" s="838" t="s"/>
      <c r="E141" s="837" t="s"/>
      <c r="F141" s="839" t="s"/>
      <c r="G141" s="839" t="s"/>
      <c r="H141" s="840" t="s"/>
      <c r="I141" s="508" t="s"/>
      <c r="J141" s="508" t="s"/>
      <c r="K141" s="508" t="s"/>
      <c r="L141" s="508" t="s"/>
      <c r="M141" s="508" t="s"/>
      <c r="N141" s="508" t="s"/>
      <c r="O141" s="508" t="s"/>
      <c r="P141" s="508" t="s"/>
      <c r="Q141" s="508" t="s"/>
      <c r="R141" s="508" t="s"/>
      <c r="S141" s="508" t="s"/>
      <c r="T141" s="508" t="s"/>
      <c r="U141" s="508" t="s"/>
      <c r="V141" s="508" t="s"/>
      <c r="W141" s="508" t="s"/>
      <c r="X141" s="508" t="s"/>
      <c r="Y141" s="508" t="s"/>
    </row>
    <row r="142" spans="1:25">
      <c r="A142" s="680" t="s"/>
      <c r="B142" s="837" t="s"/>
      <c r="C142" s="837" t="s"/>
      <c r="D142" s="838" t="s"/>
      <c r="E142" s="837" t="s"/>
      <c r="F142" s="839" t="s"/>
      <c r="G142" s="839" t="s"/>
      <c r="H142" s="840" t="s"/>
      <c r="I142" s="508" t="s"/>
      <c r="J142" s="508" t="s"/>
      <c r="K142" s="508" t="s"/>
      <c r="L142" s="508" t="s"/>
      <c r="M142" s="508" t="s"/>
      <c r="N142" s="508" t="s"/>
      <c r="O142" s="508" t="s"/>
      <c r="P142" s="508" t="s"/>
      <c r="Q142" s="508" t="s"/>
      <c r="R142" s="508" t="s"/>
      <c r="S142" s="508" t="s"/>
      <c r="T142" s="508" t="s"/>
      <c r="U142" s="508" t="s"/>
      <c r="V142" s="508" t="s"/>
      <c r="W142" s="508" t="s"/>
      <c r="X142" s="508" t="s"/>
      <c r="Y142" s="508" t="s"/>
    </row>
    <row r="143" spans="1:25">
      <c r="A143" s="680" t="s"/>
      <c r="B143" s="837" t="s"/>
      <c r="C143" s="837" t="s"/>
      <c r="D143" s="838" t="s"/>
      <c r="E143" s="837" t="s"/>
      <c r="F143" s="839" t="s"/>
      <c r="G143" s="839" t="s"/>
      <c r="H143" s="840" t="s"/>
      <c r="I143" s="508" t="s"/>
      <c r="J143" s="508" t="s"/>
      <c r="K143" s="508" t="s"/>
      <c r="L143" s="508" t="s"/>
      <c r="M143" s="508" t="s"/>
      <c r="N143" s="508" t="s"/>
      <c r="O143" s="508" t="s"/>
      <c r="P143" s="508" t="s"/>
      <c r="Q143" s="508" t="s"/>
      <c r="R143" s="508" t="s"/>
      <c r="S143" s="508" t="s"/>
      <c r="T143" s="508" t="s"/>
      <c r="U143" s="508" t="s"/>
      <c r="V143" s="508" t="s"/>
      <c r="W143" s="508" t="s"/>
      <c r="X143" s="508" t="s"/>
      <c r="Y143" s="508" t="s"/>
    </row>
    <row r="144" spans="1:25">
      <c r="A144" s="680" t="s"/>
      <c r="B144" s="837" t="s"/>
      <c r="C144" s="837" t="s"/>
      <c r="D144" s="838" t="s"/>
      <c r="E144" s="837" t="s"/>
      <c r="F144" s="839" t="s"/>
      <c r="G144" s="839" t="s"/>
      <c r="H144" s="840" t="s"/>
      <c r="I144" s="508" t="s"/>
      <c r="J144" s="508" t="s"/>
      <c r="K144" s="508" t="s"/>
      <c r="L144" s="508" t="s"/>
      <c r="M144" s="508" t="s"/>
      <c r="N144" s="508" t="s"/>
      <c r="O144" s="508" t="s"/>
      <c r="P144" s="508" t="s"/>
      <c r="Q144" s="508" t="s"/>
      <c r="R144" s="508" t="s"/>
      <c r="S144" s="508" t="s"/>
      <c r="T144" s="508" t="s"/>
      <c r="U144" s="508" t="s"/>
      <c r="V144" s="508" t="s"/>
      <c r="W144" s="508" t="s"/>
      <c r="X144" s="508" t="s"/>
      <c r="Y144" s="508" t="s"/>
    </row>
    <row r="145" spans="1:25">
      <c r="A145" s="680" t="s"/>
      <c r="B145" s="837" t="s"/>
      <c r="C145" s="837" t="s"/>
      <c r="D145" s="838" t="s"/>
      <c r="E145" s="837" t="s"/>
      <c r="F145" s="839" t="s"/>
      <c r="G145" s="839" t="s"/>
      <c r="H145" s="840" t="s"/>
      <c r="I145" s="508" t="s"/>
      <c r="J145" s="508" t="s"/>
      <c r="K145" s="508" t="s"/>
      <c r="L145" s="508" t="s"/>
      <c r="M145" s="508" t="s"/>
      <c r="N145" s="508" t="s"/>
      <c r="O145" s="508" t="s"/>
      <c r="P145" s="508" t="s"/>
      <c r="Q145" s="508" t="s"/>
      <c r="R145" s="508" t="s"/>
      <c r="S145" s="508" t="s"/>
      <c r="T145" s="508" t="s"/>
      <c r="U145" s="508" t="s"/>
      <c r="V145" s="508" t="s"/>
      <c r="W145" s="508" t="s"/>
      <c r="X145" s="508" t="s"/>
      <c r="Y145" s="508" t="s"/>
    </row>
    <row r="146" spans="1:25">
      <c r="A146" s="680" t="s"/>
      <c r="B146" s="837" t="s"/>
      <c r="C146" s="837" t="s"/>
      <c r="D146" s="838" t="s"/>
      <c r="E146" s="837" t="s"/>
      <c r="F146" s="839" t="s"/>
      <c r="G146" s="839" t="s"/>
      <c r="H146" s="840" t="s"/>
      <c r="I146" s="508" t="s"/>
      <c r="J146" s="508" t="s"/>
      <c r="K146" s="508" t="s"/>
      <c r="L146" s="508" t="s"/>
      <c r="M146" s="508" t="s"/>
      <c r="N146" s="508" t="s"/>
      <c r="O146" s="508" t="s"/>
      <c r="P146" s="508" t="s"/>
      <c r="Q146" s="508" t="s"/>
      <c r="R146" s="508" t="s"/>
      <c r="S146" s="508" t="s"/>
      <c r="T146" s="508" t="s"/>
      <c r="U146" s="508" t="s"/>
      <c r="V146" s="508" t="s"/>
      <c r="W146" s="508" t="s"/>
      <c r="X146" s="508" t="s"/>
      <c r="Y146" s="508" t="s"/>
    </row>
    <row r="147" spans="1:25">
      <c r="A147" s="680" t="s"/>
      <c r="B147" s="837" t="s"/>
      <c r="C147" s="837" t="s"/>
      <c r="D147" s="838" t="s"/>
      <c r="E147" s="837" t="s"/>
      <c r="F147" s="839" t="s"/>
      <c r="G147" s="839" t="s"/>
      <c r="H147" s="840" t="s"/>
      <c r="I147" s="508" t="s"/>
      <c r="J147" s="508" t="s"/>
      <c r="K147" s="508" t="s"/>
      <c r="L147" s="508" t="s"/>
      <c r="M147" s="508" t="s"/>
      <c r="N147" s="508" t="s"/>
      <c r="O147" s="508" t="s"/>
      <c r="P147" s="508" t="s"/>
      <c r="Q147" s="508" t="s"/>
      <c r="R147" s="508" t="s"/>
      <c r="S147" s="508" t="s"/>
      <c r="T147" s="508" t="s"/>
      <c r="U147" s="508" t="s"/>
      <c r="V147" s="508" t="s"/>
      <c r="W147" s="508" t="s"/>
      <c r="X147" s="508" t="s"/>
      <c r="Y147" s="508" t="s"/>
    </row>
    <row r="148" spans="1:25">
      <c r="A148" s="680" t="s"/>
      <c r="B148" s="837" t="s"/>
      <c r="C148" s="837" t="s"/>
      <c r="D148" s="838" t="s"/>
      <c r="E148" s="837" t="s"/>
      <c r="F148" s="839" t="s"/>
      <c r="G148" s="839" t="s"/>
      <c r="H148" s="840" t="s"/>
      <c r="I148" s="508" t="s"/>
      <c r="J148" s="508" t="s"/>
      <c r="K148" s="508" t="s"/>
      <c r="L148" s="508" t="s"/>
      <c r="M148" s="508" t="s"/>
      <c r="N148" s="508" t="s"/>
      <c r="O148" s="508" t="s"/>
      <c r="P148" s="508" t="s"/>
      <c r="Q148" s="508" t="s"/>
      <c r="R148" s="508" t="s"/>
      <c r="S148" s="508" t="s"/>
      <c r="T148" s="508" t="s"/>
      <c r="U148" s="508" t="s"/>
      <c r="V148" s="508" t="s"/>
      <c r="W148" s="508" t="s"/>
      <c r="X148" s="508" t="s"/>
      <c r="Y148" s="508" t="s"/>
    </row>
    <row r="149" spans="1:25">
      <c r="A149" s="680" t="s"/>
      <c r="B149" s="837" t="s"/>
      <c r="C149" s="837" t="s"/>
      <c r="D149" s="838" t="s"/>
      <c r="E149" s="837" t="s"/>
      <c r="F149" s="839" t="s"/>
      <c r="G149" s="839" t="s"/>
      <c r="H149" s="840" t="s"/>
      <c r="I149" s="508" t="s"/>
      <c r="J149" s="508" t="s"/>
      <c r="K149" s="508" t="s"/>
      <c r="L149" s="508" t="s"/>
      <c r="M149" s="508" t="s"/>
      <c r="N149" s="508" t="s"/>
      <c r="O149" s="508" t="s"/>
      <c r="P149" s="508" t="s"/>
      <c r="Q149" s="508" t="s"/>
      <c r="R149" s="508" t="s"/>
      <c r="S149" s="508" t="s"/>
      <c r="T149" s="508" t="s"/>
      <c r="U149" s="508" t="s"/>
      <c r="V149" s="508" t="s"/>
      <c r="W149" s="508" t="s"/>
      <c r="X149" s="508" t="s"/>
      <c r="Y149" s="508" t="s"/>
    </row>
    <row r="150" spans="1:25">
      <c r="A150" s="680" t="s"/>
      <c r="B150" s="837" t="s"/>
      <c r="C150" s="837" t="s"/>
      <c r="D150" s="838" t="s"/>
      <c r="E150" s="837" t="s"/>
      <c r="F150" s="839" t="s"/>
      <c r="G150" s="839" t="s"/>
      <c r="H150" s="840" t="s"/>
      <c r="I150" s="508" t="s"/>
      <c r="J150" s="508" t="s"/>
      <c r="K150" s="508" t="s"/>
      <c r="L150" s="508" t="s"/>
      <c r="M150" s="508" t="s"/>
      <c r="N150" s="508" t="s"/>
      <c r="O150" s="508" t="s"/>
      <c r="P150" s="508" t="s"/>
      <c r="Q150" s="508" t="s"/>
      <c r="R150" s="508" t="s"/>
      <c r="S150" s="508" t="s"/>
      <c r="T150" s="508" t="s"/>
      <c r="U150" s="508" t="s"/>
      <c r="V150" s="508" t="s"/>
      <c r="W150" s="508" t="s"/>
      <c r="X150" s="508" t="s"/>
      <c r="Y150" s="508" t="s"/>
    </row>
    <row r="151" spans="1:25">
      <c r="A151" s="680" t="s"/>
      <c r="B151" s="837" t="s"/>
      <c r="C151" s="837" t="s"/>
      <c r="D151" s="838" t="s"/>
      <c r="E151" s="837" t="s"/>
      <c r="F151" s="839" t="s"/>
      <c r="G151" s="839" t="s"/>
      <c r="H151" s="840" t="s"/>
      <c r="I151" s="508" t="s"/>
      <c r="J151" s="508" t="s"/>
      <c r="K151" s="508" t="s"/>
      <c r="L151" s="508" t="s"/>
      <c r="M151" s="508" t="s"/>
      <c r="N151" s="508" t="s"/>
      <c r="O151" s="508" t="s"/>
      <c r="P151" s="508" t="s"/>
      <c r="Q151" s="508" t="s"/>
      <c r="R151" s="508" t="s"/>
      <c r="S151" s="508" t="s"/>
      <c r="T151" s="508" t="s"/>
      <c r="U151" s="508" t="s"/>
      <c r="V151" s="508" t="s"/>
      <c r="W151" s="508" t="s"/>
      <c r="X151" s="508" t="s"/>
      <c r="Y151" s="508" t="s"/>
    </row>
    <row r="152" spans="1:25">
      <c r="A152" s="680" t="s"/>
      <c r="B152" s="837" t="s"/>
      <c r="C152" s="837" t="s"/>
      <c r="D152" s="838" t="s"/>
      <c r="E152" s="837" t="s"/>
      <c r="F152" s="839" t="s"/>
      <c r="G152" s="839" t="s"/>
      <c r="H152" s="840" t="s"/>
      <c r="I152" s="508" t="s"/>
      <c r="J152" s="508" t="s"/>
      <c r="K152" s="508" t="s"/>
      <c r="L152" s="508" t="s"/>
      <c r="M152" s="508" t="s"/>
      <c r="N152" s="508" t="s"/>
      <c r="O152" s="508" t="s"/>
      <c r="P152" s="508" t="s"/>
      <c r="Q152" s="508" t="s"/>
      <c r="R152" s="508" t="s"/>
      <c r="S152" s="508" t="s"/>
      <c r="T152" s="508" t="s"/>
      <c r="U152" s="508" t="s"/>
      <c r="V152" s="508" t="s"/>
      <c r="W152" s="508" t="s"/>
      <c r="X152" s="508" t="s"/>
      <c r="Y152" s="508" t="s"/>
    </row>
    <row r="153" spans="1:25">
      <c r="A153" s="680" t="s"/>
      <c r="B153" s="837" t="s"/>
      <c r="C153" s="837" t="s"/>
      <c r="D153" s="838" t="s"/>
      <c r="E153" s="837" t="s"/>
      <c r="F153" s="839" t="s"/>
      <c r="G153" s="839" t="s"/>
      <c r="H153" s="840" t="s"/>
      <c r="I153" s="508" t="s"/>
      <c r="J153" s="508" t="s"/>
      <c r="K153" s="508" t="s"/>
      <c r="L153" s="508" t="s"/>
      <c r="M153" s="508" t="s"/>
      <c r="N153" s="508" t="s"/>
      <c r="O153" s="508" t="s"/>
      <c r="P153" s="508" t="s"/>
      <c r="Q153" s="508" t="s"/>
      <c r="R153" s="508" t="s"/>
      <c r="S153" s="508" t="s"/>
      <c r="T153" s="508" t="s"/>
      <c r="U153" s="508" t="s"/>
      <c r="V153" s="508" t="s"/>
      <c r="W153" s="508" t="s"/>
      <c r="X153" s="508" t="s"/>
      <c r="Y153" s="508" t="s"/>
    </row>
    <row r="154" spans="1:25">
      <c r="A154" s="680" t="s"/>
      <c r="B154" s="837" t="s"/>
      <c r="C154" s="837" t="s"/>
      <c r="D154" s="838" t="s"/>
      <c r="E154" s="837" t="s"/>
      <c r="F154" s="839" t="s"/>
      <c r="G154" s="839" t="s"/>
      <c r="H154" s="840" t="s"/>
      <c r="I154" s="508" t="s"/>
      <c r="J154" s="508" t="s"/>
      <c r="K154" s="508" t="s"/>
      <c r="L154" s="508" t="s"/>
      <c r="M154" s="508" t="s"/>
      <c r="N154" s="508" t="s"/>
      <c r="O154" s="508" t="s"/>
      <c r="P154" s="508" t="s"/>
      <c r="Q154" s="508" t="s"/>
      <c r="R154" s="508" t="s"/>
      <c r="S154" s="508" t="s"/>
      <c r="T154" s="508" t="s"/>
      <c r="U154" s="508" t="s"/>
      <c r="V154" s="508" t="s"/>
      <c r="W154" s="508" t="s"/>
      <c r="X154" s="508" t="s"/>
      <c r="Y154" s="508" t="s"/>
    </row>
    <row r="155" spans="1:25">
      <c r="A155" s="680" t="s"/>
      <c r="B155" s="837" t="s"/>
      <c r="C155" s="837" t="s"/>
      <c r="D155" s="838" t="s"/>
      <c r="E155" s="837" t="s"/>
      <c r="F155" s="839" t="s"/>
      <c r="G155" s="839" t="s"/>
      <c r="H155" s="840" t="s"/>
      <c r="I155" s="508" t="s"/>
      <c r="J155" s="508" t="s"/>
      <c r="K155" s="508" t="s"/>
      <c r="L155" s="508" t="s"/>
      <c r="M155" s="508" t="s"/>
      <c r="N155" s="508" t="s"/>
      <c r="O155" s="508" t="s"/>
      <c r="P155" s="508" t="s"/>
      <c r="Q155" s="508" t="s"/>
      <c r="R155" s="508" t="s"/>
      <c r="S155" s="508" t="s"/>
      <c r="T155" s="508" t="s"/>
      <c r="U155" s="508" t="s"/>
      <c r="V155" s="508" t="s"/>
      <c r="W155" s="508" t="s"/>
      <c r="X155" s="508" t="s"/>
      <c r="Y155" s="508" t="s"/>
    </row>
    <row r="156" spans="1:25">
      <c r="A156" s="680" t="s"/>
      <c r="B156" s="837" t="s"/>
      <c r="C156" s="837" t="s"/>
      <c r="D156" s="838" t="s"/>
      <c r="E156" s="837" t="s"/>
      <c r="F156" s="839" t="s"/>
      <c r="G156" s="839" t="s"/>
      <c r="H156" s="840" t="s"/>
      <c r="I156" s="508" t="s"/>
      <c r="J156" s="508" t="s"/>
      <c r="K156" s="508" t="s"/>
      <c r="L156" s="508" t="s"/>
      <c r="M156" s="508" t="s"/>
      <c r="N156" s="508" t="s"/>
      <c r="O156" s="508" t="s"/>
      <c r="P156" s="508" t="s"/>
      <c r="Q156" s="508" t="s"/>
      <c r="R156" s="508" t="s"/>
      <c r="S156" s="508" t="s"/>
      <c r="T156" s="508" t="s"/>
      <c r="U156" s="508" t="s"/>
      <c r="V156" s="508" t="s"/>
      <c r="W156" s="508" t="s"/>
      <c r="X156" s="508" t="s"/>
      <c r="Y156" s="508" t="s"/>
    </row>
    <row r="157" spans="1:25">
      <c r="A157" s="680" t="s"/>
      <c r="B157" s="837" t="s"/>
      <c r="C157" s="837" t="s"/>
      <c r="D157" s="838" t="s"/>
      <c r="E157" s="837" t="s"/>
      <c r="F157" s="839" t="s"/>
      <c r="G157" s="839" t="s"/>
      <c r="H157" s="840" t="s"/>
      <c r="I157" s="508" t="s"/>
      <c r="J157" s="508" t="s"/>
      <c r="K157" s="508" t="s"/>
      <c r="L157" s="508" t="s"/>
      <c r="M157" s="508" t="s"/>
      <c r="N157" s="508" t="s"/>
      <c r="O157" s="508" t="s"/>
      <c r="P157" s="508" t="s"/>
      <c r="Q157" s="508" t="s"/>
      <c r="R157" s="508" t="s"/>
      <c r="S157" s="508" t="s"/>
      <c r="T157" s="508" t="s"/>
      <c r="U157" s="508" t="s"/>
      <c r="V157" s="508" t="s"/>
      <c r="W157" s="508" t="s"/>
      <c r="X157" s="508" t="s"/>
      <c r="Y157" s="508" t="s"/>
    </row>
    <row r="158" spans="1:25">
      <c r="A158" s="680" t="s"/>
      <c r="B158" s="837" t="s"/>
      <c r="C158" s="837" t="s"/>
      <c r="D158" s="838" t="s"/>
      <c r="E158" s="837" t="s"/>
      <c r="F158" s="839" t="s"/>
      <c r="G158" s="839" t="s"/>
      <c r="H158" s="840" t="s"/>
      <c r="I158" s="508" t="s"/>
      <c r="J158" s="508" t="s"/>
      <c r="K158" s="508" t="s"/>
      <c r="L158" s="508" t="s"/>
      <c r="M158" s="508" t="s"/>
      <c r="N158" s="508" t="s"/>
      <c r="O158" s="508" t="s"/>
      <c r="P158" s="508" t="s"/>
      <c r="Q158" s="508" t="s"/>
      <c r="R158" s="508" t="s"/>
      <c r="S158" s="508" t="s"/>
      <c r="T158" s="508" t="s"/>
      <c r="U158" s="508" t="s"/>
      <c r="V158" s="508" t="s"/>
      <c r="W158" s="508" t="s"/>
      <c r="X158" s="508" t="s"/>
      <c r="Y158" s="508" t="s"/>
    </row>
    <row r="159" spans="1:25">
      <c r="A159" s="680" t="s"/>
      <c r="B159" s="837" t="s"/>
      <c r="C159" s="837" t="s"/>
      <c r="D159" s="838" t="s"/>
      <c r="E159" s="837" t="s"/>
      <c r="F159" s="839" t="s"/>
      <c r="G159" s="839" t="s"/>
      <c r="H159" s="840" t="s"/>
      <c r="I159" s="508" t="s"/>
      <c r="J159" s="508" t="s"/>
      <c r="K159" s="508" t="s"/>
      <c r="L159" s="508" t="s"/>
      <c r="M159" s="508" t="s"/>
      <c r="N159" s="508" t="s"/>
      <c r="O159" s="508" t="s"/>
      <c r="P159" s="508" t="s"/>
      <c r="Q159" s="508" t="s"/>
      <c r="R159" s="508" t="s"/>
      <c r="S159" s="508" t="s"/>
      <c r="T159" s="508" t="s"/>
      <c r="U159" s="508" t="s"/>
      <c r="V159" s="508" t="s"/>
      <c r="W159" s="508" t="s"/>
      <c r="X159" s="508" t="s"/>
      <c r="Y159" s="508" t="s"/>
    </row>
    <row r="160" spans="1:25">
      <c r="A160" s="680" t="s"/>
      <c r="B160" s="837" t="s"/>
      <c r="C160" s="837" t="s"/>
      <c r="D160" s="838" t="s"/>
      <c r="E160" s="837" t="s"/>
      <c r="F160" s="839" t="s"/>
      <c r="G160" s="839" t="s"/>
      <c r="H160" s="840" t="s"/>
      <c r="I160" s="508" t="s"/>
      <c r="J160" s="508" t="s"/>
      <c r="K160" s="508" t="s"/>
      <c r="L160" s="508" t="s"/>
      <c r="M160" s="508" t="s"/>
      <c r="N160" s="508" t="s"/>
      <c r="O160" s="508" t="s"/>
      <c r="P160" s="508" t="s"/>
      <c r="Q160" s="508" t="s"/>
      <c r="R160" s="508" t="s"/>
      <c r="S160" s="508" t="s"/>
      <c r="T160" s="508" t="s"/>
      <c r="U160" s="508" t="s"/>
      <c r="V160" s="508" t="s"/>
      <c r="W160" s="508" t="s"/>
      <c r="X160" s="508" t="s"/>
      <c r="Y160" s="508" t="s"/>
    </row>
    <row r="161" spans="1:25">
      <c r="A161" s="680" t="s"/>
      <c r="B161" s="837" t="s"/>
      <c r="C161" s="837" t="s"/>
      <c r="D161" s="838" t="s"/>
      <c r="E161" s="837" t="s"/>
      <c r="F161" s="839" t="s"/>
      <c r="G161" s="839" t="s"/>
      <c r="H161" s="840" t="s"/>
      <c r="I161" s="508" t="s"/>
      <c r="J161" s="508" t="s"/>
      <c r="K161" s="508" t="s"/>
      <c r="L161" s="508" t="s"/>
      <c r="M161" s="508" t="s"/>
      <c r="N161" s="508" t="s"/>
      <c r="O161" s="508" t="s"/>
      <c r="P161" s="508" t="s"/>
      <c r="Q161" s="508" t="s"/>
      <c r="R161" s="508" t="s"/>
      <c r="S161" s="508" t="s"/>
      <c r="T161" s="508" t="s"/>
      <c r="U161" s="508" t="s"/>
      <c r="V161" s="508" t="s"/>
      <c r="W161" s="508" t="s"/>
      <c r="X161" s="508" t="s"/>
      <c r="Y161" s="508" t="s"/>
    </row>
    <row r="162" spans="1:25">
      <c r="A162" s="680" t="s"/>
      <c r="B162" s="837" t="s"/>
      <c r="C162" s="837" t="s"/>
      <c r="D162" s="838" t="s"/>
      <c r="E162" s="837" t="s"/>
      <c r="F162" s="839" t="s"/>
      <c r="G162" s="839" t="s"/>
      <c r="H162" s="840" t="s"/>
      <c r="I162" s="508" t="s"/>
      <c r="J162" s="508" t="s"/>
      <c r="K162" s="508" t="s"/>
      <c r="L162" s="508" t="s"/>
      <c r="M162" s="508" t="s"/>
      <c r="N162" s="508" t="s"/>
      <c r="O162" s="508" t="s"/>
      <c r="P162" s="508" t="s"/>
      <c r="Q162" s="508" t="s"/>
      <c r="R162" s="508" t="s"/>
      <c r="S162" s="508" t="s"/>
      <c r="T162" s="508" t="s"/>
      <c r="U162" s="508" t="s"/>
      <c r="V162" s="508" t="s"/>
      <c r="W162" s="508" t="s"/>
      <c r="X162" s="508" t="s"/>
      <c r="Y162" s="508" t="s"/>
    </row>
    <row r="163" spans="1:25">
      <c r="A163" s="680" t="s"/>
      <c r="B163" s="837" t="s"/>
      <c r="C163" s="837" t="s"/>
      <c r="D163" s="838" t="s"/>
      <c r="E163" s="837" t="s"/>
      <c r="F163" s="839" t="s"/>
      <c r="G163" s="839" t="s"/>
      <c r="H163" s="840" t="s"/>
      <c r="I163" s="508" t="s"/>
      <c r="J163" s="508" t="s"/>
      <c r="K163" s="508" t="s"/>
      <c r="L163" s="508" t="s"/>
      <c r="M163" s="508" t="s"/>
      <c r="N163" s="508" t="s"/>
      <c r="O163" s="508" t="s"/>
      <c r="P163" s="508" t="s"/>
      <c r="Q163" s="508" t="s"/>
      <c r="R163" s="508" t="s"/>
      <c r="S163" s="508" t="s"/>
      <c r="T163" s="508" t="s"/>
      <c r="U163" s="508" t="s"/>
      <c r="V163" s="508" t="s"/>
      <c r="W163" s="508" t="s"/>
      <c r="X163" s="508" t="s"/>
      <c r="Y163" s="508" t="s"/>
    </row>
    <row r="164" spans="1:25">
      <c r="A164" s="680" t="s"/>
      <c r="B164" s="837" t="s"/>
      <c r="C164" s="837" t="s"/>
      <c r="D164" s="838" t="s"/>
      <c r="E164" s="837" t="s"/>
      <c r="F164" s="839" t="s"/>
      <c r="G164" s="839" t="s"/>
      <c r="H164" s="840" t="s"/>
      <c r="I164" s="508" t="s"/>
      <c r="J164" s="508" t="s"/>
      <c r="K164" s="508" t="s"/>
      <c r="L164" s="508" t="s"/>
      <c r="M164" s="508" t="s"/>
      <c r="N164" s="508" t="s"/>
      <c r="O164" s="508" t="s"/>
      <c r="P164" s="508" t="s"/>
      <c r="Q164" s="508" t="s"/>
      <c r="R164" s="508" t="s"/>
      <c r="S164" s="508" t="s"/>
      <c r="T164" s="508" t="s"/>
      <c r="U164" s="508" t="s"/>
      <c r="V164" s="508" t="s"/>
      <c r="W164" s="508" t="s"/>
      <c r="X164" s="508" t="s"/>
      <c r="Y164" s="508" t="s"/>
    </row>
    <row r="165" spans="1:25">
      <c r="A165" s="680" t="s"/>
      <c r="B165" s="837" t="s"/>
      <c r="C165" s="837" t="s"/>
      <c r="D165" s="838" t="s"/>
      <c r="E165" s="837" t="s"/>
      <c r="F165" s="839" t="s"/>
      <c r="G165" s="839" t="s"/>
      <c r="H165" s="840" t="s"/>
      <c r="I165" s="508" t="s"/>
      <c r="J165" s="508" t="s"/>
      <c r="K165" s="508" t="s"/>
      <c r="L165" s="508" t="s"/>
      <c r="M165" s="508" t="s"/>
      <c r="N165" s="508" t="s"/>
      <c r="O165" s="508" t="s"/>
      <c r="P165" s="508" t="s"/>
      <c r="Q165" s="508" t="s"/>
      <c r="R165" s="508" t="s"/>
      <c r="S165" s="508" t="s"/>
      <c r="T165" s="508" t="s"/>
      <c r="U165" s="508" t="s"/>
      <c r="V165" s="508" t="s"/>
      <c r="W165" s="508" t="s"/>
      <c r="X165" s="508" t="s"/>
      <c r="Y165" s="508" t="s"/>
    </row>
    <row r="166" spans="1:25">
      <c r="A166" s="680" t="s"/>
      <c r="B166" s="837" t="s"/>
      <c r="C166" s="837" t="s"/>
      <c r="D166" s="838" t="s"/>
      <c r="E166" s="837" t="s"/>
      <c r="F166" s="839" t="s"/>
      <c r="G166" s="839" t="s"/>
      <c r="H166" s="840" t="s"/>
      <c r="I166" s="508" t="s"/>
      <c r="J166" s="508" t="s"/>
      <c r="K166" s="508" t="s"/>
      <c r="L166" s="508" t="s"/>
      <c r="M166" s="508" t="s"/>
      <c r="N166" s="508" t="s"/>
      <c r="O166" s="508" t="s"/>
      <c r="P166" s="508" t="s"/>
      <c r="Q166" s="508" t="s"/>
      <c r="R166" s="508" t="s"/>
      <c r="S166" s="508" t="s"/>
      <c r="T166" s="508" t="s"/>
      <c r="U166" s="508" t="s"/>
      <c r="V166" s="508" t="s"/>
      <c r="W166" s="508" t="s"/>
      <c r="X166" s="508" t="s"/>
      <c r="Y166" s="508" t="s"/>
    </row>
    <row r="167" spans="1:25">
      <c r="A167" s="680" t="s"/>
      <c r="B167" s="837" t="s"/>
      <c r="C167" s="837" t="s"/>
      <c r="D167" s="838" t="s"/>
      <c r="E167" s="837" t="s"/>
      <c r="F167" s="839" t="s"/>
      <c r="G167" s="839" t="s"/>
      <c r="H167" s="840" t="s"/>
      <c r="I167" s="508" t="s"/>
      <c r="J167" s="508" t="s"/>
      <c r="K167" s="508" t="s"/>
      <c r="L167" s="508" t="s"/>
      <c r="M167" s="508" t="s"/>
      <c r="N167" s="508" t="s"/>
      <c r="O167" s="508" t="s"/>
      <c r="P167" s="508" t="s"/>
      <c r="Q167" s="508" t="s"/>
      <c r="R167" s="508" t="s"/>
      <c r="S167" s="508" t="s"/>
      <c r="T167" s="508" t="s"/>
      <c r="U167" s="508" t="s"/>
      <c r="V167" s="508" t="s"/>
      <c r="W167" s="508" t="s"/>
      <c r="X167" s="508" t="s"/>
      <c r="Y167" s="508" t="s"/>
    </row>
    <row r="168" spans="1:25">
      <c r="A168" s="680" t="s"/>
      <c r="B168" s="837" t="s"/>
      <c r="C168" s="837" t="s"/>
      <c r="D168" s="838" t="s"/>
      <c r="E168" s="837" t="s"/>
      <c r="F168" s="839" t="s"/>
      <c r="G168" s="839" t="s"/>
      <c r="H168" s="840" t="s"/>
      <c r="I168" s="508" t="s"/>
      <c r="J168" s="508" t="s"/>
      <c r="K168" s="508" t="s"/>
      <c r="L168" s="508" t="s"/>
      <c r="M168" s="508" t="s"/>
      <c r="N168" s="508" t="s"/>
      <c r="O168" s="508" t="s"/>
      <c r="P168" s="508" t="s"/>
      <c r="Q168" s="508" t="s"/>
      <c r="R168" s="508" t="s"/>
      <c r="S168" s="508" t="s"/>
      <c r="T168" s="508" t="s"/>
      <c r="U168" s="508" t="s"/>
      <c r="V168" s="508" t="s"/>
      <c r="W168" s="508" t="s"/>
      <c r="X168" s="508" t="s"/>
      <c r="Y168" s="508" t="s"/>
    </row>
    <row r="169" spans="1:25">
      <c r="A169" s="680" t="s"/>
      <c r="B169" s="837" t="s"/>
      <c r="C169" s="837" t="s"/>
      <c r="D169" s="838" t="s"/>
      <c r="E169" s="837" t="s"/>
      <c r="F169" s="839" t="s"/>
      <c r="G169" s="839" t="s"/>
      <c r="H169" s="840" t="s"/>
      <c r="I169" s="508" t="s"/>
      <c r="J169" s="508" t="s"/>
      <c r="K169" s="508" t="s"/>
      <c r="L169" s="508" t="s"/>
      <c r="M169" s="508" t="s"/>
      <c r="N169" s="508" t="s"/>
      <c r="O169" s="508" t="s"/>
      <c r="P169" s="508" t="s"/>
      <c r="Q169" s="508" t="s"/>
      <c r="R169" s="508" t="s"/>
      <c r="S169" s="508" t="s"/>
      <c r="T169" s="508" t="s"/>
      <c r="U169" s="508" t="s"/>
      <c r="V169" s="508" t="s"/>
      <c r="W169" s="508" t="s"/>
      <c r="X169" s="508" t="s"/>
      <c r="Y169" s="508" t="s"/>
    </row>
    <row r="170" spans="1:25">
      <c r="A170" s="680" t="s"/>
      <c r="B170" s="837" t="s"/>
      <c r="C170" s="837" t="s"/>
      <c r="D170" s="838" t="s"/>
      <c r="E170" s="837" t="s"/>
      <c r="F170" s="839" t="s"/>
      <c r="G170" s="839" t="s"/>
      <c r="H170" s="840" t="s"/>
      <c r="I170" s="508" t="s"/>
      <c r="J170" s="508" t="s"/>
      <c r="K170" s="508" t="s"/>
      <c r="L170" s="508" t="s"/>
      <c r="M170" s="508" t="s"/>
      <c r="N170" s="508" t="s"/>
      <c r="O170" s="508" t="s"/>
      <c r="P170" s="508" t="s"/>
      <c r="Q170" s="508" t="s"/>
      <c r="R170" s="508" t="s"/>
      <c r="S170" s="508" t="s"/>
      <c r="T170" s="508" t="s"/>
      <c r="U170" s="508" t="s"/>
      <c r="V170" s="508" t="s"/>
      <c r="W170" s="508" t="s"/>
      <c r="X170" s="508" t="s"/>
      <c r="Y170" s="508" t="s"/>
    </row>
    <row r="171" spans="1:25">
      <c r="A171" s="680" t="s"/>
      <c r="B171" s="837" t="s"/>
      <c r="C171" s="837" t="s"/>
      <c r="D171" s="838" t="s"/>
      <c r="E171" s="837" t="s"/>
      <c r="F171" s="839" t="s"/>
      <c r="G171" s="839" t="s"/>
      <c r="H171" s="840" t="s"/>
      <c r="I171" s="508" t="s"/>
      <c r="J171" s="508" t="s"/>
      <c r="K171" s="508" t="s"/>
      <c r="L171" s="508" t="s"/>
      <c r="M171" s="508" t="s"/>
      <c r="N171" s="508" t="s"/>
      <c r="O171" s="508" t="s"/>
      <c r="P171" s="508" t="s"/>
      <c r="Q171" s="508" t="s"/>
      <c r="R171" s="508" t="s"/>
      <c r="S171" s="508" t="s"/>
      <c r="T171" s="508" t="s"/>
      <c r="U171" s="508" t="s"/>
      <c r="V171" s="508" t="s"/>
      <c r="W171" s="508" t="s"/>
      <c r="X171" s="508" t="s"/>
      <c r="Y171" s="508" t="s"/>
    </row>
    <row r="172" spans="1:25">
      <c r="A172" s="680" t="s"/>
      <c r="B172" s="837" t="s"/>
      <c r="C172" s="837" t="s"/>
      <c r="D172" s="838" t="s"/>
      <c r="E172" s="837" t="s"/>
      <c r="F172" s="839" t="s"/>
      <c r="G172" s="839" t="s"/>
      <c r="H172" s="840" t="s"/>
      <c r="I172" s="508" t="s"/>
      <c r="J172" s="508" t="s"/>
      <c r="K172" s="508" t="s"/>
      <c r="L172" s="508" t="s"/>
      <c r="M172" s="508" t="s"/>
      <c r="N172" s="508" t="s"/>
      <c r="O172" s="508" t="s"/>
      <c r="P172" s="508" t="s"/>
      <c r="Q172" s="508" t="s"/>
      <c r="R172" s="508" t="s"/>
      <c r="S172" s="508" t="s"/>
      <c r="T172" s="508" t="s"/>
      <c r="U172" s="508" t="s"/>
      <c r="V172" s="508" t="s"/>
      <c r="W172" s="508" t="s"/>
      <c r="X172" s="508" t="s"/>
      <c r="Y172" s="508" t="s"/>
    </row>
    <row r="173" spans="1:25">
      <c r="A173" s="680" t="s"/>
      <c r="B173" s="837" t="s"/>
      <c r="C173" s="837" t="s"/>
      <c r="D173" s="838" t="s"/>
      <c r="E173" s="837" t="s"/>
      <c r="F173" s="839" t="s"/>
      <c r="G173" s="839" t="s"/>
      <c r="H173" s="840" t="s"/>
      <c r="I173" s="508" t="s"/>
      <c r="J173" s="508" t="s"/>
      <c r="K173" s="508" t="s"/>
      <c r="L173" s="508" t="s"/>
      <c r="M173" s="508" t="s"/>
      <c r="N173" s="508" t="s"/>
      <c r="O173" s="508" t="s"/>
      <c r="P173" s="508" t="s"/>
      <c r="Q173" s="508" t="s"/>
      <c r="R173" s="508" t="s"/>
      <c r="S173" s="508" t="s"/>
      <c r="T173" s="508" t="s"/>
      <c r="U173" s="508" t="s"/>
      <c r="V173" s="508" t="s"/>
      <c r="W173" s="508" t="s"/>
      <c r="X173" s="508" t="s"/>
      <c r="Y173" s="508" t="s"/>
    </row>
    <row r="174" spans="1:25">
      <c r="A174" s="680" t="s"/>
      <c r="B174" s="837" t="s"/>
      <c r="C174" s="837" t="s"/>
      <c r="D174" s="838" t="s"/>
      <c r="E174" s="837" t="s"/>
      <c r="F174" s="839" t="s"/>
      <c r="G174" s="839" t="s"/>
      <c r="H174" s="840" t="s"/>
      <c r="I174" s="508" t="s"/>
      <c r="J174" s="508" t="s"/>
      <c r="K174" s="508" t="s"/>
      <c r="L174" s="508" t="s"/>
      <c r="M174" s="508" t="s"/>
      <c r="N174" s="508" t="s"/>
      <c r="O174" s="508" t="s"/>
      <c r="P174" s="508" t="s"/>
      <c r="Q174" s="508" t="s"/>
      <c r="R174" s="508" t="s"/>
      <c r="S174" s="508" t="s"/>
      <c r="T174" s="508" t="s"/>
      <c r="U174" s="508" t="s"/>
      <c r="V174" s="508" t="s"/>
      <c r="W174" s="508" t="s"/>
      <c r="X174" s="508" t="s"/>
      <c r="Y174" s="508" t="s"/>
    </row>
    <row r="175" spans="1:25">
      <c r="A175" s="680" t="s"/>
      <c r="B175" s="837" t="s"/>
      <c r="C175" s="837" t="s"/>
      <c r="D175" s="838" t="s"/>
      <c r="E175" s="837" t="s"/>
      <c r="F175" s="839" t="s"/>
      <c r="G175" s="839" t="s"/>
      <c r="H175" s="840" t="s"/>
      <c r="I175" s="508" t="s"/>
      <c r="J175" s="508" t="s"/>
      <c r="K175" s="508" t="s"/>
      <c r="L175" s="508" t="s"/>
      <c r="M175" s="508" t="s"/>
      <c r="N175" s="508" t="s"/>
      <c r="O175" s="508" t="s"/>
      <c r="P175" s="508" t="s"/>
      <c r="Q175" s="508" t="s"/>
      <c r="R175" s="508" t="s"/>
      <c r="S175" s="508" t="s"/>
      <c r="T175" s="508" t="s"/>
      <c r="U175" s="508" t="s"/>
      <c r="V175" s="508" t="s"/>
      <c r="W175" s="508" t="s"/>
      <c r="X175" s="508" t="s"/>
      <c r="Y175" s="508" t="s"/>
    </row>
    <row r="176" spans="1:25">
      <c r="A176" s="680" t="s"/>
      <c r="B176" s="837" t="s"/>
      <c r="C176" s="837" t="s"/>
      <c r="D176" s="838" t="s"/>
      <c r="E176" s="837" t="s"/>
      <c r="F176" s="839" t="s"/>
      <c r="G176" s="839" t="s"/>
      <c r="H176" s="840" t="s"/>
      <c r="I176" s="508" t="s"/>
      <c r="J176" s="508" t="s"/>
      <c r="K176" s="508" t="s"/>
      <c r="L176" s="508" t="s"/>
      <c r="M176" s="508" t="s"/>
      <c r="N176" s="508" t="s"/>
      <c r="O176" s="508" t="s"/>
      <c r="P176" s="508" t="s"/>
      <c r="Q176" s="508" t="s"/>
      <c r="R176" s="508" t="s"/>
      <c r="S176" s="508" t="s"/>
      <c r="T176" s="508" t="s"/>
      <c r="U176" s="508" t="s"/>
      <c r="V176" s="508" t="s"/>
      <c r="W176" s="508" t="s"/>
      <c r="X176" s="508" t="s"/>
      <c r="Y176" s="508" t="s"/>
    </row>
    <row r="177" spans="1:25">
      <c r="A177" s="680" t="s"/>
      <c r="B177" s="837" t="s"/>
      <c r="C177" s="837" t="s"/>
      <c r="D177" s="838" t="s"/>
      <c r="E177" s="837" t="s"/>
      <c r="F177" s="839" t="s"/>
      <c r="G177" s="839" t="s"/>
      <c r="H177" s="840" t="s"/>
      <c r="I177" s="508" t="s"/>
      <c r="J177" s="508" t="s"/>
      <c r="K177" s="508" t="s"/>
      <c r="L177" s="508" t="s"/>
      <c r="M177" s="508" t="s"/>
      <c r="N177" s="508" t="s"/>
      <c r="O177" s="508" t="s"/>
      <c r="P177" s="508" t="s"/>
      <c r="Q177" s="508" t="s"/>
      <c r="R177" s="508" t="s"/>
      <c r="S177" s="508" t="s"/>
      <c r="T177" s="508" t="s"/>
      <c r="U177" s="508" t="s"/>
      <c r="V177" s="508" t="s"/>
      <c r="W177" s="508" t="s"/>
      <c r="X177" s="508" t="s"/>
      <c r="Y177" s="508" t="s"/>
    </row>
    <row r="178" spans="1:25">
      <c r="A178" s="680" t="s"/>
      <c r="B178" s="837" t="s"/>
      <c r="C178" s="837" t="s"/>
      <c r="D178" s="838" t="s"/>
      <c r="E178" s="837" t="s"/>
      <c r="F178" s="839" t="s"/>
      <c r="G178" s="839" t="s"/>
      <c r="H178" s="840" t="s"/>
      <c r="I178" s="508" t="s"/>
      <c r="J178" s="508" t="s"/>
      <c r="K178" s="508" t="s"/>
      <c r="L178" s="508" t="s"/>
      <c r="M178" s="508" t="s"/>
      <c r="N178" s="508" t="s"/>
      <c r="O178" s="508" t="s"/>
      <c r="P178" s="508" t="s"/>
      <c r="Q178" s="508" t="s"/>
      <c r="R178" s="508" t="s"/>
      <c r="S178" s="508" t="s"/>
      <c r="T178" s="508" t="s"/>
      <c r="U178" s="508" t="s"/>
      <c r="V178" s="508" t="s"/>
      <c r="W178" s="508" t="s"/>
      <c r="X178" s="508" t="s"/>
      <c r="Y178" s="508" t="s"/>
    </row>
    <row r="179" spans="1:25">
      <c r="A179" s="680" t="s"/>
      <c r="B179" s="837" t="s"/>
      <c r="C179" s="837" t="s"/>
      <c r="D179" s="838" t="s"/>
      <c r="E179" s="837" t="s"/>
      <c r="F179" s="839" t="s"/>
      <c r="G179" s="839" t="s"/>
      <c r="H179" s="840" t="s"/>
      <c r="I179" s="508" t="s"/>
      <c r="J179" s="508" t="s"/>
      <c r="K179" s="508" t="s"/>
      <c r="L179" s="508" t="s"/>
      <c r="M179" s="508" t="s"/>
      <c r="N179" s="508" t="s"/>
      <c r="O179" s="508" t="s"/>
      <c r="P179" s="508" t="s"/>
      <c r="Q179" s="508" t="s"/>
      <c r="R179" s="508" t="s"/>
      <c r="S179" s="508" t="s"/>
      <c r="T179" s="508" t="s"/>
      <c r="U179" s="508" t="s"/>
      <c r="V179" s="508" t="s"/>
      <c r="W179" s="508" t="s"/>
      <c r="X179" s="508" t="s"/>
      <c r="Y179" s="508" t="s"/>
    </row>
    <row r="180" spans="1:25">
      <c r="A180" s="680" t="s"/>
      <c r="B180" s="837" t="s"/>
      <c r="C180" s="837" t="s"/>
      <c r="D180" s="838" t="s"/>
      <c r="E180" s="837" t="s"/>
      <c r="F180" s="839" t="s"/>
      <c r="G180" s="839" t="s"/>
      <c r="H180" s="840" t="s"/>
      <c r="I180" s="508" t="s"/>
      <c r="J180" s="508" t="s"/>
      <c r="K180" s="508" t="s"/>
      <c r="L180" s="508" t="s"/>
      <c r="M180" s="508" t="s"/>
      <c r="N180" s="508" t="s"/>
      <c r="O180" s="508" t="s"/>
      <c r="P180" s="508" t="s"/>
      <c r="Q180" s="508" t="s"/>
      <c r="R180" s="508" t="s"/>
      <c r="S180" s="508" t="s"/>
      <c r="T180" s="508" t="s"/>
      <c r="U180" s="508" t="s"/>
      <c r="V180" s="508" t="s"/>
      <c r="W180" s="508" t="s"/>
      <c r="X180" s="508" t="s"/>
      <c r="Y180" s="508" t="s"/>
    </row>
    <row r="181" spans="1:25">
      <c r="A181" s="680" t="s"/>
      <c r="B181" s="837" t="s"/>
      <c r="C181" s="837" t="s"/>
      <c r="D181" s="838" t="s"/>
      <c r="E181" s="837" t="s"/>
      <c r="F181" s="839" t="s"/>
      <c r="G181" s="839" t="s"/>
      <c r="H181" s="840" t="s"/>
      <c r="I181" s="508" t="s"/>
      <c r="J181" s="508" t="s"/>
      <c r="K181" s="508" t="s"/>
      <c r="L181" s="508" t="s"/>
      <c r="M181" s="508" t="s"/>
      <c r="N181" s="508" t="s"/>
      <c r="O181" s="508" t="s"/>
      <c r="P181" s="508" t="s"/>
      <c r="Q181" s="508" t="s"/>
      <c r="R181" s="508" t="s"/>
      <c r="S181" s="508" t="s"/>
      <c r="T181" s="508" t="s"/>
      <c r="U181" s="508" t="s"/>
      <c r="V181" s="508" t="s"/>
      <c r="W181" s="508" t="s"/>
      <c r="X181" s="508" t="s"/>
      <c r="Y181" s="508" t="s"/>
    </row>
    <row r="182" spans="1:25">
      <c r="A182" s="680" t="s"/>
      <c r="B182" s="837" t="s"/>
      <c r="C182" s="837" t="s"/>
      <c r="D182" s="838" t="s"/>
      <c r="E182" s="837" t="s"/>
      <c r="F182" s="839" t="s"/>
      <c r="G182" s="839" t="s"/>
      <c r="H182" s="840" t="s"/>
      <c r="I182" s="508" t="s"/>
      <c r="J182" s="508" t="s"/>
      <c r="K182" s="508" t="s"/>
      <c r="L182" s="508" t="s"/>
      <c r="M182" s="508" t="s"/>
      <c r="N182" s="508" t="s"/>
      <c r="O182" s="508" t="s"/>
      <c r="P182" s="508" t="s"/>
      <c r="Q182" s="508" t="s"/>
      <c r="R182" s="508" t="s"/>
      <c r="S182" s="508" t="s"/>
      <c r="T182" s="508" t="s"/>
      <c r="U182" s="508" t="s"/>
      <c r="V182" s="508" t="s"/>
      <c r="W182" s="508" t="s"/>
      <c r="X182" s="508" t="s"/>
      <c r="Y182" s="508" t="s"/>
    </row>
    <row r="183" spans="1:25">
      <c r="A183" s="680" t="s"/>
      <c r="B183" s="837" t="s"/>
      <c r="C183" s="837" t="s"/>
      <c r="D183" s="838" t="s"/>
      <c r="E183" s="837" t="s"/>
      <c r="F183" s="839" t="s"/>
      <c r="G183" s="839" t="s"/>
      <c r="H183" s="840" t="s"/>
      <c r="I183" s="508" t="s"/>
      <c r="J183" s="508" t="s"/>
      <c r="K183" s="508" t="s"/>
      <c r="L183" s="508" t="s"/>
      <c r="M183" s="508" t="s"/>
      <c r="N183" s="508" t="s"/>
      <c r="O183" s="508" t="s"/>
      <c r="P183" s="508" t="s"/>
      <c r="Q183" s="508" t="s"/>
      <c r="R183" s="508" t="s"/>
      <c r="S183" s="508" t="s"/>
      <c r="T183" s="508" t="s"/>
      <c r="U183" s="508" t="s"/>
      <c r="V183" s="508" t="s"/>
      <c r="W183" s="508" t="s"/>
      <c r="X183" s="508" t="s"/>
      <c r="Y183" s="508" t="s"/>
    </row>
    <row r="184" spans="1:25">
      <c r="A184" s="680" t="s"/>
      <c r="B184" s="837" t="s"/>
      <c r="C184" s="837" t="s"/>
      <c r="D184" s="838" t="s"/>
      <c r="E184" s="837" t="s"/>
      <c r="F184" s="839" t="s"/>
      <c r="G184" s="839" t="s"/>
      <c r="H184" s="840" t="s"/>
      <c r="I184" s="508" t="s"/>
      <c r="J184" s="508" t="s"/>
      <c r="K184" s="508" t="s"/>
      <c r="L184" s="508" t="s"/>
      <c r="M184" s="508" t="s"/>
      <c r="N184" s="508" t="s"/>
      <c r="O184" s="508" t="s"/>
      <c r="P184" s="508" t="s"/>
      <c r="Q184" s="508" t="s"/>
      <c r="R184" s="508" t="s"/>
      <c r="S184" s="508" t="s"/>
      <c r="T184" s="508" t="s"/>
      <c r="U184" s="508" t="s"/>
      <c r="V184" s="508" t="s"/>
      <c r="W184" s="508" t="s"/>
      <c r="X184" s="508" t="s"/>
      <c r="Y184" s="508" t="s"/>
    </row>
    <row r="185" spans="1:25">
      <c r="A185" s="680" t="s"/>
      <c r="B185" s="837" t="s"/>
      <c r="C185" s="837" t="s"/>
      <c r="D185" s="838" t="s"/>
      <c r="E185" s="837" t="s"/>
      <c r="F185" s="839" t="s"/>
      <c r="G185" s="839" t="s"/>
      <c r="H185" s="840" t="s"/>
      <c r="I185" s="508" t="s"/>
      <c r="J185" s="508" t="s"/>
      <c r="K185" s="508" t="s"/>
      <c r="L185" s="508" t="s"/>
      <c r="M185" s="508" t="s"/>
      <c r="N185" s="508" t="s"/>
      <c r="O185" s="508" t="s"/>
      <c r="P185" s="508" t="s"/>
      <c r="Q185" s="508" t="s"/>
      <c r="R185" s="508" t="s"/>
      <c r="S185" s="508" t="s"/>
      <c r="T185" s="508" t="s"/>
      <c r="U185" s="508" t="s"/>
      <c r="V185" s="508" t="s"/>
      <c r="W185" s="508" t="s"/>
      <c r="X185" s="508" t="s"/>
      <c r="Y185" s="508" t="s"/>
    </row>
    <row r="186" spans="1:25">
      <c r="A186" s="680" t="s"/>
      <c r="B186" s="837" t="s"/>
      <c r="C186" s="837" t="s"/>
      <c r="D186" s="838" t="s"/>
      <c r="E186" s="837" t="s"/>
      <c r="F186" s="839" t="s"/>
      <c r="G186" s="839" t="s"/>
      <c r="H186" s="840" t="s"/>
      <c r="I186" s="508" t="s"/>
      <c r="J186" s="508" t="s"/>
      <c r="K186" s="508" t="s"/>
      <c r="L186" s="508" t="s"/>
      <c r="M186" s="508" t="s"/>
      <c r="N186" s="508" t="s"/>
      <c r="O186" s="508" t="s"/>
      <c r="P186" s="508" t="s"/>
      <c r="Q186" s="508" t="s"/>
      <c r="R186" s="508" t="s"/>
      <c r="S186" s="508" t="s"/>
      <c r="T186" s="508" t="s"/>
      <c r="U186" s="508" t="s"/>
      <c r="V186" s="508" t="s"/>
      <c r="W186" s="508" t="s"/>
      <c r="X186" s="508" t="s"/>
      <c r="Y186" s="508" t="s"/>
    </row>
    <row r="187" spans="1:25">
      <c r="A187" s="680" t="s"/>
      <c r="B187" s="837" t="s"/>
      <c r="C187" s="837" t="s"/>
      <c r="D187" s="838" t="s"/>
      <c r="E187" s="837" t="s"/>
      <c r="F187" s="839" t="s"/>
      <c r="G187" s="839" t="s"/>
      <c r="H187" s="840" t="s"/>
      <c r="I187" s="508" t="s"/>
      <c r="J187" s="508" t="s"/>
      <c r="K187" s="508" t="s"/>
      <c r="L187" s="508" t="s"/>
      <c r="M187" s="508" t="s"/>
      <c r="N187" s="508" t="s"/>
      <c r="O187" s="508" t="s"/>
      <c r="P187" s="508" t="s"/>
      <c r="Q187" s="508" t="s"/>
      <c r="R187" s="508" t="s"/>
      <c r="S187" s="508" t="s"/>
      <c r="T187" s="508" t="s"/>
      <c r="U187" s="508" t="s"/>
      <c r="V187" s="508" t="s"/>
      <c r="W187" s="508" t="s"/>
      <c r="X187" s="508" t="s"/>
      <c r="Y187" s="508" t="s"/>
    </row>
    <row r="188" spans="1:25">
      <c r="A188" s="680" t="s"/>
      <c r="B188" s="837" t="s"/>
      <c r="C188" s="837" t="s"/>
      <c r="D188" s="838" t="s"/>
      <c r="E188" s="837" t="s"/>
      <c r="F188" s="839" t="s"/>
      <c r="G188" s="839" t="s"/>
      <c r="H188" s="840" t="s"/>
      <c r="I188" s="508" t="s"/>
      <c r="J188" s="508" t="s"/>
      <c r="K188" s="508" t="s"/>
      <c r="L188" s="508" t="s"/>
      <c r="M188" s="508" t="s"/>
      <c r="N188" s="508" t="s"/>
      <c r="O188" s="508" t="s"/>
      <c r="P188" s="508" t="s"/>
      <c r="Q188" s="508" t="s"/>
      <c r="R188" s="508" t="s"/>
      <c r="S188" s="508" t="s"/>
      <c r="T188" s="508" t="s"/>
      <c r="U188" s="508" t="s"/>
      <c r="V188" s="508" t="s"/>
      <c r="W188" s="508" t="s"/>
      <c r="X188" s="508" t="s"/>
      <c r="Y188" s="508" t="s"/>
    </row>
    <row r="189" spans="1:25">
      <c r="A189" s="680" t="s"/>
      <c r="B189" s="837" t="s"/>
      <c r="C189" s="837" t="s"/>
      <c r="D189" s="838" t="s"/>
      <c r="E189" s="837" t="s"/>
      <c r="F189" s="839" t="s"/>
      <c r="G189" s="839" t="s"/>
      <c r="H189" s="840" t="s"/>
      <c r="I189" s="508" t="s"/>
      <c r="J189" s="508" t="s"/>
      <c r="K189" s="508" t="s"/>
      <c r="L189" s="508" t="s"/>
      <c r="M189" s="508" t="s"/>
      <c r="N189" s="508" t="s"/>
      <c r="O189" s="508" t="s"/>
      <c r="P189" s="508" t="s"/>
      <c r="Q189" s="508" t="s"/>
      <c r="R189" s="508" t="s"/>
      <c r="S189" s="508" t="s"/>
      <c r="T189" s="508" t="s"/>
      <c r="U189" s="508" t="s"/>
      <c r="V189" s="508" t="s"/>
      <c r="W189" s="508" t="s"/>
      <c r="X189" s="508" t="s"/>
      <c r="Y189" s="508" t="s"/>
    </row>
    <row r="190" spans="1:25">
      <c r="A190" s="680" t="s"/>
      <c r="B190" s="837" t="s"/>
      <c r="C190" s="837" t="s"/>
      <c r="D190" s="838" t="s"/>
      <c r="E190" s="837" t="s"/>
      <c r="F190" s="839" t="s"/>
      <c r="G190" s="839" t="s"/>
      <c r="H190" s="840" t="s"/>
      <c r="I190" s="508" t="s"/>
      <c r="J190" s="508" t="s"/>
      <c r="K190" s="508" t="s"/>
      <c r="L190" s="508" t="s"/>
      <c r="M190" s="508" t="s"/>
      <c r="N190" s="508" t="s"/>
      <c r="O190" s="508" t="s"/>
      <c r="P190" s="508" t="s"/>
      <c r="Q190" s="508" t="s"/>
      <c r="R190" s="508" t="s"/>
      <c r="S190" s="508" t="s"/>
      <c r="T190" s="508" t="s"/>
      <c r="U190" s="508" t="s"/>
      <c r="V190" s="508" t="s"/>
      <c r="W190" s="508" t="s"/>
      <c r="X190" s="508" t="s"/>
      <c r="Y190" s="508" t="s"/>
    </row>
    <row r="191" spans="1:25">
      <c r="A191" s="680" t="s"/>
      <c r="B191" s="837" t="s"/>
      <c r="C191" s="837" t="s"/>
      <c r="D191" s="838" t="s"/>
      <c r="E191" s="837" t="s"/>
      <c r="F191" s="839" t="s"/>
      <c r="G191" s="839" t="s"/>
      <c r="H191" s="840" t="s"/>
      <c r="I191" s="508" t="s"/>
      <c r="J191" s="508" t="s"/>
      <c r="K191" s="508" t="s"/>
      <c r="L191" s="508" t="s"/>
      <c r="M191" s="508" t="s"/>
      <c r="N191" s="508" t="s"/>
      <c r="O191" s="508" t="s"/>
      <c r="P191" s="508" t="s"/>
      <c r="Q191" s="508" t="s"/>
      <c r="R191" s="508" t="s"/>
      <c r="S191" s="508" t="s"/>
      <c r="T191" s="508" t="s"/>
      <c r="U191" s="508" t="s"/>
      <c r="V191" s="508" t="s"/>
      <c r="W191" s="508" t="s"/>
      <c r="X191" s="508" t="s"/>
      <c r="Y191" s="508" t="s"/>
    </row>
    <row r="192" spans="1:25">
      <c r="A192" s="680" t="s"/>
      <c r="B192" s="837" t="s"/>
      <c r="C192" s="837" t="s"/>
      <c r="D192" s="838" t="s"/>
      <c r="E192" s="837" t="s"/>
      <c r="F192" s="839" t="s"/>
      <c r="G192" s="839" t="s"/>
      <c r="H192" s="840" t="s"/>
      <c r="I192" s="508" t="s"/>
      <c r="J192" s="508" t="s"/>
      <c r="K192" s="508" t="s"/>
      <c r="L192" s="508" t="s"/>
      <c r="M192" s="508" t="s"/>
      <c r="N192" s="508" t="s"/>
      <c r="O192" s="508" t="s"/>
      <c r="P192" s="508" t="s"/>
      <c r="Q192" s="508" t="s"/>
      <c r="R192" s="508" t="s"/>
      <c r="S192" s="508" t="s"/>
      <c r="T192" s="508" t="s"/>
      <c r="U192" s="508" t="s"/>
      <c r="V192" s="508" t="s"/>
      <c r="W192" s="508" t="s"/>
      <c r="X192" s="508" t="s"/>
      <c r="Y192" s="508" t="s"/>
    </row>
    <row r="193" spans="1:25">
      <c r="A193" s="680" t="s"/>
      <c r="B193" s="837" t="s"/>
      <c r="C193" s="837" t="s"/>
      <c r="D193" s="838" t="s"/>
      <c r="E193" s="837" t="s"/>
      <c r="F193" s="839" t="s"/>
      <c r="G193" s="839" t="s"/>
      <c r="H193" s="840" t="s"/>
      <c r="I193" s="508" t="s"/>
      <c r="J193" s="508" t="s"/>
      <c r="K193" s="508" t="s"/>
      <c r="L193" s="508" t="s"/>
      <c r="M193" s="508" t="s"/>
      <c r="N193" s="508" t="s"/>
      <c r="O193" s="508" t="s"/>
      <c r="P193" s="508" t="s"/>
      <c r="Q193" s="508" t="s"/>
      <c r="R193" s="508" t="s"/>
      <c r="S193" s="508" t="s"/>
      <c r="T193" s="508" t="s"/>
      <c r="U193" s="508" t="s"/>
      <c r="V193" s="508" t="s"/>
      <c r="W193" s="508" t="s"/>
      <c r="X193" s="508" t="s"/>
      <c r="Y193" s="508" t="s"/>
    </row>
    <row r="194" spans="1:25">
      <c r="A194" s="680" t="s"/>
      <c r="B194" s="837" t="s"/>
      <c r="C194" s="837" t="s"/>
      <c r="D194" s="838" t="s"/>
      <c r="E194" s="837" t="s"/>
      <c r="F194" s="839" t="s"/>
      <c r="G194" s="839" t="s"/>
      <c r="H194" s="840" t="s"/>
      <c r="I194" s="508" t="s"/>
      <c r="J194" s="508" t="s"/>
      <c r="K194" s="508" t="s"/>
      <c r="L194" s="508" t="s"/>
      <c r="M194" s="508" t="s"/>
      <c r="N194" s="508" t="s"/>
      <c r="O194" s="508" t="s"/>
      <c r="P194" s="508" t="s"/>
      <c r="Q194" s="508" t="s"/>
      <c r="R194" s="508" t="s"/>
      <c r="S194" s="508" t="s"/>
      <c r="T194" s="508" t="s"/>
      <c r="U194" s="508" t="s"/>
      <c r="V194" s="508" t="s"/>
      <c r="W194" s="508" t="s"/>
      <c r="X194" s="508" t="s"/>
      <c r="Y194" s="508" t="s"/>
    </row>
    <row r="195" spans="1:25">
      <c r="A195" s="680" t="s"/>
      <c r="B195" s="837" t="s"/>
      <c r="C195" s="837" t="s"/>
      <c r="D195" s="838" t="s"/>
      <c r="E195" s="837" t="s"/>
      <c r="F195" s="839" t="s"/>
      <c r="G195" s="839" t="s"/>
      <c r="H195" s="840" t="s"/>
      <c r="I195" s="508" t="s"/>
      <c r="J195" s="508" t="s"/>
      <c r="K195" s="508" t="s"/>
      <c r="L195" s="508" t="s"/>
      <c r="M195" s="508" t="s"/>
      <c r="N195" s="508" t="s"/>
      <c r="O195" s="508" t="s"/>
      <c r="P195" s="508" t="s"/>
      <c r="Q195" s="508" t="s"/>
      <c r="R195" s="508" t="s"/>
      <c r="S195" s="508" t="s"/>
      <c r="T195" s="508" t="s"/>
      <c r="U195" s="508" t="s"/>
      <c r="V195" s="508" t="s"/>
      <c r="W195" s="508" t="s"/>
      <c r="X195" s="508" t="s"/>
      <c r="Y195" s="508" t="s"/>
    </row>
    <row r="196" spans="1:25">
      <c r="A196" s="680" t="s"/>
      <c r="B196" s="837" t="s"/>
      <c r="C196" s="837" t="s"/>
      <c r="D196" s="838" t="s"/>
      <c r="E196" s="837" t="s"/>
      <c r="F196" s="839" t="s"/>
      <c r="G196" s="839" t="s"/>
      <c r="H196" s="840" t="s"/>
      <c r="I196" s="508" t="s"/>
      <c r="J196" s="508" t="s"/>
      <c r="K196" s="508" t="s"/>
      <c r="L196" s="508" t="s"/>
      <c r="M196" s="508" t="s"/>
      <c r="N196" s="508" t="s"/>
      <c r="O196" s="508" t="s"/>
      <c r="P196" s="508" t="s"/>
      <c r="Q196" s="508" t="s"/>
      <c r="R196" s="508" t="s"/>
      <c r="S196" s="508" t="s"/>
      <c r="T196" s="508" t="s"/>
      <c r="U196" s="508" t="s"/>
      <c r="V196" s="508" t="s"/>
      <c r="W196" s="508" t="s"/>
      <c r="X196" s="508" t="s"/>
      <c r="Y196" s="508" t="s"/>
    </row>
    <row r="197" spans="1:25">
      <c r="A197" s="680" t="s"/>
      <c r="B197" s="837" t="s"/>
      <c r="C197" s="837" t="s"/>
      <c r="D197" s="838" t="s"/>
      <c r="E197" s="837" t="s"/>
      <c r="F197" s="839" t="s"/>
      <c r="G197" s="839" t="s"/>
      <c r="H197" s="840" t="s"/>
      <c r="I197" s="508" t="s"/>
      <c r="J197" s="508" t="s"/>
      <c r="K197" s="508" t="s"/>
      <c r="L197" s="508" t="s"/>
      <c r="M197" s="508" t="s"/>
      <c r="N197" s="508" t="s"/>
      <c r="O197" s="508" t="s"/>
      <c r="P197" s="508" t="s"/>
      <c r="Q197" s="508" t="s"/>
      <c r="R197" s="508" t="s"/>
      <c r="S197" s="508" t="s"/>
      <c r="T197" s="508" t="s"/>
      <c r="U197" s="508" t="s"/>
      <c r="V197" s="508" t="s"/>
      <c r="W197" s="508" t="s"/>
      <c r="X197" s="508" t="s"/>
      <c r="Y197" s="508" t="s"/>
    </row>
    <row r="198" spans="1:25">
      <c r="A198" s="680" t="s"/>
      <c r="B198" s="837" t="s"/>
      <c r="C198" s="837" t="s"/>
      <c r="D198" s="838" t="s"/>
      <c r="E198" s="837" t="s"/>
      <c r="F198" s="839" t="s"/>
      <c r="G198" s="839" t="s"/>
      <c r="H198" s="840" t="s"/>
      <c r="I198" s="508" t="s"/>
      <c r="J198" s="508" t="s"/>
      <c r="K198" s="508" t="s"/>
      <c r="L198" s="508" t="s"/>
      <c r="M198" s="508" t="s"/>
      <c r="N198" s="508" t="s"/>
      <c r="O198" s="508" t="s"/>
      <c r="P198" s="508" t="s"/>
      <c r="Q198" s="508" t="s"/>
      <c r="R198" s="508" t="s"/>
      <c r="S198" s="508" t="s"/>
      <c r="T198" s="508" t="s"/>
      <c r="U198" s="508" t="s"/>
      <c r="V198" s="508" t="s"/>
      <c r="W198" s="508" t="s"/>
      <c r="X198" s="508" t="s"/>
      <c r="Y198" s="508" t="s"/>
    </row>
    <row r="199" spans="1:25">
      <c r="A199" s="680" t="s"/>
      <c r="B199" s="837" t="s"/>
      <c r="C199" s="837" t="s"/>
      <c r="D199" s="838" t="s"/>
      <c r="E199" s="837" t="s"/>
      <c r="F199" s="839" t="s"/>
      <c r="G199" s="839" t="s"/>
      <c r="H199" s="840" t="s"/>
      <c r="I199" s="508" t="s"/>
      <c r="J199" s="508" t="s"/>
      <c r="K199" s="508" t="s"/>
      <c r="L199" s="508" t="s"/>
      <c r="M199" s="508" t="s"/>
      <c r="N199" s="508" t="s"/>
      <c r="O199" s="508" t="s"/>
      <c r="P199" s="508" t="s"/>
      <c r="Q199" s="508" t="s"/>
      <c r="R199" s="508" t="s"/>
      <c r="S199" s="508" t="s"/>
      <c r="T199" s="508" t="s"/>
      <c r="U199" s="508" t="s"/>
      <c r="V199" s="508" t="s"/>
      <c r="W199" s="508" t="s"/>
      <c r="X199" s="508" t="s"/>
      <c r="Y199" s="508" t="s"/>
    </row>
    <row r="200" spans="1:25">
      <c r="A200" s="680" t="s"/>
      <c r="B200" s="837" t="s"/>
      <c r="C200" s="837" t="s"/>
      <c r="D200" s="838" t="s"/>
      <c r="E200" s="837" t="s"/>
      <c r="F200" s="839" t="s"/>
      <c r="G200" s="839" t="s"/>
      <c r="H200" s="840" t="s"/>
      <c r="I200" s="508" t="s"/>
      <c r="J200" s="508" t="s"/>
      <c r="K200" s="508" t="s"/>
      <c r="L200" s="508" t="s"/>
      <c r="M200" s="508" t="s"/>
      <c r="N200" s="508" t="s"/>
      <c r="O200" s="508" t="s"/>
      <c r="P200" s="508" t="s"/>
      <c r="Q200" s="508" t="s"/>
      <c r="R200" s="508" t="s"/>
      <c r="S200" s="508" t="s"/>
      <c r="T200" s="508" t="s"/>
      <c r="U200" s="508" t="s"/>
      <c r="V200" s="508" t="s"/>
      <c r="W200" s="508" t="s"/>
      <c r="X200" s="508" t="s"/>
      <c r="Y200" s="508" t="s"/>
    </row>
    <row r="201" spans="1:25">
      <c r="A201" s="680" t="s"/>
      <c r="B201" s="837" t="s"/>
      <c r="C201" s="837" t="s"/>
      <c r="D201" s="838" t="s"/>
      <c r="E201" s="837" t="s"/>
      <c r="F201" s="839" t="s"/>
      <c r="G201" s="839" t="s"/>
      <c r="H201" s="840" t="s"/>
      <c r="I201" s="508" t="s"/>
      <c r="J201" s="508" t="s"/>
      <c r="K201" s="508" t="s"/>
      <c r="L201" s="508" t="s"/>
      <c r="M201" s="508" t="s"/>
      <c r="N201" s="508" t="s"/>
      <c r="O201" s="508" t="s"/>
      <c r="P201" s="508" t="s"/>
      <c r="Q201" s="508" t="s"/>
      <c r="R201" s="508" t="s"/>
      <c r="S201" s="508" t="s"/>
      <c r="T201" s="508" t="s"/>
      <c r="U201" s="508" t="s"/>
      <c r="V201" s="508" t="s"/>
      <c r="W201" s="508" t="s"/>
      <c r="X201" s="508" t="s"/>
      <c r="Y201" s="508" t="s"/>
    </row>
    <row r="202" spans="1:25">
      <c r="A202" s="680" t="s"/>
      <c r="B202" s="837" t="s"/>
      <c r="C202" s="837" t="s"/>
      <c r="D202" s="838" t="s"/>
      <c r="E202" s="837" t="s"/>
      <c r="F202" s="839" t="s"/>
      <c r="G202" s="839" t="s"/>
      <c r="H202" s="840" t="s"/>
      <c r="I202" s="508" t="s"/>
      <c r="J202" s="508" t="s"/>
      <c r="K202" s="508" t="s"/>
      <c r="L202" s="508" t="s"/>
      <c r="M202" s="508" t="s"/>
      <c r="N202" s="508" t="s"/>
      <c r="O202" s="508" t="s"/>
      <c r="P202" s="508" t="s"/>
      <c r="Q202" s="508" t="s"/>
      <c r="R202" s="508" t="s"/>
      <c r="S202" s="508" t="s"/>
      <c r="T202" s="508" t="s"/>
      <c r="U202" s="508" t="s"/>
      <c r="V202" s="508" t="s"/>
      <c r="W202" s="508" t="s"/>
      <c r="X202" s="508" t="s"/>
      <c r="Y202" s="508" t="s"/>
    </row>
    <row r="203" spans="1:25">
      <c r="A203" s="680" t="s"/>
      <c r="B203" s="837" t="s"/>
      <c r="C203" s="837" t="s"/>
      <c r="D203" s="838" t="s"/>
      <c r="E203" s="837" t="s"/>
      <c r="F203" s="839" t="s"/>
      <c r="G203" s="839" t="s"/>
      <c r="H203" s="840" t="s"/>
      <c r="I203" s="508" t="s"/>
      <c r="J203" s="508" t="s"/>
      <c r="K203" s="508" t="s"/>
      <c r="L203" s="508" t="s"/>
      <c r="M203" s="508" t="s"/>
      <c r="N203" s="508" t="s"/>
      <c r="O203" s="508" t="s"/>
      <c r="P203" s="508" t="s"/>
      <c r="Q203" s="508" t="s"/>
      <c r="R203" s="508" t="s"/>
      <c r="S203" s="508" t="s"/>
      <c r="T203" s="508" t="s"/>
      <c r="U203" s="508" t="s"/>
      <c r="V203" s="508" t="s"/>
      <c r="W203" s="508" t="s"/>
      <c r="X203" s="508" t="s"/>
      <c r="Y203" s="508" t="s"/>
    </row>
    <row r="204" spans="1:25">
      <c r="A204" s="680" t="s"/>
      <c r="B204" s="837" t="s"/>
      <c r="C204" s="837" t="s"/>
      <c r="D204" s="838" t="s"/>
      <c r="E204" s="837" t="s"/>
      <c r="F204" s="839" t="s"/>
      <c r="G204" s="839" t="s"/>
      <c r="H204" s="840" t="s"/>
      <c r="I204" s="508" t="s"/>
      <c r="J204" s="508" t="s"/>
      <c r="K204" s="508" t="s"/>
      <c r="L204" s="508" t="s"/>
      <c r="M204" s="508" t="s"/>
      <c r="N204" s="508" t="s"/>
      <c r="O204" s="508" t="s"/>
      <c r="P204" s="508" t="s"/>
      <c r="Q204" s="508" t="s"/>
      <c r="R204" s="508" t="s"/>
      <c r="S204" s="508" t="s"/>
      <c r="T204" s="508" t="s"/>
      <c r="U204" s="508" t="s"/>
      <c r="V204" s="508" t="s"/>
      <c r="W204" s="508" t="s"/>
      <c r="X204" s="508" t="s"/>
      <c r="Y204" s="508" t="s"/>
    </row>
    <row r="205" spans="1:25">
      <c r="A205" s="680" t="s"/>
      <c r="B205" s="837" t="s"/>
      <c r="C205" s="837" t="s"/>
      <c r="D205" s="838" t="s"/>
      <c r="E205" s="837" t="s"/>
      <c r="F205" s="839" t="s"/>
      <c r="G205" s="839" t="s"/>
      <c r="H205" s="840" t="s"/>
      <c r="I205" s="508" t="s"/>
      <c r="J205" s="508" t="s"/>
      <c r="K205" s="508" t="s"/>
      <c r="L205" s="508" t="s"/>
      <c r="M205" s="508" t="s"/>
      <c r="N205" s="508" t="s"/>
      <c r="O205" s="508" t="s"/>
      <c r="P205" s="508" t="s"/>
      <c r="Q205" s="508" t="s"/>
      <c r="R205" s="508" t="s"/>
      <c r="S205" s="508" t="s"/>
      <c r="T205" s="508" t="s"/>
      <c r="U205" s="508" t="s"/>
      <c r="V205" s="508" t="s"/>
      <c r="W205" s="508" t="s"/>
      <c r="X205" s="508" t="s"/>
      <c r="Y205" s="508" t="s"/>
    </row>
    <row r="206" spans="1:25">
      <c r="A206" s="680" t="s"/>
      <c r="B206" s="837" t="s"/>
      <c r="C206" s="837" t="s"/>
      <c r="D206" s="838" t="s"/>
      <c r="E206" s="837" t="s"/>
      <c r="F206" s="839" t="s"/>
      <c r="G206" s="839" t="s"/>
      <c r="H206" s="840" t="s"/>
      <c r="I206" s="508" t="s"/>
      <c r="J206" s="508" t="s"/>
      <c r="K206" s="508" t="s"/>
      <c r="L206" s="508" t="s"/>
      <c r="M206" s="508" t="s"/>
      <c r="N206" s="508" t="s"/>
      <c r="O206" s="508" t="s"/>
      <c r="P206" s="508" t="s"/>
      <c r="Q206" s="508" t="s"/>
      <c r="R206" s="508" t="s"/>
      <c r="S206" s="508" t="s"/>
      <c r="T206" s="508" t="s"/>
      <c r="U206" s="508" t="s"/>
      <c r="V206" s="508" t="s"/>
      <c r="W206" s="508" t="s"/>
      <c r="X206" s="508" t="s"/>
      <c r="Y206" s="508" t="s"/>
    </row>
    <row r="207" spans="1:25">
      <c r="A207" s="680" t="s"/>
      <c r="B207" s="837" t="s"/>
      <c r="C207" s="837" t="s"/>
      <c r="D207" s="838" t="s"/>
      <c r="E207" s="837" t="s"/>
      <c r="F207" s="839" t="s"/>
      <c r="G207" s="839" t="s"/>
      <c r="H207" s="840" t="s"/>
      <c r="I207" s="508" t="s"/>
      <c r="J207" s="508" t="s"/>
      <c r="K207" s="508" t="s"/>
      <c r="L207" s="508" t="s"/>
      <c r="M207" s="508" t="s"/>
      <c r="N207" s="508" t="s"/>
      <c r="O207" s="508" t="s"/>
      <c r="P207" s="508" t="s"/>
      <c r="Q207" s="508" t="s"/>
      <c r="R207" s="508" t="s"/>
      <c r="S207" s="508" t="s"/>
      <c r="T207" s="508" t="s"/>
      <c r="U207" s="508" t="s"/>
      <c r="V207" s="508" t="s"/>
      <c r="W207" s="508" t="s"/>
      <c r="X207" s="508" t="s"/>
      <c r="Y207" s="508" t="s"/>
    </row>
    <row r="208" spans="1:25">
      <c r="A208" s="680" t="s"/>
      <c r="B208" s="837" t="s"/>
      <c r="C208" s="837" t="s"/>
      <c r="D208" s="838" t="s"/>
      <c r="E208" s="837" t="s"/>
      <c r="F208" s="839" t="s"/>
      <c r="G208" s="839" t="s"/>
      <c r="H208" s="840" t="s"/>
      <c r="I208" s="508" t="s"/>
      <c r="J208" s="508" t="s"/>
      <c r="K208" s="508" t="s"/>
      <c r="L208" s="508" t="s"/>
      <c r="M208" s="508" t="s"/>
      <c r="N208" s="508" t="s"/>
      <c r="O208" s="508" t="s"/>
      <c r="P208" s="508" t="s"/>
      <c r="Q208" s="508" t="s"/>
      <c r="R208" s="508" t="s"/>
      <c r="S208" s="508" t="s"/>
      <c r="T208" s="508" t="s"/>
      <c r="U208" s="508" t="s"/>
      <c r="V208" s="508" t="s"/>
      <c r="W208" s="508" t="s"/>
      <c r="X208" s="508" t="s"/>
      <c r="Y208" s="508" t="s"/>
    </row>
    <row r="209" spans="1:25">
      <c r="A209" s="680" t="s"/>
      <c r="B209" s="837" t="s"/>
      <c r="C209" s="837" t="s"/>
      <c r="D209" s="838" t="s"/>
      <c r="E209" s="837" t="s"/>
      <c r="F209" s="839" t="s"/>
      <c r="G209" s="839" t="s"/>
      <c r="H209" s="840" t="s"/>
      <c r="I209" s="508" t="s"/>
      <c r="J209" s="508" t="s"/>
      <c r="K209" s="508" t="s"/>
      <c r="L209" s="508" t="s"/>
      <c r="M209" s="508" t="s"/>
      <c r="N209" s="508" t="s"/>
      <c r="O209" s="508" t="s"/>
      <c r="P209" s="508" t="s"/>
      <c r="Q209" s="508" t="s"/>
      <c r="R209" s="508" t="s"/>
      <c r="S209" s="508" t="s"/>
      <c r="T209" s="508" t="s"/>
      <c r="U209" s="508" t="s"/>
      <c r="V209" s="508" t="s"/>
      <c r="W209" s="508" t="s"/>
      <c r="X209" s="508" t="s"/>
      <c r="Y209" s="508" t="s"/>
    </row>
    <row r="210" spans="1:25">
      <c r="A210" s="680" t="s"/>
      <c r="B210" s="837" t="s"/>
      <c r="C210" s="837" t="s"/>
      <c r="D210" s="838" t="s"/>
      <c r="E210" s="837" t="s"/>
      <c r="F210" s="839" t="s"/>
      <c r="G210" s="839" t="s"/>
      <c r="H210" s="840" t="s"/>
      <c r="I210" s="508" t="s"/>
      <c r="J210" s="508" t="s"/>
      <c r="K210" s="508" t="s"/>
      <c r="L210" s="508" t="s"/>
      <c r="M210" s="508" t="s"/>
      <c r="N210" s="508" t="s"/>
      <c r="O210" s="508" t="s"/>
      <c r="P210" s="508" t="s"/>
      <c r="Q210" s="508" t="s"/>
      <c r="R210" s="508" t="s"/>
      <c r="S210" s="508" t="s"/>
      <c r="T210" s="508" t="s"/>
      <c r="U210" s="508" t="s"/>
      <c r="V210" s="508" t="s"/>
      <c r="W210" s="508" t="s"/>
      <c r="X210" s="508" t="s"/>
      <c r="Y210" s="508" t="s"/>
    </row>
    <row r="211" spans="1:25">
      <c r="A211" s="680" t="s"/>
      <c r="B211" s="837" t="s"/>
      <c r="C211" s="837" t="s"/>
      <c r="D211" s="838" t="s"/>
      <c r="E211" s="837" t="s"/>
      <c r="F211" s="839" t="s"/>
      <c r="G211" s="839" t="s"/>
      <c r="H211" s="840" t="s"/>
      <c r="I211" s="508" t="s"/>
      <c r="J211" s="508" t="s"/>
      <c r="K211" s="508" t="s"/>
      <c r="L211" s="508" t="s"/>
      <c r="M211" s="508" t="s"/>
      <c r="N211" s="508" t="s"/>
      <c r="O211" s="508" t="s"/>
      <c r="P211" s="508" t="s"/>
      <c r="Q211" s="508" t="s"/>
      <c r="R211" s="508" t="s"/>
      <c r="S211" s="508" t="s"/>
      <c r="T211" s="508" t="s"/>
      <c r="U211" s="508" t="s"/>
      <c r="V211" s="508" t="s"/>
      <c r="W211" s="508" t="s"/>
      <c r="X211" s="508" t="s"/>
      <c r="Y211" s="508" t="s"/>
    </row>
    <row r="212" spans="1:25">
      <c r="A212" s="680" t="s"/>
      <c r="B212" s="837" t="s"/>
      <c r="C212" s="837" t="s"/>
      <c r="D212" s="838" t="s"/>
      <c r="E212" s="837" t="s"/>
      <c r="F212" s="839" t="s"/>
      <c r="G212" s="839" t="s"/>
      <c r="H212" s="840" t="s"/>
      <c r="I212" s="508" t="s"/>
      <c r="J212" s="508" t="s"/>
      <c r="K212" s="508" t="s"/>
      <c r="L212" s="508" t="s"/>
      <c r="M212" s="508" t="s"/>
      <c r="N212" s="508" t="s"/>
      <c r="O212" s="508" t="s"/>
      <c r="P212" s="508" t="s"/>
      <c r="Q212" s="508" t="s"/>
      <c r="R212" s="508" t="s"/>
      <c r="S212" s="508" t="s"/>
      <c r="T212" s="508" t="s"/>
      <c r="U212" s="508" t="s"/>
      <c r="V212" s="508" t="s"/>
      <c r="W212" s="508" t="s"/>
      <c r="X212" s="508" t="s"/>
      <c r="Y212" s="508" t="s"/>
    </row>
    <row r="213" spans="1:25">
      <c r="A213" s="680" t="s"/>
      <c r="B213" s="837" t="s"/>
      <c r="C213" s="837" t="s"/>
      <c r="D213" s="838" t="s"/>
      <c r="E213" s="837" t="s"/>
      <c r="F213" s="839" t="s"/>
      <c r="G213" s="839" t="s"/>
      <c r="H213" s="840" t="s"/>
      <c r="I213" s="508" t="s"/>
      <c r="J213" s="508" t="s"/>
      <c r="K213" s="508" t="s"/>
      <c r="L213" s="508" t="s"/>
      <c r="M213" s="508" t="s"/>
      <c r="N213" s="508" t="s"/>
      <c r="O213" s="508" t="s"/>
      <c r="P213" s="508" t="s"/>
      <c r="Q213" s="508" t="s"/>
      <c r="R213" s="508" t="s"/>
      <c r="S213" s="508" t="s"/>
      <c r="T213" s="508" t="s"/>
      <c r="U213" s="508" t="s"/>
      <c r="V213" s="508" t="s"/>
      <c r="W213" s="508" t="s"/>
      <c r="X213" s="508" t="s"/>
      <c r="Y213" s="508" t="s"/>
    </row>
    <row r="214" spans="1:25">
      <c r="A214" s="680" t="s"/>
      <c r="B214" s="837" t="s"/>
      <c r="C214" s="837" t="s"/>
      <c r="D214" s="838" t="s"/>
      <c r="E214" s="837" t="s"/>
      <c r="F214" s="839" t="s"/>
      <c r="G214" s="839" t="s"/>
      <c r="H214" s="840" t="s"/>
      <c r="I214" s="508" t="s"/>
      <c r="J214" s="508" t="s"/>
      <c r="K214" s="508" t="s"/>
      <c r="L214" s="508" t="s"/>
      <c r="M214" s="508" t="s"/>
      <c r="N214" s="508" t="s"/>
      <c r="O214" s="508" t="s"/>
      <c r="P214" s="508" t="s"/>
      <c r="Q214" s="508" t="s"/>
      <c r="R214" s="508" t="s"/>
      <c r="S214" s="508" t="s"/>
      <c r="T214" s="508" t="s"/>
      <c r="U214" s="508" t="s"/>
      <c r="V214" s="508" t="s"/>
      <c r="W214" s="508" t="s"/>
      <c r="X214" s="508" t="s"/>
      <c r="Y214" s="508" t="s"/>
    </row>
    <row r="215" spans="1:25">
      <c r="A215" s="680" t="s"/>
      <c r="B215" s="837" t="s"/>
      <c r="C215" s="837" t="s"/>
      <c r="D215" s="838" t="s"/>
      <c r="E215" s="837" t="s"/>
      <c r="F215" s="839" t="s"/>
      <c r="G215" s="839" t="s"/>
      <c r="H215" s="840" t="s"/>
      <c r="I215" s="508" t="s"/>
      <c r="J215" s="508" t="s"/>
      <c r="K215" s="508" t="s"/>
      <c r="L215" s="508" t="s"/>
      <c r="M215" s="508" t="s"/>
      <c r="N215" s="508" t="s"/>
      <c r="O215" s="508" t="s"/>
      <c r="P215" s="508" t="s"/>
      <c r="Q215" s="508" t="s"/>
      <c r="R215" s="508" t="s"/>
      <c r="S215" s="508" t="s"/>
      <c r="T215" s="508" t="s"/>
      <c r="U215" s="508" t="s"/>
      <c r="V215" s="508" t="s"/>
      <c r="W215" s="508" t="s"/>
      <c r="X215" s="508" t="s"/>
      <c r="Y215" s="508" t="s"/>
    </row>
    <row r="216" spans="1:25">
      <c r="A216" s="680" t="s"/>
      <c r="B216" s="837" t="s"/>
      <c r="C216" s="837" t="s"/>
      <c r="D216" s="838" t="s"/>
      <c r="E216" s="837" t="s"/>
      <c r="F216" s="839" t="s"/>
      <c r="G216" s="839" t="s"/>
      <c r="H216" s="840" t="s"/>
      <c r="I216" s="508" t="s"/>
      <c r="J216" s="508" t="s"/>
      <c r="K216" s="508" t="s"/>
      <c r="L216" s="508" t="s"/>
      <c r="M216" s="508" t="s"/>
      <c r="N216" s="508" t="s"/>
      <c r="O216" s="508" t="s"/>
      <c r="P216" s="508" t="s"/>
      <c r="Q216" s="508" t="s"/>
      <c r="R216" s="508" t="s"/>
      <c r="S216" s="508" t="s"/>
      <c r="T216" s="508" t="s"/>
      <c r="U216" s="508" t="s"/>
      <c r="V216" s="508" t="s"/>
      <c r="W216" s="508" t="s"/>
      <c r="X216" s="508" t="s"/>
      <c r="Y216" s="508" t="s"/>
    </row>
    <row r="217" spans="1:25">
      <c r="A217" s="680" t="s"/>
      <c r="B217" s="837" t="s"/>
      <c r="C217" s="837" t="s"/>
      <c r="D217" s="838" t="s"/>
      <c r="E217" s="837" t="s"/>
      <c r="F217" s="839" t="s"/>
      <c r="G217" s="839" t="s"/>
      <c r="H217" s="840" t="s"/>
      <c r="I217" s="508" t="s"/>
      <c r="J217" s="508" t="s"/>
      <c r="K217" s="508" t="s"/>
      <c r="L217" s="508" t="s"/>
      <c r="M217" s="508" t="s"/>
      <c r="N217" s="508" t="s"/>
      <c r="O217" s="508" t="s"/>
      <c r="P217" s="508" t="s"/>
      <c r="Q217" s="508" t="s"/>
      <c r="R217" s="508" t="s"/>
      <c r="S217" s="508" t="s"/>
      <c r="T217" s="508" t="s"/>
      <c r="U217" s="508" t="s"/>
      <c r="V217" s="508" t="s"/>
      <c r="W217" s="508" t="s"/>
      <c r="X217" s="508" t="s"/>
      <c r="Y217" s="508" t="s"/>
    </row>
    <row r="218" spans="1:25">
      <c r="A218" s="680" t="s"/>
      <c r="B218" s="837" t="s"/>
      <c r="C218" s="837" t="s"/>
      <c r="D218" s="838" t="s"/>
      <c r="E218" s="837" t="s"/>
      <c r="F218" s="839" t="s"/>
      <c r="G218" s="839" t="s"/>
      <c r="H218" s="840" t="s"/>
      <c r="I218" s="508" t="s"/>
      <c r="J218" s="508" t="s"/>
      <c r="K218" s="508" t="s"/>
      <c r="L218" s="508" t="s"/>
      <c r="M218" s="508" t="s"/>
      <c r="N218" s="508" t="s"/>
      <c r="O218" s="508" t="s"/>
      <c r="P218" s="508" t="s"/>
      <c r="Q218" s="508" t="s"/>
      <c r="R218" s="508" t="s"/>
      <c r="S218" s="508" t="s"/>
      <c r="T218" s="508" t="s"/>
      <c r="U218" s="508" t="s"/>
      <c r="V218" s="508" t="s"/>
      <c r="W218" s="508" t="s"/>
      <c r="X218" s="508" t="s"/>
      <c r="Y218" s="508" t="s"/>
    </row>
    <row r="219" spans="1:25">
      <c r="A219" s="680" t="s"/>
      <c r="B219" s="837" t="s"/>
      <c r="C219" s="837" t="s"/>
      <c r="D219" s="838" t="s"/>
      <c r="E219" s="837" t="s"/>
      <c r="F219" s="839" t="s"/>
      <c r="G219" s="839" t="s"/>
      <c r="H219" s="840" t="s"/>
      <c r="I219" s="508" t="s"/>
      <c r="J219" s="508" t="s"/>
      <c r="K219" s="508" t="s"/>
      <c r="L219" s="508" t="s"/>
      <c r="M219" s="508" t="s"/>
      <c r="N219" s="508" t="s"/>
      <c r="O219" s="508" t="s"/>
      <c r="P219" s="508" t="s"/>
      <c r="Q219" s="508" t="s"/>
      <c r="R219" s="508" t="s"/>
      <c r="S219" s="508" t="s"/>
      <c r="T219" s="508" t="s"/>
      <c r="U219" s="508" t="s"/>
      <c r="V219" s="508" t="s"/>
      <c r="W219" s="508" t="s"/>
      <c r="X219" s="508" t="s"/>
      <c r="Y219" s="508" t="s"/>
    </row>
    <row r="220" spans="1:25">
      <c r="A220" s="680" t="s"/>
      <c r="B220" s="837" t="s"/>
      <c r="C220" s="837" t="s"/>
      <c r="D220" s="838" t="s"/>
      <c r="E220" s="837" t="s"/>
      <c r="F220" s="839" t="s"/>
      <c r="G220" s="839" t="s"/>
      <c r="H220" s="840" t="s"/>
      <c r="I220" s="508" t="s"/>
      <c r="J220" s="508" t="s"/>
      <c r="K220" s="508" t="s"/>
      <c r="L220" s="508" t="s"/>
      <c r="M220" s="508" t="s"/>
      <c r="N220" s="508" t="s"/>
      <c r="O220" s="508" t="s"/>
      <c r="P220" s="508" t="s"/>
      <c r="Q220" s="508" t="s"/>
      <c r="R220" s="508" t="s"/>
      <c r="S220" s="508" t="s"/>
      <c r="T220" s="508" t="s"/>
      <c r="U220" s="508" t="s"/>
      <c r="V220" s="508" t="s"/>
      <c r="W220" s="508" t="s"/>
      <c r="X220" s="508" t="s"/>
      <c r="Y220" s="508" t="s"/>
    </row>
    <row r="221" spans="1:25">
      <c r="A221" s="680" t="s"/>
      <c r="B221" s="837" t="s"/>
      <c r="C221" s="837" t="s"/>
      <c r="D221" s="838" t="s"/>
      <c r="E221" s="837" t="s"/>
      <c r="F221" s="839" t="s"/>
      <c r="G221" s="839" t="s"/>
      <c r="H221" s="840" t="s"/>
      <c r="I221" s="508" t="s"/>
      <c r="J221" s="508" t="s"/>
      <c r="K221" s="508" t="s"/>
      <c r="L221" s="508" t="s"/>
      <c r="M221" s="508" t="s"/>
      <c r="N221" s="508" t="s"/>
      <c r="O221" s="508" t="s"/>
      <c r="P221" s="508" t="s"/>
      <c r="Q221" s="508" t="s"/>
      <c r="R221" s="508" t="s"/>
      <c r="S221" s="508" t="s"/>
      <c r="T221" s="508" t="s"/>
      <c r="U221" s="508" t="s"/>
      <c r="V221" s="508" t="s"/>
      <c r="W221" s="508" t="s"/>
      <c r="X221" s="508" t="s"/>
      <c r="Y221" s="508" t="s"/>
    </row>
    <row r="222" spans="1:25">
      <c r="A222" s="680" t="s"/>
      <c r="B222" s="837" t="s"/>
      <c r="C222" s="837" t="s"/>
      <c r="D222" s="838" t="s"/>
      <c r="E222" s="837" t="s"/>
      <c r="F222" s="839" t="s"/>
      <c r="G222" s="839" t="s"/>
      <c r="H222" s="840" t="s"/>
      <c r="I222" s="508" t="s"/>
      <c r="J222" s="508" t="s"/>
      <c r="K222" s="508" t="s"/>
      <c r="L222" s="508" t="s"/>
      <c r="M222" s="508" t="s"/>
      <c r="N222" s="508" t="s"/>
      <c r="O222" s="508" t="s"/>
      <c r="P222" s="508" t="s"/>
      <c r="Q222" s="508" t="s"/>
      <c r="R222" s="508" t="s"/>
      <c r="S222" s="508" t="s"/>
      <c r="T222" s="508" t="s"/>
      <c r="U222" s="508" t="s"/>
      <c r="V222" s="508" t="s"/>
      <c r="W222" s="508" t="s"/>
      <c r="X222" s="508" t="s"/>
      <c r="Y222" s="508" t="s"/>
    </row>
    <row r="223" spans="1:25">
      <c r="A223" s="680" t="s"/>
      <c r="B223" s="837" t="s"/>
      <c r="C223" s="837" t="s"/>
      <c r="D223" s="838" t="s"/>
      <c r="E223" s="837" t="s"/>
      <c r="F223" s="839" t="s"/>
      <c r="G223" s="839" t="s"/>
      <c r="H223" s="840" t="s"/>
      <c r="I223" s="508" t="s"/>
      <c r="J223" s="508" t="s"/>
      <c r="K223" s="508" t="s"/>
      <c r="L223" s="508" t="s"/>
      <c r="M223" s="508" t="s"/>
      <c r="N223" s="508" t="s"/>
      <c r="O223" s="508" t="s"/>
      <c r="P223" s="508" t="s"/>
      <c r="Q223" s="508" t="s"/>
      <c r="R223" s="508" t="s"/>
      <c r="S223" s="508" t="s"/>
      <c r="T223" s="508" t="s"/>
      <c r="U223" s="508" t="s"/>
      <c r="V223" s="508" t="s"/>
      <c r="W223" s="508" t="s"/>
      <c r="X223" s="508" t="s"/>
      <c r="Y223" s="508" t="s"/>
    </row>
    <row r="224" spans="1:25">
      <c r="A224" s="680" t="s"/>
      <c r="B224" s="837" t="s"/>
      <c r="C224" s="837" t="s"/>
      <c r="D224" s="838" t="s"/>
      <c r="E224" s="837" t="s"/>
      <c r="F224" s="839" t="s"/>
      <c r="G224" s="839" t="s"/>
      <c r="H224" s="840" t="s"/>
      <c r="I224" s="508" t="s"/>
      <c r="J224" s="508" t="s"/>
      <c r="K224" s="508" t="s"/>
      <c r="L224" s="508" t="s"/>
      <c r="M224" s="508" t="s"/>
      <c r="N224" s="508" t="s"/>
      <c r="O224" s="508" t="s"/>
      <c r="P224" s="508" t="s"/>
      <c r="Q224" s="508" t="s"/>
      <c r="R224" s="508" t="s"/>
      <c r="S224" s="508" t="s"/>
      <c r="T224" s="508" t="s"/>
      <c r="U224" s="508" t="s"/>
      <c r="V224" s="508" t="s"/>
      <c r="W224" s="508" t="s"/>
      <c r="X224" s="508" t="s"/>
      <c r="Y224" s="508" t="s"/>
    </row>
    <row r="225" spans="1:25">
      <c r="A225" s="680" t="s"/>
      <c r="B225" s="837" t="s"/>
      <c r="C225" s="837" t="s"/>
      <c r="D225" s="838" t="s"/>
      <c r="E225" s="837" t="s"/>
      <c r="F225" s="839" t="s"/>
      <c r="G225" s="839" t="s"/>
      <c r="H225" s="840" t="s"/>
      <c r="I225" s="508" t="s"/>
      <c r="J225" s="508" t="s"/>
      <c r="K225" s="508" t="s"/>
      <c r="L225" s="508" t="s"/>
      <c r="M225" s="508" t="s"/>
      <c r="N225" s="508" t="s"/>
      <c r="O225" s="508" t="s"/>
      <c r="P225" s="508" t="s"/>
      <c r="Q225" s="508" t="s"/>
      <c r="R225" s="508" t="s"/>
      <c r="S225" s="508" t="s"/>
      <c r="T225" s="508" t="s"/>
      <c r="U225" s="508" t="s"/>
      <c r="V225" s="508" t="s"/>
      <c r="W225" s="508" t="s"/>
      <c r="X225" s="508" t="s"/>
      <c r="Y225" s="508" t="s"/>
    </row>
    <row r="226" spans="1:25">
      <c r="A226" s="680" t="s"/>
      <c r="B226" s="837" t="s"/>
      <c r="C226" s="837" t="s"/>
      <c r="D226" s="838" t="s"/>
      <c r="E226" s="837" t="s"/>
      <c r="F226" s="839" t="s"/>
      <c r="G226" s="839" t="s"/>
      <c r="H226" s="840" t="s"/>
      <c r="I226" s="508" t="s"/>
      <c r="J226" s="508" t="s"/>
      <c r="K226" s="508" t="s"/>
      <c r="L226" s="508" t="s"/>
      <c r="M226" s="508" t="s"/>
      <c r="N226" s="508" t="s"/>
      <c r="O226" s="508" t="s"/>
      <c r="P226" s="508" t="s"/>
      <c r="Q226" s="508" t="s"/>
      <c r="R226" s="508" t="s"/>
      <c r="S226" s="508" t="s"/>
      <c r="T226" s="508" t="s"/>
      <c r="U226" s="508" t="s"/>
      <c r="V226" s="508" t="s"/>
      <c r="W226" s="508" t="s"/>
      <c r="X226" s="508" t="s"/>
      <c r="Y226" s="508" t="s"/>
    </row>
    <row r="227" spans="1:25">
      <c r="A227" s="680" t="s"/>
      <c r="B227" s="837" t="s"/>
      <c r="C227" s="837" t="s"/>
      <c r="D227" s="838" t="s"/>
      <c r="E227" s="837" t="s"/>
      <c r="F227" s="839" t="s"/>
      <c r="G227" s="839" t="s"/>
      <c r="H227" s="840" t="s"/>
      <c r="I227" s="508" t="s"/>
      <c r="J227" s="508" t="s"/>
      <c r="K227" s="508" t="s"/>
      <c r="L227" s="508" t="s"/>
      <c r="M227" s="508" t="s"/>
      <c r="N227" s="508" t="s"/>
      <c r="O227" s="508" t="s"/>
      <c r="P227" s="508" t="s"/>
      <c r="Q227" s="508" t="s"/>
      <c r="R227" s="508" t="s"/>
      <c r="S227" s="508" t="s"/>
      <c r="T227" s="508" t="s"/>
      <c r="U227" s="508" t="s"/>
      <c r="V227" s="508" t="s"/>
      <c r="W227" s="508" t="s"/>
      <c r="X227" s="508" t="s"/>
      <c r="Y227" s="508" t="s"/>
    </row>
    <row r="228" spans="1:25">
      <c r="A228" s="680" t="s"/>
      <c r="B228" s="837" t="s"/>
      <c r="C228" s="837" t="s"/>
      <c r="D228" s="838" t="s"/>
      <c r="E228" s="837" t="s"/>
      <c r="F228" s="839" t="s"/>
      <c r="G228" s="839" t="s"/>
      <c r="H228" s="840" t="s"/>
      <c r="I228" s="508" t="s"/>
      <c r="J228" s="508" t="s"/>
      <c r="K228" s="508" t="s"/>
      <c r="L228" s="508" t="s"/>
      <c r="M228" s="508" t="s"/>
      <c r="N228" s="508" t="s"/>
      <c r="O228" s="508" t="s"/>
      <c r="P228" s="508" t="s"/>
      <c r="Q228" s="508" t="s"/>
      <c r="R228" s="508" t="s"/>
      <c r="S228" s="508" t="s"/>
      <c r="T228" s="508" t="s"/>
      <c r="U228" s="508" t="s"/>
      <c r="V228" s="508" t="s"/>
      <c r="W228" s="508" t="s"/>
      <c r="X228" s="508" t="s"/>
      <c r="Y228" s="508" t="s"/>
    </row>
    <row r="229" spans="1:25">
      <c r="A229" s="680" t="s"/>
      <c r="B229" s="837" t="s"/>
      <c r="C229" s="837" t="s"/>
      <c r="D229" s="838" t="s"/>
      <c r="E229" s="837" t="s"/>
      <c r="F229" s="839" t="s"/>
      <c r="G229" s="839" t="s"/>
      <c r="H229" s="840" t="s"/>
      <c r="I229" s="508" t="s"/>
      <c r="J229" s="508" t="s"/>
      <c r="K229" s="508" t="s"/>
      <c r="L229" s="508" t="s"/>
      <c r="M229" s="508" t="s"/>
      <c r="N229" s="508" t="s"/>
      <c r="O229" s="508" t="s"/>
      <c r="P229" s="508" t="s"/>
      <c r="Q229" s="508" t="s"/>
      <c r="R229" s="508" t="s"/>
      <c r="S229" s="508" t="s"/>
      <c r="T229" s="508" t="s"/>
      <c r="U229" s="508" t="s"/>
      <c r="V229" s="508" t="s"/>
      <c r="W229" s="508" t="s"/>
      <c r="X229" s="508" t="s"/>
      <c r="Y229" s="508" t="s"/>
    </row>
    <row r="230" spans="1:25">
      <c r="A230" s="680" t="s"/>
      <c r="B230" s="837" t="s"/>
      <c r="C230" s="837" t="s"/>
      <c r="D230" s="838" t="s"/>
      <c r="E230" s="837" t="s"/>
      <c r="F230" s="839" t="s"/>
      <c r="G230" s="839" t="s"/>
      <c r="H230" s="840" t="s"/>
      <c r="I230" s="508" t="s"/>
      <c r="J230" s="508" t="s"/>
      <c r="K230" s="508" t="s"/>
      <c r="L230" s="508" t="s"/>
      <c r="M230" s="508" t="s"/>
      <c r="N230" s="508" t="s"/>
      <c r="O230" s="508" t="s"/>
      <c r="P230" s="508" t="s"/>
      <c r="Q230" s="508" t="s"/>
      <c r="R230" s="508" t="s"/>
      <c r="S230" s="508" t="s"/>
      <c r="T230" s="508" t="s"/>
      <c r="U230" s="508" t="s"/>
      <c r="V230" s="508" t="s"/>
      <c r="W230" s="508" t="s"/>
      <c r="X230" s="508" t="s"/>
      <c r="Y230" s="508" t="s"/>
    </row>
    <row r="231" spans="1:25">
      <c r="A231" s="680" t="s"/>
      <c r="B231" s="837" t="s"/>
      <c r="C231" s="837" t="s"/>
      <c r="D231" s="838" t="s"/>
      <c r="E231" s="837" t="s"/>
      <c r="F231" s="839" t="s"/>
      <c r="G231" s="839" t="s"/>
      <c r="H231" s="840" t="s"/>
      <c r="I231" s="508" t="s"/>
      <c r="J231" s="508" t="s"/>
      <c r="K231" s="508" t="s"/>
      <c r="L231" s="508" t="s"/>
      <c r="M231" s="508" t="s"/>
      <c r="N231" s="508" t="s"/>
      <c r="O231" s="508" t="s"/>
      <c r="P231" s="508" t="s"/>
      <c r="Q231" s="508" t="s"/>
      <c r="R231" s="508" t="s"/>
      <c r="S231" s="508" t="s"/>
      <c r="T231" s="508" t="s"/>
      <c r="U231" s="508" t="s"/>
      <c r="V231" s="508" t="s"/>
      <c r="W231" s="508" t="s"/>
      <c r="X231" s="508" t="s"/>
      <c r="Y231" s="508" t="s"/>
    </row>
    <row r="232" spans="1:25">
      <c r="A232" s="680" t="s"/>
      <c r="B232" s="837" t="s"/>
      <c r="C232" s="837" t="s"/>
      <c r="D232" s="838" t="s"/>
      <c r="E232" s="837" t="s"/>
      <c r="F232" s="839" t="s"/>
      <c r="G232" s="839" t="s"/>
      <c r="H232" s="840" t="s"/>
      <c r="I232" s="508" t="s"/>
      <c r="J232" s="508" t="s"/>
      <c r="K232" s="508" t="s"/>
      <c r="L232" s="508" t="s"/>
      <c r="M232" s="508" t="s"/>
      <c r="N232" s="508" t="s"/>
      <c r="O232" s="508" t="s"/>
      <c r="P232" s="508" t="s"/>
      <c r="Q232" s="508" t="s"/>
      <c r="R232" s="508" t="s"/>
      <c r="S232" s="508" t="s"/>
      <c r="T232" s="508" t="s"/>
      <c r="U232" s="508" t="s"/>
      <c r="V232" s="508" t="s"/>
      <c r="W232" s="508" t="s"/>
      <c r="X232" s="508" t="s"/>
      <c r="Y232" s="508" t="s"/>
    </row>
    <row r="233" spans="1:25">
      <c r="A233" s="680" t="s"/>
      <c r="B233" s="837" t="s"/>
      <c r="C233" s="837" t="s"/>
      <c r="D233" s="838" t="s"/>
      <c r="E233" s="837" t="s"/>
      <c r="F233" s="839" t="s"/>
      <c r="G233" s="839" t="s"/>
      <c r="H233" s="840" t="s"/>
      <c r="I233" s="508" t="s"/>
      <c r="J233" s="508" t="s"/>
      <c r="K233" s="508" t="s"/>
      <c r="L233" s="508" t="s"/>
      <c r="M233" s="508" t="s"/>
      <c r="N233" s="508" t="s"/>
      <c r="O233" s="508" t="s"/>
      <c r="P233" s="508" t="s"/>
      <c r="Q233" s="508" t="s"/>
      <c r="R233" s="508" t="s"/>
      <c r="S233" s="508" t="s"/>
      <c r="T233" s="508" t="s"/>
      <c r="U233" s="508" t="s"/>
      <c r="V233" s="508" t="s"/>
      <c r="W233" s="508" t="s"/>
      <c r="X233" s="508" t="s"/>
      <c r="Y233" s="508" t="s"/>
    </row>
    <row r="234" spans="1:25">
      <c r="A234" s="680" t="s"/>
      <c r="B234" s="837" t="s"/>
      <c r="C234" s="837" t="s"/>
      <c r="D234" s="838" t="s"/>
      <c r="E234" s="837" t="s"/>
      <c r="F234" s="839" t="s"/>
      <c r="G234" s="839" t="s"/>
      <c r="H234" s="840" t="s"/>
      <c r="I234" s="508" t="s"/>
      <c r="J234" s="508" t="s"/>
      <c r="K234" s="508" t="s"/>
      <c r="L234" s="508" t="s"/>
      <c r="M234" s="508" t="s"/>
      <c r="N234" s="508" t="s"/>
      <c r="O234" s="508" t="s"/>
      <c r="P234" s="508" t="s"/>
      <c r="Q234" s="508" t="s"/>
      <c r="R234" s="508" t="s"/>
      <c r="S234" s="508" t="s"/>
      <c r="T234" s="508" t="s"/>
      <c r="U234" s="508" t="s"/>
      <c r="V234" s="508" t="s"/>
      <c r="W234" s="508" t="s"/>
      <c r="X234" s="508" t="s"/>
      <c r="Y234" s="508" t="s"/>
    </row>
    <row r="235" spans="1:25">
      <c r="A235" s="680" t="s"/>
      <c r="B235" s="837" t="s"/>
      <c r="C235" s="837" t="s"/>
      <c r="D235" s="838" t="s"/>
      <c r="E235" s="837" t="s"/>
      <c r="F235" s="839" t="s"/>
      <c r="G235" s="839" t="s"/>
      <c r="H235" s="840" t="s"/>
      <c r="I235" s="508" t="s"/>
      <c r="J235" s="508" t="s"/>
      <c r="K235" s="508" t="s"/>
      <c r="L235" s="508" t="s"/>
      <c r="M235" s="508" t="s"/>
      <c r="N235" s="508" t="s"/>
      <c r="O235" s="508" t="s"/>
      <c r="P235" s="508" t="s"/>
      <c r="Q235" s="508" t="s"/>
      <c r="R235" s="508" t="s"/>
      <c r="S235" s="508" t="s"/>
      <c r="T235" s="508" t="s"/>
      <c r="U235" s="508" t="s"/>
      <c r="V235" s="508" t="s"/>
      <c r="W235" s="508" t="s"/>
      <c r="X235" s="508" t="s"/>
      <c r="Y235" s="508" t="s"/>
    </row>
    <row r="236" spans="1:25">
      <c r="A236" s="680" t="s"/>
      <c r="B236" s="837" t="s"/>
      <c r="C236" s="837" t="s"/>
      <c r="D236" s="838" t="s"/>
      <c r="E236" s="837" t="s"/>
      <c r="F236" s="839" t="s"/>
      <c r="G236" s="839" t="s"/>
      <c r="H236" s="840" t="s"/>
      <c r="I236" s="508" t="s"/>
      <c r="J236" s="508" t="s"/>
      <c r="K236" s="508" t="s"/>
      <c r="L236" s="508" t="s"/>
      <c r="M236" s="508" t="s"/>
      <c r="N236" s="508" t="s"/>
      <c r="O236" s="508" t="s"/>
      <c r="P236" s="508" t="s"/>
      <c r="Q236" s="508" t="s"/>
      <c r="R236" s="508" t="s"/>
      <c r="S236" s="508" t="s"/>
      <c r="T236" s="508" t="s"/>
      <c r="U236" s="508" t="s"/>
      <c r="V236" s="508" t="s"/>
      <c r="W236" s="508" t="s"/>
      <c r="X236" s="508" t="s"/>
      <c r="Y236" s="508" t="s"/>
    </row>
    <row r="237" spans="1:25">
      <c r="A237" s="680" t="s"/>
      <c r="B237" s="837" t="s"/>
      <c r="C237" s="837" t="s"/>
      <c r="D237" s="838" t="s"/>
      <c r="E237" s="837" t="s"/>
      <c r="F237" s="839" t="s"/>
      <c r="G237" s="839" t="s"/>
      <c r="H237" s="840" t="s"/>
      <c r="I237" s="508" t="s"/>
      <c r="J237" s="508" t="s"/>
      <c r="K237" s="508" t="s"/>
      <c r="L237" s="508" t="s"/>
      <c r="M237" s="508" t="s"/>
      <c r="N237" s="508" t="s"/>
      <c r="O237" s="508" t="s"/>
      <c r="P237" s="508" t="s"/>
      <c r="Q237" s="508" t="s"/>
      <c r="R237" s="508" t="s"/>
      <c r="S237" s="508" t="s"/>
      <c r="T237" s="508" t="s"/>
      <c r="U237" s="508" t="s"/>
      <c r="V237" s="508" t="s"/>
      <c r="W237" s="508" t="s"/>
      <c r="X237" s="508" t="s"/>
      <c r="Y237" s="508" t="s"/>
    </row>
    <row r="238" spans="1:25">
      <c r="A238" s="680" t="s"/>
      <c r="B238" s="837" t="s"/>
      <c r="C238" s="837" t="s"/>
      <c r="D238" s="838" t="s"/>
      <c r="E238" s="837" t="s"/>
      <c r="F238" s="839" t="s"/>
      <c r="G238" s="839" t="s"/>
      <c r="H238" s="840" t="s"/>
      <c r="I238" s="508" t="s"/>
      <c r="J238" s="508" t="s"/>
      <c r="K238" s="508" t="s"/>
      <c r="L238" s="508" t="s"/>
      <c r="M238" s="508" t="s"/>
      <c r="N238" s="508" t="s"/>
      <c r="O238" s="508" t="s"/>
      <c r="P238" s="508" t="s"/>
      <c r="Q238" s="508" t="s"/>
      <c r="R238" s="508" t="s"/>
      <c r="S238" s="508" t="s"/>
      <c r="T238" s="508" t="s"/>
      <c r="U238" s="508" t="s"/>
      <c r="V238" s="508" t="s"/>
      <c r="W238" s="508" t="s"/>
      <c r="X238" s="508" t="s"/>
      <c r="Y238" s="508" t="s"/>
    </row>
    <row r="239" spans="1:25">
      <c r="A239" s="680" t="s"/>
      <c r="B239" s="837" t="s"/>
      <c r="C239" s="837" t="s"/>
      <c r="D239" s="838" t="s"/>
      <c r="E239" s="837" t="s"/>
      <c r="F239" s="839" t="s"/>
      <c r="G239" s="839" t="s"/>
      <c r="H239" s="840" t="s"/>
      <c r="I239" s="508" t="s"/>
      <c r="J239" s="508" t="s"/>
      <c r="K239" s="508" t="s"/>
      <c r="L239" s="508" t="s"/>
      <c r="M239" s="508" t="s"/>
      <c r="N239" s="508" t="s"/>
      <c r="O239" s="508" t="s"/>
      <c r="P239" s="508" t="s"/>
      <c r="Q239" s="508" t="s"/>
      <c r="R239" s="508" t="s"/>
      <c r="S239" s="508" t="s"/>
      <c r="T239" s="508" t="s"/>
      <c r="U239" s="508" t="s"/>
      <c r="V239" s="508" t="s"/>
      <c r="W239" s="508" t="s"/>
      <c r="X239" s="508" t="s"/>
      <c r="Y239" s="508" t="s"/>
    </row>
    <row r="240" spans="1:25">
      <c r="A240" s="680" t="s"/>
      <c r="B240" s="837" t="s"/>
      <c r="C240" s="837" t="s"/>
      <c r="D240" s="838" t="s"/>
      <c r="E240" s="837" t="s"/>
      <c r="F240" s="839" t="s"/>
      <c r="G240" s="839" t="s"/>
      <c r="H240" s="840" t="s"/>
      <c r="I240" s="508" t="s"/>
      <c r="J240" s="508" t="s"/>
      <c r="K240" s="508" t="s"/>
      <c r="L240" s="508" t="s"/>
      <c r="M240" s="508" t="s"/>
      <c r="N240" s="508" t="s"/>
      <c r="O240" s="508" t="s"/>
      <c r="P240" s="508" t="s"/>
      <c r="Q240" s="508" t="s"/>
      <c r="R240" s="508" t="s"/>
      <c r="S240" s="508" t="s"/>
      <c r="T240" s="508" t="s"/>
      <c r="U240" s="508" t="s"/>
      <c r="V240" s="508" t="s"/>
      <c r="W240" s="508" t="s"/>
      <c r="X240" s="508" t="s"/>
      <c r="Y240" s="508" t="s"/>
    </row>
    <row r="241" spans="1:25">
      <c r="A241" s="680" t="s"/>
      <c r="B241" s="837" t="s"/>
      <c r="C241" s="837" t="s"/>
      <c r="D241" s="680" t="s"/>
      <c r="E241" s="837" t="s"/>
      <c r="F241" s="837" t="s"/>
      <c r="G241" s="680" t="s"/>
      <c r="H241" s="840" t="s"/>
      <c r="I241" s="508" t="s"/>
      <c r="J241" s="508" t="s"/>
      <c r="K241" s="508" t="s"/>
      <c r="L241" s="508" t="s"/>
      <c r="M241" s="508" t="s"/>
      <c r="N241" s="508" t="s"/>
      <c r="O241" s="508" t="s"/>
      <c r="P241" s="508" t="s"/>
      <c r="Q241" s="508" t="s"/>
      <c r="R241" s="508" t="s"/>
      <c r="S241" s="508" t="s"/>
      <c r="T241" s="508" t="s"/>
      <c r="U241" s="508" t="s"/>
      <c r="V241" s="508" t="s"/>
      <c r="W241" s="508" t="s"/>
      <c r="X241" s="508" t="s"/>
      <c r="Y241" s="508" t="s"/>
    </row>
    <row r="242" spans="1:25">
      <c r="A242" s="680" t="s"/>
      <c r="B242" s="837" t="s"/>
      <c r="C242" s="837" t="s"/>
      <c r="D242" s="680" t="s"/>
      <c r="E242" s="837" t="s"/>
      <c r="F242" s="837" t="s"/>
      <c r="G242" s="680" t="s"/>
      <c r="H242" s="840" t="s"/>
      <c r="I242" s="508" t="s"/>
      <c r="J242" s="508" t="s"/>
      <c r="K242" s="508" t="s"/>
      <c r="L242" s="508" t="s"/>
      <c r="M242" s="508" t="s"/>
      <c r="N242" s="508" t="s"/>
      <c r="O242" s="508" t="s"/>
      <c r="P242" s="508" t="s"/>
      <c r="Q242" s="508" t="s"/>
      <c r="R242" s="508" t="s"/>
      <c r="S242" s="508" t="s"/>
      <c r="T242" s="508" t="s"/>
      <c r="U242" s="508" t="s"/>
      <c r="V242" s="508" t="s"/>
      <c r="W242" s="508" t="s"/>
      <c r="X242" s="508" t="s"/>
      <c r="Y242" s="508" t="s"/>
    </row>
  </sheetData>
  <autoFilter ref="A3:L55">
    <filterColumn colId="0">
      <filters blank="false">
        <filter val="培训部"/>
      </filters>
    </filterColumn>
    <sortState ref="A4:L55"/>
  </autoFilter>
  <mergeCells count="32">
    <mergeCell ref="A1:H1"/>
    <mergeCell ref="J1:L1"/>
    <mergeCell ref="A2:H2"/>
    <mergeCell ref="A4:A7"/>
    <mergeCell ref="C4:C7"/>
    <mergeCell ref="B4:B7"/>
    <mergeCell ref="L4:L7"/>
    <mergeCell ref="L34:L41"/>
    <mergeCell ref="I2:L2"/>
    <mergeCell ref="A9:A14"/>
    <mergeCell ref="C9:C14"/>
    <mergeCell ref="B9:B14"/>
    <mergeCell ref="L9:L14"/>
    <mergeCell ref="A22:A28"/>
    <mergeCell ref="B22:B28"/>
    <mergeCell ref="C22:C28"/>
    <mergeCell ref="L22:L28"/>
    <mergeCell ref="A15:A21"/>
    <mergeCell ref="C15:C21"/>
    <mergeCell ref="B15:B21"/>
    <mergeCell ref="L15:L21"/>
    <mergeCell ref="A29:A33"/>
    <mergeCell ref="C29:C33"/>
    <mergeCell ref="B29:B33"/>
    <mergeCell ref="L29:L33"/>
    <mergeCell ref="A34:A47"/>
    <mergeCell ref="B34:B47"/>
    <mergeCell ref="C34:C47"/>
    <mergeCell ref="A48:A53"/>
    <mergeCell ref="B48:B53"/>
    <mergeCell ref="C48:C53"/>
    <mergeCell ref="L48:L53"/>
  </mergeCells>
  <dataValidations>
    <dataValidation type="list" errorStyle="stop" allowBlank="true" showDropDown="false" showInputMessage="true" showErrorMessage="true" prompt="" sqref="G3:G1048576">
      <formula1>"社招,校招,社招&amp;校招,"</formula1>
    </dataValidation>
    <dataValidation type="list" errorStyle="stop" allowBlank="true" showDropDown="false" showInputMessage="true" showErrorMessage="true" prompt="" sqref="A3:A1048576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D3:D1048576">
      <formula1>"新增需求,替补需求,储备需求,上个月未交付延期本月,"</formula1>
    </dataValidation>
  </dataValidations>
</worksheet>
</file>

<file path=xl/worksheets/sheet11.xml><?xml version="1.0" encoding="utf-8"?>
<worksheet xmlns="http://schemas.openxmlformats.org/spreadsheetml/2006/main">
  <sheetPr codeName="2026-1">
    <tabColor/>
  </sheetPr>
  <dimension ref="Y229"/>
  <sheetViews>
    <sheetView showGridLines="true" workbookViewId="0">
      <pane ySplit="3" topLeftCell="A4" state="frozen"/>
    </sheetView>
  </sheetViews>
  <sheetFormatPr baseColWidth="13" defaultRowHeight="18" customHeight="true"/>
  <cols>
    <col min="1" max="1" width="16.7227" style="837" customWidth="true"/>
    <col min="2" max="3" width="24.0117" style="837" customWidth="true"/>
    <col min="4" max="4" width="13.8906" style="837" customWidth="true"/>
    <col min="5" max="5" width="13.8906" style="837" customWidth="true"/>
    <col min="6" max="6" width="10.9219" style="837" customWidth="true"/>
    <col min="7" max="7" width="10.9219" style="837" customWidth="true"/>
    <col min="8" max="8" width="62.4531" style="840" customWidth="true"/>
    <col min="9" max="11" width="13.6719" style="1341"/>
    <col min="12" max="12" width="15.3711" style="1341" customWidth="true"/>
    <col min="13" max="25" width="13.6719" style="508"/>
  </cols>
  <sheetData>
    <row r="1" spans="1:25" ht="122.25" customHeight="true">
      <c r="A1" s="1299" t="s">
        <v>382</v>
      </c>
      <c r="B1" s="705" t="s"/>
      <c r="I1" s="1300" t="s"/>
      <c r="J1" s="1300" t="s">
        <v>383</v>
      </c>
      <c r="M1" s="508" t="s"/>
      <c r="N1" s="508" t="s"/>
      <c r="O1" s="508" t="s"/>
      <c r="P1" s="508" t="s"/>
      <c r="Q1" s="508" t="s"/>
      <c r="R1" s="508" t="s"/>
      <c r="S1" s="508" t="s"/>
      <c r="T1" s="508" t="s"/>
      <c r="U1" s="508" t="s"/>
      <c r="V1" s="508" t="s"/>
      <c r="W1" s="508" t="s"/>
      <c r="X1" s="508" t="s"/>
      <c r="Y1" s="508" t="s"/>
    </row>
    <row r="2" spans="1:25" ht="25.5" customHeight="true">
      <c r="A2" s="1301" t="s">
        <v>323</v>
      </c>
      <c r="B2" s="708" t="s"/>
      <c r="C2" s="708" t="s"/>
      <c r="D2" s="708" t="s"/>
      <c r="E2" s="709" t="s"/>
      <c r="F2" s="709" t="s"/>
      <c r="G2" s="709" t="s"/>
      <c r="H2" s="710" t="s"/>
      <c r="I2" s="1302" t="s">
        <v>324</v>
      </c>
      <c r="J2" s="712" t="s"/>
      <c r="K2" s="712" t="s"/>
      <c r="L2" s="713" t="s"/>
      <c r="M2" s="508" t="s"/>
      <c r="N2" s="508" t="s"/>
      <c r="O2" s="508" t="s"/>
      <c r="P2" s="508" t="s"/>
      <c r="Q2" s="508" t="s"/>
      <c r="R2" s="508" t="s"/>
      <c r="S2" s="508" t="s"/>
      <c r="T2" s="508" t="s"/>
      <c r="U2" s="508" t="s"/>
      <c r="V2" s="508" t="s"/>
      <c r="W2" s="508" t="s"/>
      <c r="X2" s="508" t="s"/>
      <c r="Y2" s="508" t="s"/>
    </row>
    <row r="3" spans="1:25" ht="19.5" customHeight="true">
      <c r="A3" s="714" t="s">
        <v>6</v>
      </c>
      <c r="B3" s="714" t="s">
        <v>325</v>
      </c>
      <c r="C3" s="714" t="s">
        <v>326</v>
      </c>
      <c r="D3" s="1038" t="s"/>
      <c r="E3" s="714" t="s">
        <v>9</v>
      </c>
      <c r="F3" s="714" t="s">
        <v>10</v>
      </c>
      <c r="G3" s="714" t="s">
        <v>11</v>
      </c>
      <c r="H3" s="716" t="s">
        <v>125</v>
      </c>
      <c r="I3" s="1303" t="s">
        <v>16</v>
      </c>
      <c r="J3" s="1303" t="s">
        <v>17</v>
      </c>
      <c r="K3" s="1303" t="s">
        <v>126</v>
      </c>
      <c r="L3" s="1304" t="s">
        <v>327</v>
      </c>
      <c r="M3" s="508" t="s"/>
      <c r="N3" s="508" t="s"/>
      <c r="O3" s="508" t="s"/>
      <c r="P3" s="508" t="s"/>
      <c r="Q3" s="508" t="s"/>
      <c r="R3" s="508" t="s"/>
      <c r="S3" s="508" t="s"/>
      <c r="T3" s="508" t="s"/>
      <c r="U3" s="508" t="s"/>
      <c r="V3" s="508" t="s"/>
      <c r="W3" s="508" t="s"/>
      <c r="X3" s="508" t="s"/>
      <c r="Y3" s="508" t="s"/>
    </row>
    <row r="4" spans="1:25">
      <c r="A4" s="719" t="s">
        <v>39</v>
      </c>
      <c r="B4" s="720">
        <f>=235.24/57</f>
        <v>4.12701754385965</v>
      </c>
      <c r="C4" s="720">
        <v>57</v>
      </c>
      <c r="D4" s="721" t="s">
        <v>20</v>
      </c>
      <c r="E4" s="722" t="s">
        <v>40</v>
      </c>
      <c r="F4" s="723">
        <v>2</v>
      </c>
      <c r="G4" s="723" t="s">
        <v>35</v>
      </c>
      <c r="H4" s="724" t="s">
        <v>328</v>
      </c>
      <c r="I4" s="1305">
        <v>3</v>
      </c>
      <c r="J4" s="1305">
        <v>4</v>
      </c>
      <c r="K4" s="1305">
        <v>1</v>
      </c>
      <c r="L4" s="1306">
        <v>59</v>
      </c>
      <c r="M4" s="508" t="s"/>
      <c r="N4" s="508" t="s"/>
      <c r="O4" s="508" t="s"/>
      <c r="P4" s="508" t="s"/>
      <c r="Q4" s="508" t="s"/>
      <c r="R4" s="508" t="s"/>
      <c r="S4" s="508" t="s"/>
      <c r="T4" s="508" t="s"/>
      <c r="U4" s="508" t="s"/>
      <c r="V4" s="508" t="s"/>
      <c r="W4" s="508" t="s"/>
      <c r="X4" s="508" t="s"/>
      <c r="Y4" s="508" t="s"/>
    </row>
    <row r="5" spans="1:25">
      <c r="A5" s="770" t="s"/>
      <c r="B5" s="770" t="s"/>
      <c r="C5" s="770" t="s"/>
      <c r="D5" s="721" t="s">
        <v>20</v>
      </c>
      <c r="E5" s="722" t="s">
        <v>329</v>
      </c>
      <c r="F5" s="728">
        <v>2</v>
      </c>
      <c r="G5" s="721" t="s">
        <v>30</v>
      </c>
      <c r="H5" s="724" t="s">
        <v>132</v>
      </c>
      <c r="I5" s="1305">
        <v>1</v>
      </c>
      <c r="J5" s="1305">
        <v>1</v>
      </c>
      <c r="K5" s="1305">
        <v>0</v>
      </c>
      <c r="L5" s="729" t="s"/>
      <c r="M5" s="508" t="s"/>
      <c r="N5" s="508" t="s"/>
      <c r="O5" s="508" t="s"/>
      <c r="P5" s="508" t="s"/>
      <c r="Q5" s="508" t="s"/>
      <c r="R5" s="508" t="s"/>
      <c r="S5" s="508" t="s"/>
      <c r="T5" s="508" t="s"/>
      <c r="U5" s="508" t="s"/>
      <c r="V5" s="508" t="s"/>
      <c r="W5" s="508" t="s"/>
      <c r="X5" s="508" t="s"/>
      <c r="Y5" s="508" t="s"/>
    </row>
    <row r="6" spans="1:25">
      <c r="A6" s="770" t="s"/>
      <c r="B6" s="770" t="s"/>
      <c r="C6" s="770" t="s"/>
      <c r="D6" s="721" t="s">
        <v>44</v>
      </c>
      <c r="E6" s="722" t="s">
        <v>40</v>
      </c>
      <c r="F6" s="728">
        <v>1</v>
      </c>
      <c r="G6" s="721" t="s">
        <v>35</v>
      </c>
      <c r="H6" s="724" t="s">
        <v>130</v>
      </c>
      <c r="I6" s="1305">
        <v>0</v>
      </c>
      <c r="J6" s="1305">
        <v>0</v>
      </c>
      <c r="K6" s="1305">
        <v>0</v>
      </c>
      <c r="L6" s="729" t="s"/>
      <c r="M6" s="508" t="s"/>
      <c r="N6" s="508" t="s"/>
      <c r="O6" s="508" t="s"/>
      <c r="P6" s="508" t="s"/>
      <c r="Q6" s="508" t="s"/>
      <c r="R6" s="508" t="s"/>
      <c r="S6" s="508" t="s"/>
      <c r="T6" s="508" t="s"/>
      <c r="U6" s="508" t="s"/>
      <c r="V6" s="508" t="s"/>
      <c r="W6" s="508" t="s"/>
      <c r="X6" s="508" t="s"/>
      <c r="Y6" s="508" t="s"/>
    </row>
    <row r="7" spans="1:25">
      <c r="A7" s="770" t="s"/>
      <c r="B7" s="770" t="s"/>
      <c r="C7" s="770" t="s"/>
      <c r="D7" s="721" t="s">
        <v>44</v>
      </c>
      <c r="E7" s="722" t="s">
        <v>131</v>
      </c>
      <c r="F7" s="728">
        <v>1</v>
      </c>
      <c r="G7" s="721" t="s">
        <v>30</v>
      </c>
      <c r="H7" s="724" t="s">
        <v>132</v>
      </c>
      <c r="I7" s="1305">
        <v>0</v>
      </c>
      <c r="J7" s="1305">
        <v>0</v>
      </c>
      <c r="K7" s="1305">
        <v>2</v>
      </c>
      <c r="L7" s="729" t="s"/>
      <c r="M7" s="508" t="s"/>
      <c r="N7" s="508" t="s"/>
      <c r="O7" s="508" t="s"/>
      <c r="P7" s="508" t="s"/>
      <c r="Q7" s="508" t="s"/>
      <c r="R7" s="508" t="s"/>
      <c r="S7" s="508" t="s"/>
      <c r="T7" s="508" t="s"/>
      <c r="U7" s="508" t="s"/>
      <c r="V7" s="508" t="s"/>
      <c r="W7" s="508" t="s"/>
      <c r="X7" s="508" t="s"/>
      <c r="Y7" s="508" t="s"/>
    </row>
    <row r="8" spans="1:25">
      <c r="A8" s="776" t="s"/>
      <c r="B8" s="776" t="s"/>
      <c r="C8" s="776" t="s"/>
      <c r="D8" s="721" t="s">
        <v>44</v>
      </c>
      <c r="E8" s="722" t="s">
        <v>49</v>
      </c>
      <c r="F8" s="721">
        <v>3</v>
      </c>
      <c r="G8" s="721" t="s">
        <v>35</v>
      </c>
      <c r="H8" s="724" t="s">
        <v>330</v>
      </c>
      <c r="I8" s="1305">
        <v>0</v>
      </c>
      <c r="J8" s="1305">
        <v>0</v>
      </c>
      <c r="K8" s="1305">
        <v>0</v>
      </c>
      <c r="L8" s="730" t="s"/>
      <c r="M8" s="508" t="s"/>
      <c r="N8" s="508" t="s"/>
      <c r="O8" s="508" t="s"/>
      <c r="P8" s="508" t="s"/>
      <c r="Q8" s="508" t="s"/>
      <c r="R8" s="508" t="s"/>
      <c r="S8" s="508" t="s"/>
      <c r="T8" s="508" t="s"/>
      <c r="U8" s="508" t="s"/>
      <c r="V8" s="508" t="s"/>
      <c r="W8" s="508" t="s"/>
      <c r="X8" s="508" t="s"/>
      <c r="Y8" s="508" t="s"/>
    </row>
    <row r="9" spans="1:25">
      <c r="A9" s="734" t="s">
        <v>19</v>
      </c>
      <c r="B9" s="735">
        <f>=498.39256/69</f>
        <v>7.22308057971015</v>
      </c>
      <c r="C9" s="735">
        <v>69</v>
      </c>
      <c r="D9" s="742" t="s">
        <v>20</v>
      </c>
      <c r="E9" s="737" t="s">
        <v>331</v>
      </c>
      <c r="F9" s="738">
        <v>5</v>
      </c>
      <c r="G9" s="738" t="s">
        <v>22</v>
      </c>
      <c r="H9" s="739" t="s"/>
      <c r="I9" s="1307">
        <v>9</v>
      </c>
      <c r="J9" s="1307">
        <v>10</v>
      </c>
      <c r="K9" s="1307">
        <v>17</v>
      </c>
      <c r="L9" s="1308">
        <v>63</v>
      </c>
      <c r="M9" s="508" t="s"/>
      <c r="N9" s="508" t="s"/>
      <c r="O9" s="508" t="s"/>
      <c r="P9" s="508" t="s"/>
      <c r="Q9" s="508" t="s"/>
      <c r="R9" s="508" t="s"/>
      <c r="S9" s="508" t="s"/>
      <c r="T9" s="508" t="s"/>
      <c r="U9" s="508" t="s"/>
      <c r="V9" s="508" t="s"/>
      <c r="W9" s="508" t="s"/>
      <c r="X9" s="508" t="s"/>
      <c r="Y9" s="508" t="s"/>
    </row>
    <row r="10" spans="1:25">
      <c r="A10" s="727" t="s"/>
      <c r="B10" s="727" t="s"/>
      <c r="C10" s="727" t="s"/>
      <c r="D10" s="742" t="s">
        <v>20</v>
      </c>
      <c r="E10" s="737" t="s">
        <v>332</v>
      </c>
      <c r="F10" s="742">
        <v>3</v>
      </c>
      <c r="G10" s="742" t="s">
        <v>30</v>
      </c>
      <c r="H10" s="739" t="s"/>
      <c r="I10" s="1307">
        <v>1</v>
      </c>
      <c r="J10" s="1307">
        <v>2</v>
      </c>
      <c r="K10" s="1307">
        <v>2</v>
      </c>
      <c r="L10" s="729" t="s"/>
      <c r="M10" s="508" t="s"/>
      <c r="N10" s="508" t="s"/>
      <c r="O10" s="508" t="s"/>
      <c r="P10" s="508" t="s"/>
      <c r="Q10" s="508" t="s"/>
      <c r="R10" s="508" t="s"/>
      <c r="S10" s="508" t="s"/>
      <c r="T10" s="508" t="s"/>
      <c r="U10" s="508" t="s"/>
      <c r="V10" s="508" t="s"/>
      <c r="W10" s="508" t="s"/>
      <c r="X10" s="508" t="s"/>
      <c r="Y10" s="508" t="s"/>
    </row>
    <row r="11" spans="1:25">
      <c r="A11" s="743" t="s"/>
      <c r="B11" s="744" t="s"/>
      <c r="C11" s="744" t="s"/>
      <c r="D11" s="742" t="s"/>
      <c r="E11" s="737" t="s">
        <v>333</v>
      </c>
      <c r="F11" s="742">
        <v>1</v>
      </c>
      <c r="G11" s="742" t="s">
        <v>30</v>
      </c>
      <c r="H11" s="745" t="s"/>
      <c r="I11" s="1307">
        <v>0</v>
      </c>
      <c r="J11" s="1307">
        <v>1</v>
      </c>
      <c r="K11" s="1307">
        <v>0</v>
      </c>
      <c r="L11" s="746" t="s"/>
      <c r="M11" s="508" t="s"/>
      <c r="N11" s="508" t="s"/>
      <c r="O11" s="508" t="s"/>
      <c r="P11" s="508" t="s"/>
      <c r="Q11" s="508" t="s"/>
      <c r="R11" s="508" t="s"/>
      <c r="S11" s="508" t="s"/>
      <c r="T11" s="508" t="s"/>
      <c r="U11" s="508" t="s"/>
      <c r="V11" s="508" t="s"/>
      <c r="W11" s="508" t="s"/>
      <c r="X11" s="508" t="s"/>
      <c r="Y11" s="508" t="s"/>
    </row>
    <row r="12" spans="1:25">
      <c r="A12" s="743" t="s"/>
      <c r="B12" s="744" t="s"/>
      <c r="C12" s="744" t="s"/>
      <c r="D12" s="747" t="s"/>
      <c r="E12" s="737" t="s">
        <v>38</v>
      </c>
      <c r="F12" s="742">
        <v>1</v>
      </c>
      <c r="G12" s="742" t="s">
        <v>22</v>
      </c>
      <c r="H12" s="748" t="s"/>
      <c r="I12" s="1307">
        <v>1</v>
      </c>
      <c r="J12" s="1307">
        <v>1</v>
      </c>
      <c r="K12" s="1307">
        <v>2</v>
      </c>
      <c r="L12" s="746" t="s"/>
      <c r="M12" s="508" t="s"/>
      <c r="N12" s="508" t="s"/>
      <c r="O12" s="508" t="s"/>
      <c r="P12" s="508" t="s"/>
      <c r="Q12" s="508" t="s"/>
      <c r="R12" s="508" t="s"/>
      <c r="S12" s="508" t="s"/>
      <c r="T12" s="508" t="s"/>
      <c r="U12" s="508" t="s"/>
      <c r="V12" s="508" t="s"/>
      <c r="W12" s="508" t="s"/>
      <c r="X12" s="508" t="s"/>
      <c r="Y12" s="508" t="s"/>
    </row>
    <row r="13" spans="1:25" ht="27.75" customHeight="true">
      <c r="A13" s="750" t="s">
        <v>134</v>
      </c>
      <c r="B13" s="751">
        <v>89</v>
      </c>
      <c r="C13" s="751">
        <v>89</v>
      </c>
      <c r="D13" s="736" t="s">
        <v>20</v>
      </c>
      <c r="E13" s="752" t="s">
        <v>82</v>
      </c>
      <c r="F13" s="736">
        <v>3</v>
      </c>
      <c r="G13" s="736" t="s">
        <v>35</v>
      </c>
      <c r="H13" s="753" t="s">
        <v>334</v>
      </c>
      <c r="I13" s="1309">
        <v>0</v>
      </c>
      <c r="J13" s="1310">
        <v>1</v>
      </c>
      <c r="K13" s="1309">
        <v>2</v>
      </c>
      <c r="L13" s="1311">
        <v>85</v>
      </c>
      <c r="M13" s="508" t="s"/>
      <c r="N13" s="508" t="s"/>
      <c r="O13" s="508" t="s"/>
      <c r="P13" s="508" t="s"/>
      <c r="Q13" s="508" t="s"/>
      <c r="R13" s="508" t="s"/>
      <c r="S13" s="508" t="s"/>
      <c r="T13" s="508" t="s"/>
      <c r="U13" s="508" t="s"/>
      <c r="V13" s="508" t="s"/>
      <c r="W13" s="508" t="s"/>
      <c r="X13" s="508" t="s"/>
      <c r="Y13" s="508" t="s"/>
    </row>
    <row r="14" spans="1:25">
      <c r="A14" s="727" t="s"/>
      <c r="B14" s="727" t="s"/>
      <c r="C14" s="727" t="s"/>
      <c r="D14" s="736" t="s">
        <v>20</v>
      </c>
      <c r="E14" s="752" t="s">
        <v>138</v>
      </c>
      <c r="F14" s="736">
        <v>1</v>
      </c>
      <c r="G14" s="736" t="s">
        <v>35</v>
      </c>
      <c r="H14" s="753" t="s">
        <v>335</v>
      </c>
      <c r="I14" s="1309">
        <v>2</v>
      </c>
      <c r="J14" s="1309">
        <v>2</v>
      </c>
      <c r="K14" s="1309">
        <v>3</v>
      </c>
      <c r="L14" s="729" t="s"/>
      <c r="M14" s="508" t="s"/>
      <c r="N14" s="508" t="s"/>
      <c r="O14" s="508" t="s"/>
      <c r="P14" s="508" t="s"/>
      <c r="Q14" s="508" t="s"/>
      <c r="R14" s="508" t="s"/>
      <c r="S14" s="508" t="s"/>
      <c r="T14" s="508" t="s"/>
      <c r="U14" s="508" t="s"/>
      <c r="V14" s="508" t="s"/>
      <c r="W14" s="508" t="s"/>
      <c r="X14" s="508" t="s"/>
      <c r="Y14" s="508" t="s"/>
    </row>
    <row r="15" spans="1:25">
      <c r="A15" s="727" t="s"/>
      <c r="B15" s="727" t="s"/>
      <c r="C15" s="727" t="s"/>
      <c r="D15" s="736" t="s">
        <v>44</v>
      </c>
      <c r="E15" s="752" t="s">
        <v>138</v>
      </c>
      <c r="F15" s="736">
        <v>1</v>
      </c>
      <c r="G15" s="736" t="s">
        <v>35</v>
      </c>
      <c r="H15" s="753" t="s"/>
      <c r="I15" s="1309" t="s"/>
      <c r="J15" s="1310" t="s"/>
      <c r="K15" s="1309" t="s"/>
      <c r="L15" s="729" t="s"/>
      <c r="M15" s="508" t="s"/>
      <c r="N15" s="508" t="s"/>
      <c r="O15" s="508" t="s"/>
      <c r="P15" s="508" t="s"/>
      <c r="Q15" s="508" t="s"/>
      <c r="R15" s="508" t="s"/>
      <c r="S15" s="508" t="s"/>
      <c r="T15" s="508" t="s"/>
      <c r="U15" s="508" t="s"/>
      <c r="V15" s="508" t="s"/>
      <c r="W15" s="508" t="s"/>
      <c r="X15" s="508" t="s"/>
      <c r="Y15" s="508" t="s"/>
    </row>
    <row r="16" spans="1:25">
      <c r="A16" s="764" t="s">
        <v>50</v>
      </c>
      <c r="B16" s="765">
        <f>=57.07/23</f>
        <v>2.48130434782609</v>
      </c>
      <c r="C16" s="765">
        <v>23</v>
      </c>
      <c r="D16" s="766" t="s">
        <v>20</v>
      </c>
      <c r="E16" s="773" t="s">
        <v>82</v>
      </c>
      <c r="F16" s="766">
        <v>3</v>
      </c>
      <c r="G16" s="766" t="s">
        <v>35</v>
      </c>
      <c r="H16" s="774" t="s">
        <v>336</v>
      </c>
      <c r="I16" s="1312">
        <v>1</v>
      </c>
      <c r="J16" s="1313">
        <v>1</v>
      </c>
      <c r="K16" s="1313">
        <v>1</v>
      </c>
      <c r="L16" s="1314">
        <v>27</v>
      </c>
      <c r="M16" s="508" t="s"/>
      <c r="N16" s="508" t="s"/>
      <c r="O16" s="508" t="s"/>
      <c r="P16" s="508" t="s"/>
      <c r="Q16" s="508" t="s"/>
      <c r="R16" s="508" t="s"/>
      <c r="S16" s="508" t="s"/>
      <c r="T16" s="508" t="s"/>
      <c r="U16" s="508" t="s"/>
      <c r="V16" s="508" t="s"/>
      <c r="W16" s="508" t="s"/>
      <c r="X16" s="508" t="s"/>
      <c r="Y16" s="508" t="s"/>
    </row>
    <row r="17" spans="1:25">
      <c r="A17" s="727" t="s"/>
      <c r="B17" s="727" t="s"/>
      <c r="C17" s="727" t="s"/>
      <c r="D17" s="771" t="s">
        <v>20</v>
      </c>
      <c r="E17" s="1315" t="s">
        <v>140</v>
      </c>
      <c r="F17" s="771">
        <v>4</v>
      </c>
      <c r="G17" s="771" t="s">
        <v>22</v>
      </c>
      <c r="H17" s="1316" t="s"/>
      <c r="I17" s="1317">
        <v>4</v>
      </c>
      <c r="J17" s="1313">
        <v>3</v>
      </c>
      <c r="K17" s="1313">
        <v>0</v>
      </c>
      <c r="L17" s="729" t="s"/>
      <c r="M17" s="508" t="s"/>
      <c r="N17" s="508" t="s"/>
      <c r="O17" s="508" t="s"/>
      <c r="P17" s="508" t="s"/>
      <c r="Q17" s="508" t="s"/>
      <c r="R17" s="508" t="s"/>
      <c r="S17" s="508" t="s"/>
      <c r="T17" s="508" t="s"/>
      <c r="U17" s="508" t="s"/>
      <c r="V17" s="508" t="s"/>
      <c r="W17" s="508" t="s"/>
      <c r="X17" s="508" t="s"/>
      <c r="Y17" s="508" t="s"/>
    </row>
    <row r="18" spans="1:25">
      <c r="A18" s="727" t="s"/>
      <c r="B18" s="727" t="s"/>
      <c r="C18" s="727" t="s"/>
      <c r="D18" s="766" t="s">
        <v>20</v>
      </c>
      <c r="E18" s="773" t="s">
        <v>337</v>
      </c>
      <c r="F18" s="766">
        <v>1</v>
      </c>
      <c r="G18" s="766" t="s">
        <v>30</v>
      </c>
      <c r="H18" s="774" t="s"/>
      <c r="I18" s="1313">
        <v>0</v>
      </c>
      <c r="J18" s="1313">
        <v>0</v>
      </c>
      <c r="K18" s="1313">
        <v>0</v>
      </c>
      <c r="L18" s="729" t="s"/>
      <c r="M18" s="508" t="s"/>
      <c r="N18" s="508" t="s"/>
      <c r="O18" s="508" t="s"/>
      <c r="P18" s="508" t="s"/>
      <c r="Q18" s="508" t="s"/>
      <c r="R18" s="508" t="s"/>
      <c r="S18" s="508" t="s"/>
      <c r="T18" s="508" t="s"/>
      <c r="U18" s="508" t="s"/>
      <c r="V18" s="508" t="s"/>
      <c r="W18" s="508" t="s"/>
      <c r="X18" s="508" t="s"/>
      <c r="Y18" s="508" t="s"/>
    </row>
    <row r="19" spans="1:25">
      <c r="A19" s="1318" t="s"/>
      <c r="B19" s="1319" t="s"/>
      <c r="C19" s="1319" t="s"/>
      <c r="D19" s="766" t="s">
        <v>20</v>
      </c>
      <c r="E19" s="773" t="s">
        <v>138</v>
      </c>
      <c r="F19" s="766">
        <v>1</v>
      </c>
      <c r="G19" s="766" t="s">
        <v>35</v>
      </c>
      <c r="H19" s="774" t="s"/>
      <c r="I19" s="1313">
        <v>1</v>
      </c>
      <c r="J19" s="1313">
        <v>1</v>
      </c>
      <c r="K19" s="1313">
        <v>0</v>
      </c>
      <c r="L19" s="1320" t="s"/>
      <c r="M19" s="508" t="s"/>
      <c r="N19" s="508" t="s"/>
      <c r="O19" s="508" t="s"/>
      <c r="P19" s="508" t="s"/>
      <c r="Q19" s="508" t="s"/>
      <c r="R19" s="508" t="s"/>
      <c r="S19" s="508" t="s"/>
      <c r="T19" s="508" t="s"/>
      <c r="U19" s="508" t="s"/>
      <c r="V19" s="508" t="s"/>
      <c r="W19" s="508" t="s"/>
      <c r="X19" s="508" t="s"/>
      <c r="Y19" s="508" t="s"/>
    </row>
    <row r="20" spans="1:25">
      <c r="A20" s="727" t="s"/>
      <c r="B20" s="727" t="s"/>
      <c r="C20" s="727" t="s"/>
      <c r="D20" s="766" t="s">
        <v>44</v>
      </c>
      <c r="E20" s="773" t="s">
        <v>144</v>
      </c>
      <c r="F20" s="766">
        <v>1</v>
      </c>
      <c r="G20" s="766" t="s">
        <v>35</v>
      </c>
      <c r="H20" s="774" t="s">
        <v>145</v>
      </c>
      <c r="I20" s="1313">
        <v>0</v>
      </c>
      <c r="J20" s="1313">
        <v>0</v>
      </c>
      <c r="K20" s="1313">
        <v>0</v>
      </c>
      <c r="L20" s="729" t="s"/>
      <c r="M20" s="508" t="s"/>
      <c r="N20" s="508" t="s"/>
      <c r="O20" s="508" t="s"/>
      <c r="P20" s="508" t="s"/>
      <c r="Q20" s="508" t="s"/>
      <c r="R20" s="508" t="s"/>
      <c r="S20" s="508" t="s"/>
      <c r="T20" s="508" t="s"/>
      <c r="U20" s="508" t="s"/>
      <c r="V20" s="508" t="s"/>
      <c r="W20" s="508" t="s"/>
      <c r="X20" s="508" t="s"/>
      <c r="Y20" s="508" t="s"/>
    </row>
    <row r="21" spans="1:25">
      <c r="A21" s="778" t="s">
        <v>63</v>
      </c>
      <c r="B21" s="779">
        <v>18</v>
      </c>
      <c r="C21" s="779">
        <v>18</v>
      </c>
      <c r="D21" s="780" t="s">
        <v>20</v>
      </c>
      <c r="E21" s="781" t="s">
        <v>338</v>
      </c>
      <c r="F21" s="780">
        <v>1</v>
      </c>
      <c r="G21" s="780" t="s">
        <v>30</v>
      </c>
      <c r="H21" s="782" t="s">
        <v>339</v>
      </c>
      <c r="I21" s="1321">
        <v>1</v>
      </c>
      <c r="J21" s="1321">
        <v>1</v>
      </c>
      <c r="K21" s="1321">
        <v>2</v>
      </c>
      <c r="L21" s="1322">
        <v>15</v>
      </c>
      <c r="M21" s="508" t="s"/>
      <c r="N21" s="508" t="s"/>
      <c r="O21" s="508" t="s"/>
      <c r="P21" s="508" t="s"/>
      <c r="Q21" s="508" t="s"/>
      <c r="R21" s="508" t="s"/>
      <c r="S21" s="508" t="s"/>
      <c r="T21" s="508" t="s"/>
      <c r="U21" s="508" t="s"/>
      <c r="V21" s="508" t="s"/>
      <c r="W21" s="508" t="s"/>
      <c r="X21" s="508" t="s"/>
      <c r="Y21" s="508" t="s"/>
    </row>
    <row r="22" spans="1:25" ht="27.75" customHeight="true">
      <c r="A22" s="788" t="s">
        <v>32</v>
      </c>
      <c r="B22" s="789">
        <f>=68.40188/36</f>
        <v>1.90005222222222</v>
      </c>
      <c r="C22" s="789">
        <v>36</v>
      </c>
      <c r="D22" s="792" t="s">
        <v>20</v>
      </c>
      <c r="E22" s="797" t="s">
        <v>151</v>
      </c>
      <c r="F22" s="792">
        <v>1</v>
      </c>
      <c r="G22" s="792" t="s">
        <v>30</v>
      </c>
      <c r="H22" s="798" t="s">
        <v>152</v>
      </c>
      <c r="I22" s="1323">
        <v>1</v>
      </c>
      <c r="J22" s="1323">
        <v>1</v>
      </c>
      <c r="K22" s="1323">
        <v>0</v>
      </c>
      <c r="L22" s="1324">
        <v>41</v>
      </c>
      <c r="M22" s="508" t="s"/>
      <c r="N22" s="508" t="s"/>
      <c r="O22" s="508" t="s"/>
      <c r="P22" s="508" t="s"/>
      <c r="Q22" s="508" t="s"/>
      <c r="R22" s="508" t="s"/>
      <c r="S22" s="508" t="s"/>
      <c r="T22" s="508" t="s"/>
      <c r="U22" s="508" t="s"/>
      <c r="V22" s="508" t="s"/>
      <c r="W22" s="508" t="s"/>
      <c r="X22" s="508" t="s"/>
      <c r="Y22" s="508" t="s"/>
    </row>
    <row r="23" spans="1:25" ht="27.75" customHeight="true">
      <c r="A23" s="770" t="s"/>
      <c r="B23" s="770" t="s"/>
      <c r="C23" s="770" t="s"/>
      <c r="D23" s="792" t="s">
        <v>44</v>
      </c>
      <c r="E23" s="797" t="s">
        <v>151</v>
      </c>
      <c r="F23" s="792">
        <v>1</v>
      </c>
      <c r="G23" s="792" t="s">
        <v>30</v>
      </c>
      <c r="H23" s="798" t="s">
        <v>152</v>
      </c>
      <c r="I23" s="1323">
        <v>0</v>
      </c>
      <c r="J23" s="1323">
        <v>0</v>
      </c>
      <c r="K23" s="1323">
        <v>0</v>
      </c>
      <c r="L23" s="729" t="s"/>
      <c r="M23" s="508" t="s"/>
      <c r="N23" s="508" t="s"/>
      <c r="O23" s="508" t="s"/>
      <c r="P23" s="508" t="s"/>
      <c r="Q23" s="508" t="s"/>
      <c r="R23" s="508" t="s"/>
      <c r="S23" s="508" t="s"/>
      <c r="T23" s="508" t="s"/>
      <c r="U23" s="508" t="s"/>
      <c r="V23" s="508" t="s"/>
      <c r="W23" s="508" t="s"/>
      <c r="X23" s="508" t="s"/>
      <c r="Y23" s="508" t="s"/>
    </row>
    <row r="24" spans="1:25">
      <c r="A24" s="770" t="s"/>
      <c r="B24" s="770" t="s"/>
      <c r="C24" s="770" t="s"/>
      <c r="D24" s="792" t="s">
        <v>47</v>
      </c>
      <c r="E24" s="797" t="s">
        <v>56</v>
      </c>
      <c r="F24" s="792">
        <v>2</v>
      </c>
      <c r="G24" s="792" t="s">
        <v>30</v>
      </c>
      <c r="H24" s="798" t="s">
        <v>340</v>
      </c>
      <c r="I24" s="1323">
        <v>0</v>
      </c>
      <c r="J24" s="1323">
        <v>0</v>
      </c>
      <c r="K24" s="1323">
        <v>0</v>
      </c>
      <c r="L24" s="729" t="s"/>
      <c r="M24" s="508" t="s"/>
      <c r="N24" s="508" t="s"/>
      <c r="O24" s="508" t="s"/>
      <c r="P24" s="508" t="s"/>
      <c r="Q24" s="508" t="s"/>
      <c r="R24" s="508" t="s"/>
      <c r="S24" s="508" t="s"/>
      <c r="T24" s="508" t="s"/>
      <c r="U24" s="508" t="s"/>
      <c r="V24" s="508" t="s"/>
      <c r="W24" s="508" t="s"/>
      <c r="X24" s="508" t="s"/>
      <c r="Y24" s="508" t="s"/>
    </row>
    <row r="25" spans="1:25" ht="69.75" customHeight="true">
      <c r="A25" s="770" t="s"/>
      <c r="B25" s="770" t="s"/>
      <c r="C25" s="770" t="s"/>
      <c r="D25" s="792" t="s">
        <v>20</v>
      </c>
      <c r="E25" s="797" t="s">
        <v>56</v>
      </c>
      <c r="F25" s="792">
        <v>2</v>
      </c>
      <c r="G25" s="792" t="s">
        <v>35</v>
      </c>
      <c r="H25" s="798" t="s">
        <v>341</v>
      </c>
      <c r="I25" s="1323">
        <v>2</v>
      </c>
      <c r="J25" s="1323">
        <v>2</v>
      </c>
      <c r="K25" s="1323">
        <v>2</v>
      </c>
      <c r="L25" s="729" t="s"/>
      <c r="M25" s="508" t="s"/>
      <c r="N25" s="508" t="s"/>
      <c r="O25" s="508" t="s"/>
      <c r="P25" s="508" t="s"/>
      <c r="Q25" s="508" t="s"/>
      <c r="R25" s="508" t="s"/>
      <c r="S25" s="508" t="s"/>
      <c r="T25" s="508" t="s"/>
      <c r="U25" s="508" t="s"/>
      <c r="V25" s="508" t="s"/>
      <c r="W25" s="508" t="s"/>
      <c r="X25" s="508" t="s"/>
      <c r="Y25" s="508" t="s"/>
    </row>
    <row r="26" spans="1:25" ht="42" customHeight="true">
      <c r="A26" s="770" t="s"/>
      <c r="B26" s="770" t="s"/>
      <c r="C26" s="770" t="s"/>
      <c r="D26" s="792" t="s">
        <v>20</v>
      </c>
      <c r="E26" s="797" t="s">
        <v>60</v>
      </c>
      <c r="F26" s="792">
        <v>1</v>
      </c>
      <c r="G26" s="792" t="s">
        <v>30</v>
      </c>
      <c r="H26" s="800" t="s">
        <v>155</v>
      </c>
      <c r="I26" s="1323">
        <v>1</v>
      </c>
      <c r="J26" s="1323">
        <v>1</v>
      </c>
      <c r="K26" s="1323">
        <v>0</v>
      </c>
      <c r="L26" s="729" t="s"/>
      <c r="M26" s="508" t="s"/>
      <c r="N26" s="508" t="s"/>
      <c r="O26" s="508" t="s"/>
      <c r="P26" s="508" t="s"/>
      <c r="Q26" s="508" t="s"/>
      <c r="R26" s="508" t="s"/>
      <c r="S26" s="508" t="s"/>
      <c r="T26" s="508" t="s"/>
      <c r="U26" s="508" t="s"/>
      <c r="V26" s="508" t="s"/>
      <c r="W26" s="508" t="s"/>
      <c r="X26" s="508" t="s"/>
      <c r="Y26" s="508" t="s"/>
    </row>
    <row r="27" spans="1:25" ht="42" customHeight="true">
      <c r="A27" s="770" t="s"/>
      <c r="B27" s="770" t="s"/>
      <c r="C27" s="770" t="s"/>
      <c r="D27" s="792" t="s">
        <v>44</v>
      </c>
      <c r="E27" s="797" t="s">
        <v>60</v>
      </c>
      <c r="F27" s="792">
        <v>1</v>
      </c>
      <c r="G27" s="792" t="s">
        <v>30</v>
      </c>
      <c r="H27" s="799" t="s">
        <v>155</v>
      </c>
      <c r="I27" s="1323">
        <v>1</v>
      </c>
      <c r="J27" s="1323">
        <v>1</v>
      </c>
      <c r="K27" s="1323">
        <v>0</v>
      </c>
      <c r="L27" s="729" t="s"/>
      <c r="M27" s="508" t="s"/>
      <c r="N27" s="508" t="s"/>
      <c r="O27" s="508" t="s"/>
      <c r="P27" s="508" t="s"/>
      <c r="Q27" s="508" t="s"/>
      <c r="R27" s="508" t="s"/>
      <c r="S27" s="508" t="s"/>
      <c r="T27" s="508" t="s"/>
      <c r="U27" s="508" t="s"/>
      <c r="V27" s="508" t="s"/>
      <c r="W27" s="508" t="s"/>
      <c r="X27" s="508" t="s"/>
      <c r="Y27" s="508" t="s"/>
    </row>
    <row r="28" spans="1:25">
      <c r="A28" s="770" t="s"/>
      <c r="B28" s="770" t="s"/>
      <c r="C28" s="770" t="s"/>
      <c r="D28" s="792" t="s">
        <v>44</v>
      </c>
      <c r="E28" s="797" t="s">
        <v>156</v>
      </c>
      <c r="F28" s="792">
        <v>1</v>
      </c>
      <c r="G28" s="792" t="s">
        <v>30</v>
      </c>
      <c r="H28" s="798" t="s">
        <v>157</v>
      </c>
      <c r="I28" s="1323">
        <v>1</v>
      </c>
      <c r="J28" s="1323">
        <v>1</v>
      </c>
      <c r="K28" s="1323">
        <v>0</v>
      </c>
      <c r="L28" s="729" t="s"/>
      <c r="M28" s="508" t="s"/>
      <c r="N28" s="508" t="s"/>
      <c r="O28" s="508" t="s"/>
      <c r="P28" s="508" t="s"/>
      <c r="Q28" s="508" t="s"/>
      <c r="R28" s="508" t="s"/>
      <c r="S28" s="508" t="s"/>
      <c r="T28" s="508" t="s"/>
      <c r="U28" s="508" t="s"/>
      <c r="V28" s="508" t="s"/>
      <c r="W28" s="508" t="s"/>
      <c r="X28" s="508" t="s"/>
      <c r="Y28" s="508" t="s"/>
    </row>
    <row r="29" spans="1:25" ht="27.75" customHeight="true">
      <c r="A29" s="770" t="s"/>
      <c r="B29" s="770" t="s"/>
      <c r="C29" s="770" t="s"/>
      <c r="D29" s="792" t="s">
        <v>20</v>
      </c>
      <c r="E29" s="797" t="s">
        <v>158</v>
      </c>
      <c r="F29" s="792">
        <v>2</v>
      </c>
      <c r="G29" s="792" t="s">
        <v>35</v>
      </c>
      <c r="H29" s="798" t="s">
        <v>159</v>
      </c>
      <c r="I29" s="1323">
        <v>1</v>
      </c>
      <c r="J29" s="1323">
        <v>1</v>
      </c>
      <c r="K29" s="1323">
        <v>0</v>
      </c>
      <c r="L29" s="729" t="s"/>
      <c r="M29" s="508" t="s"/>
      <c r="N29" s="508" t="s"/>
      <c r="O29" s="508" t="s"/>
      <c r="P29" s="508" t="s"/>
      <c r="Q29" s="508" t="s"/>
      <c r="R29" s="508" t="s"/>
      <c r="S29" s="508" t="s"/>
      <c r="T29" s="508" t="s"/>
      <c r="U29" s="508" t="s"/>
      <c r="V29" s="508" t="s"/>
      <c r="W29" s="508" t="s"/>
      <c r="X29" s="508" t="s"/>
      <c r="Y29" s="508" t="s"/>
    </row>
    <row r="30" spans="1:25" ht="27.75" customHeight="true">
      <c r="A30" s="770" t="s"/>
      <c r="B30" s="770" t="s"/>
      <c r="C30" s="770" t="s"/>
      <c r="D30" s="792" t="s">
        <v>20</v>
      </c>
      <c r="E30" s="797" t="s">
        <v>40</v>
      </c>
      <c r="F30" s="1325">
        <v>1</v>
      </c>
      <c r="G30" s="792" t="s">
        <v>30</v>
      </c>
      <c r="H30" s="798" t="s">
        <v>342</v>
      </c>
      <c r="I30" s="1323">
        <v>1</v>
      </c>
      <c r="J30" s="1323">
        <v>1</v>
      </c>
      <c r="K30" s="1323">
        <v>0</v>
      </c>
      <c r="L30" s="729" t="s"/>
      <c r="M30" s="508" t="s"/>
      <c r="N30" s="508" t="s"/>
      <c r="O30" s="508" t="s"/>
      <c r="P30" s="508" t="s"/>
      <c r="Q30" s="508" t="s"/>
      <c r="R30" s="508" t="s"/>
      <c r="S30" s="508" t="s"/>
      <c r="T30" s="508" t="s"/>
      <c r="U30" s="508" t="s"/>
      <c r="V30" s="508" t="s"/>
      <c r="W30" s="508" t="s"/>
      <c r="X30" s="508" t="s"/>
      <c r="Y30" s="508" t="s"/>
    </row>
    <row r="31" spans="1:25" ht="27.75" customHeight="true">
      <c r="A31" s="770" t="s"/>
      <c r="B31" s="770" t="s"/>
      <c r="C31" s="770" t="s"/>
      <c r="D31" s="792" t="s">
        <v>20</v>
      </c>
      <c r="E31" s="797" t="s">
        <v>46</v>
      </c>
      <c r="F31" s="792">
        <v>1</v>
      </c>
      <c r="G31" s="792" t="s">
        <v>30</v>
      </c>
      <c r="H31" s="798" t="s">
        <v>342</v>
      </c>
      <c r="I31" s="1323">
        <v>0</v>
      </c>
      <c r="J31" s="1323">
        <v>0</v>
      </c>
      <c r="K31" s="1323">
        <v>0</v>
      </c>
      <c r="L31" s="729" t="s"/>
      <c r="M31" s="508" t="s"/>
      <c r="N31" s="508" t="s"/>
      <c r="O31" s="508" t="s"/>
      <c r="P31" s="508" t="s"/>
      <c r="Q31" s="508" t="s"/>
      <c r="R31" s="508" t="s"/>
      <c r="S31" s="508" t="s"/>
      <c r="T31" s="508" t="s"/>
      <c r="U31" s="508" t="s"/>
      <c r="V31" s="508" t="s"/>
      <c r="W31" s="508" t="s"/>
      <c r="X31" s="508" t="s"/>
      <c r="Y31" s="508" t="s"/>
    </row>
    <row r="32" spans="1:25" ht="27.75" customHeight="true">
      <c r="A32" s="770" t="s"/>
      <c r="B32" s="770" t="s"/>
      <c r="C32" s="770" t="s"/>
      <c r="D32" s="792" t="s"/>
      <c r="E32" s="797" t="s">
        <v>156</v>
      </c>
      <c r="F32" s="792">
        <v>2</v>
      </c>
      <c r="G32" s="792" t="s">
        <v>30</v>
      </c>
      <c r="H32" s="1326" t="s">
        <v>343</v>
      </c>
      <c r="I32" s="1323">
        <v>2</v>
      </c>
      <c r="J32" s="1323">
        <v>2</v>
      </c>
      <c r="K32" s="1323">
        <v>0</v>
      </c>
      <c r="L32" s="729" t="s"/>
      <c r="M32" s="508" t="s"/>
      <c r="N32" s="508" t="s"/>
      <c r="O32" s="508" t="s"/>
      <c r="P32" s="508" t="s"/>
      <c r="Q32" s="508" t="s"/>
      <c r="R32" s="508" t="s"/>
      <c r="S32" s="508" t="s"/>
      <c r="T32" s="508" t="s"/>
      <c r="U32" s="508" t="s"/>
      <c r="V32" s="508" t="s"/>
      <c r="W32" s="508" t="s"/>
      <c r="X32" s="508" t="s"/>
      <c r="Y32" s="508" t="s"/>
    </row>
    <row r="33" spans="1:25" ht="27.75" customHeight="true">
      <c r="A33" s="776" t="s"/>
      <c r="B33" s="776" t="s"/>
      <c r="C33" s="776" t="s"/>
      <c r="D33" s="792" t="s"/>
      <c r="E33" s="797" t="s">
        <v>230</v>
      </c>
      <c r="F33" s="792">
        <v>1</v>
      </c>
      <c r="G33" s="792" t="s">
        <v>30</v>
      </c>
      <c r="H33" s="1326" t="s">
        <v>343</v>
      </c>
      <c r="I33" s="1323">
        <v>1</v>
      </c>
      <c r="J33" s="1323">
        <v>1</v>
      </c>
      <c r="K33" s="1323">
        <v>0</v>
      </c>
      <c r="L33" s="730" t="s"/>
      <c r="M33" s="508" t="s"/>
      <c r="N33" s="508" t="s"/>
      <c r="O33" s="508" t="s"/>
      <c r="P33" s="508" t="s"/>
      <c r="Q33" s="508" t="s"/>
      <c r="R33" s="508" t="s"/>
      <c r="S33" s="508" t="s"/>
      <c r="T33" s="508" t="s"/>
      <c r="U33" s="508" t="s"/>
      <c r="V33" s="508" t="s"/>
      <c r="W33" s="508" t="s"/>
      <c r="X33" s="508" t="s"/>
      <c r="Y33" s="508" t="s"/>
    </row>
    <row r="34" spans="1:25">
      <c r="A34" s="808" t="s">
        <v>71</v>
      </c>
      <c r="B34" s="809">
        <v>21</v>
      </c>
      <c r="C34" s="809">
        <v>21</v>
      </c>
      <c r="D34" s="817" t="s">
        <v>20</v>
      </c>
      <c r="E34" s="818" t="s">
        <v>102</v>
      </c>
      <c r="F34" s="819">
        <v>1</v>
      </c>
      <c r="G34" s="819" t="s">
        <v>30</v>
      </c>
      <c r="H34" s="820" t="s">
        <v>163</v>
      </c>
      <c r="I34" s="1327">
        <v>0</v>
      </c>
      <c r="J34" s="1327">
        <v>0</v>
      </c>
      <c r="K34" s="1327">
        <v>0</v>
      </c>
      <c r="L34" s="1328">
        <v>20</v>
      </c>
      <c r="M34" s="508" t="s"/>
      <c r="N34" s="508" t="s"/>
      <c r="O34" s="508" t="s"/>
      <c r="P34" s="508" t="s"/>
      <c r="Q34" s="508" t="s"/>
      <c r="R34" s="508" t="s"/>
      <c r="S34" s="508" t="s"/>
      <c r="T34" s="508" t="s"/>
      <c r="U34" s="508" t="s"/>
      <c r="V34" s="508" t="s"/>
      <c r="W34" s="508" t="s"/>
      <c r="X34" s="508" t="s"/>
      <c r="Y34" s="508" t="s"/>
    </row>
    <row r="35" spans="1:25" ht="27.75" customHeight="true">
      <c r="A35" s="770" t="s"/>
      <c r="B35" s="770" t="s"/>
      <c r="C35" s="770" t="s"/>
      <c r="D35" s="817" t="s">
        <v>20</v>
      </c>
      <c r="E35" s="818" t="s">
        <v>164</v>
      </c>
      <c r="F35" s="819">
        <v>1</v>
      </c>
      <c r="G35" s="819" t="s">
        <v>30</v>
      </c>
      <c r="H35" s="820" t="s">
        <v>165</v>
      </c>
      <c r="I35" s="1327">
        <v>0</v>
      </c>
      <c r="J35" s="1327">
        <v>0</v>
      </c>
      <c r="K35" s="1327">
        <v>0</v>
      </c>
      <c r="L35" s="729" t="s"/>
      <c r="M35" s="508" t="s"/>
      <c r="N35" s="508" t="s"/>
      <c r="O35" s="508" t="s"/>
      <c r="P35" s="508" t="s"/>
      <c r="Q35" s="508" t="s"/>
      <c r="R35" s="508" t="s"/>
      <c r="S35" s="508" t="s"/>
      <c r="T35" s="508" t="s"/>
      <c r="U35" s="508" t="s"/>
      <c r="V35" s="508" t="s"/>
      <c r="W35" s="508" t="s"/>
      <c r="X35" s="508" t="s"/>
      <c r="Y35" s="508" t="s"/>
    </row>
    <row r="36" spans="1:25">
      <c r="A36" s="770" t="s"/>
      <c r="B36" s="770" t="s"/>
      <c r="C36" s="770" t="s"/>
      <c r="D36" s="817" t="s">
        <v>44</v>
      </c>
      <c r="E36" s="818" t="s">
        <v>166</v>
      </c>
      <c r="F36" s="819">
        <v>1</v>
      </c>
      <c r="G36" s="819" t="s">
        <v>30</v>
      </c>
      <c r="H36" s="820" t="s">
        <v>167</v>
      </c>
      <c r="I36" s="1327" t="s"/>
      <c r="J36" s="1327" t="s"/>
      <c r="K36" s="1327">
        <v>0</v>
      </c>
      <c r="L36" s="729" t="s"/>
      <c r="M36" s="508" t="s"/>
      <c r="N36" s="508" t="s"/>
      <c r="O36" s="508" t="s"/>
      <c r="P36" s="508" t="s"/>
      <c r="Q36" s="508" t="s"/>
      <c r="R36" s="508" t="s"/>
      <c r="S36" s="508" t="s"/>
      <c r="T36" s="508" t="s"/>
      <c r="U36" s="508" t="s"/>
      <c r="V36" s="508" t="s"/>
      <c r="W36" s="508" t="s"/>
      <c r="X36" s="508" t="s"/>
      <c r="Y36" s="508" t="s"/>
    </row>
    <row r="37" spans="1:25">
      <c r="A37" s="770" t="s"/>
      <c r="B37" s="770" t="s"/>
      <c r="C37" s="770" t="s"/>
      <c r="D37" s="817" t="s">
        <v>20</v>
      </c>
      <c r="E37" s="818" t="s">
        <v>344</v>
      </c>
      <c r="F37" s="819">
        <v>1</v>
      </c>
      <c r="G37" s="819" t="s">
        <v>30</v>
      </c>
      <c r="H37" s="820" t="s">
        <v>168</v>
      </c>
      <c r="I37" s="1327">
        <v>0</v>
      </c>
      <c r="J37" s="1327">
        <v>0</v>
      </c>
      <c r="K37" s="1327">
        <v>0</v>
      </c>
      <c r="L37" s="729" t="s"/>
      <c r="M37" s="508" t="s"/>
      <c r="N37" s="508" t="s"/>
      <c r="O37" s="508" t="s"/>
      <c r="P37" s="508" t="s"/>
      <c r="Q37" s="508" t="s"/>
      <c r="R37" s="508" t="s"/>
      <c r="S37" s="508" t="s"/>
      <c r="T37" s="508" t="s"/>
      <c r="U37" s="508" t="s"/>
      <c r="V37" s="508" t="s"/>
      <c r="W37" s="508" t="s"/>
      <c r="X37" s="508" t="s"/>
      <c r="Y37" s="508" t="s"/>
    </row>
    <row r="38" spans="1:25" ht="25.5" customHeight="true">
      <c r="A38" s="770" t="s"/>
      <c r="B38" s="770" t="s"/>
      <c r="C38" s="770" t="s"/>
      <c r="D38" s="817" t="s">
        <v>47</v>
      </c>
      <c r="E38" s="818" t="s">
        <v>170</v>
      </c>
      <c r="F38" s="819">
        <v>1</v>
      </c>
      <c r="G38" s="819" t="s">
        <v>30</v>
      </c>
      <c r="H38" s="820" t="s">
        <v>171</v>
      </c>
      <c r="I38" s="1329">
        <v>0</v>
      </c>
      <c r="J38" s="1329">
        <v>0</v>
      </c>
      <c r="K38" s="1329">
        <v>1</v>
      </c>
      <c r="L38" s="729" t="s"/>
      <c r="M38" s="508" t="s"/>
      <c r="N38" s="508" t="s"/>
      <c r="O38" s="508" t="s"/>
      <c r="P38" s="508" t="s"/>
      <c r="Q38" s="508" t="s"/>
      <c r="R38" s="508" t="s"/>
      <c r="S38" s="508" t="s"/>
      <c r="T38" s="508" t="s"/>
      <c r="U38" s="508" t="s"/>
      <c r="V38" s="508" t="s"/>
      <c r="W38" s="508" t="s"/>
      <c r="X38" s="508" t="s"/>
      <c r="Y38" s="508" t="s"/>
    </row>
    <row r="39" spans="1:25" ht="25.5" customHeight="true">
      <c r="A39" s="770" t="s"/>
      <c r="B39" s="770" t="s"/>
      <c r="C39" s="770" t="s"/>
      <c r="D39" s="817" t="s">
        <v>20</v>
      </c>
      <c r="E39" s="818" t="s">
        <v>105</v>
      </c>
      <c r="F39" s="819">
        <v>2</v>
      </c>
      <c r="G39" s="819" t="s">
        <v>30</v>
      </c>
      <c r="H39" s="820" t="s">
        <v>345</v>
      </c>
      <c r="I39" s="1329" t="s"/>
      <c r="J39" s="1329" t="s"/>
      <c r="K39" s="1329" t="s"/>
      <c r="L39" s="729" t="s"/>
      <c r="M39" s="508" t="s"/>
      <c r="N39" s="508" t="s"/>
      <c r="O39" s="508" t="s"/>
      <c r="P39" s="508" t="s"/>
      <c r="Q39" s="508" t="s"/>
      <c r="R39" s="508" t="s"/>
      <c r="S39" s="508" t="s"/>
      <c r="T39" s="508" t="s"/>
      <c r="U39" s="508" t="s"/>
      <c r="V39" s="508" t="s"/>
      <c r="W39" s="508" t="s"/>
      <c r="X39" s="508" t="s"/>
      <c r="Y39" s="508" t="s"/>
    </row>
    <row r="40" spans="1:25" ht="25.5" customHeight="true">
      <c r="A40" s="824" t="s"/>
      <c r="B40" s="824" t="s"/>
      <c r="C40" s="824" t="s"/>
      <c r="D40" s="817" t="s">
        <v>20</v>
      </c>
      <c r="E40" s="818" t="s">
        <v>106</v>
      </c>
      <c r="F40" s="819">
        <v>1</v>
      </c>
      <c r="G40" s="819" t="s">
        <v>30</v>
      </c>
      <c r="H40" s="820" t="s"/>
      <c r="I40" s="1329" t="s"/>
      <c r="J40" s="1329" t="s"/>
      <c r="K40" s="1329" t="s"/>
      <c r="L40" s="730" t="s"/>
      <c r="M40" s="508" t="s"/>
      <c r="N40" s="508" t="s"/>
      <c r="O40" s="508" t="s"/>
      <c r="P40" s="508" t="s"/>
      <c r="Q40" s="508" t="s"/>
      <c r="R40" s="508" t="s"/>
      <c r="S40" s="508" t="s"/>
      <c r="T40" s="508" t="s"/>
      <c r="U40" s="508" t="s"/>
      <c r="V40" s="508" t="s"/>
      <c r="W40" s="508" t="s"/>
      <c r="X40" s="508" t="s"/>
      <c r="Y40" s="508" t="s"/>
    </row>
    <row r="41" spans="1:25">
      <c r="A41" s="825" t="s">
        <v>172</v>
      </c>
      <c r="B41" s="826">
        <v>7</v>
      </c>
      <c r="C41" s="826">
        <v>7</v>
      </c>
      <c r="D41" s="825" t="s"/>
      <c r="E41" s="826" t="s"/>
      <c r="F41" s="827" t="s"/>
      <c r="G41" s="827" t="s"/>
      <c r="H41" s="828" t="s"/>
      <c r="I41" s="1330" t="s"/>
      <c r="J41" s="1330" t="s"/>
      <c r="K41" s="1330" t="s"/>
      <c r="L41" s="1331">
        <v>7</v>
      </c>
      <c r="M41" s="508" t="s"/>
      <c r="N41" s="508" t="s"/>
      <c r="O41" s="508" t="s"/>
      <c r="P41" s="508" t="s"/>
      <c r="Q41" s="508" t="s"/>
      <c r="R41" s="508" t="s"/>
      <c r="S41" s="508" t="s"/>
      <c r="T41" s="508" t="s"/>
      <c r="U41" s="508" t="s"/>
      <c r="V41" s="508" t="s"/>
      <c r="W41" s="508" t="s"/>
      <c r="X41" s="508" t="s"/>
      <c r="Y41" s="508" t="s"/>
    </row>
    <row r="42" spans="1:25">
      <c r="A42" s="1332" t="s"/>
      <c r="B42" s="1333" t="s"/>
      <c r="C42" s="1333">
        <f>=SUM(C4:C41)</f>
        <v>320</v>
      </c>
      <c r="D42" s="1332" t="s"/>
      <c r="E42" s="1333" t="s"/>
      <c r="F42" s="1334">
        <f>=SUM(F4:F38)</f>
        <v>56</v>
      </c>
      <c r="G42" s="1334" t="s"/>
      <c r="H42" s="1335" t="s"/>
      <c r="I42" s="1336" t="s"/>
      <c r="J42" s="1336" t="s"/>
      <c r="K42" s="1336" t="s"/>
      <c r="L42" s="1337">
        <f>=SUM(L4:L41)</f>
        <v>317</v>
      </c>
      <c r="M42" s="508" t="s"/>
      <c r="N42" s="508" t="s"/>
      <c r="O42" s="508" t="s"/>
      <c r="P42" s="508" t="s"/>
      <c r="Q42" s="508" t="s"/>
      <c r="R42" s="508" t="s"/>
      <c r="S42" s="508" t="s"/>
      <c r="T42" s="508" t="s"/>
      <c r="U42" s="508" t="s"/>
      <c r="V42" s="508" t="s"/>
      <c r="W42" s="508" t="s"/>
      <c r="X42" s="508" t="s"/>
      <c r="Y42" s="508" t="s"/>
    </row>
    <row r="43" spans="1:25" ht="42.75" customHeight="true">
      <c r="A43" s="1338" t="s"/>
      <c r="B43" s="1339" t="s"/>
      <c r="C43" s="1339" t="s"/>
      <c r="D43" s="1339" t="s"/>
      <c r="E43" s="1339" t="s"/>
      <c r="F43" s="1338" t="s"/>
      <c r="G43" s="1338" t="s"/>
      <c r="H43" s="1339" t="s"/>
      <c r="I43" s="1340">
        <f>=SUM(I4:I38)</f>
        <v>35</v>
      </c>
      <c r="J43" s="1340">
        <f>=SUM(J4:J38)</f>
        <v>39</v>
      </c>
      <c r="K43" s="1340">
        <f>=SUM(K4:K38)</f>
        <v>35</v>
      </c>
      <c r="L43" s="1340" t="s"/>
      <c r="M43" s="508" t="s"/>
      <c r="N43" s="508" t="s"/>
      <c r="O43" s="508" t="s"/>
      <c r="P43" s="508" t="s"/>
      <c r="Q43" s="508" t="s"/>
      <c r="R43" s="508" t="s"/>
      <c r="S43" s="508" t="s"/>
      <c r="T43" s="508" t="s"/>
      <c r="U43" s="508" t="s"/>
      <c r="V43" s="508" t="s"/>
      <c r="W43" s="508" t="s"/>
      <c r="X43" s="508" t="s"/>
      <c r="Y43" s="508" t="s"/>
    </row>
    <row r="44" spans="1:25">
      <c r="A44" s="680" t="s"/>
      <c r="B44" s="837" t="s"/>
      <c r="C44" s="837" t="s"/>
      <c r="D44" s="838" t="s"/>
      <c r="E44" s="837" t="s"/>
      <c r="F44" s="839" t="s"/>
      <c r="G44" s="839" t="s"/>
      <c r="H44" s="840" t="s"/>
      <c r="I44" s="1341" t="s"/>
      <c r="J44" s="1341" t="s"/>
      <c r="K44" s="1341" t="s"/>
      <c r="L44" s="1341" t="s"/>
      <c r="M44" s="508" t="s"/>
      <c r="N44" s="508" t="s"/>
      <c r="O44" s="508" t="s"/>
      <c r="P44" s="508" t="s"/>
      <c r="Q44" s="508" t="s"/>
      <c r="R44" s="508" t="s"/>
      <c r="S44" s="508" t="s"/>
      <c r="T44" s="508" t="s"/>
      <c r="U44" s="508" t="s"/>
      <c r="V44" s="508" t="s"/>
      <c r="W44" s="508" t="s"/>
      <c r="X44" s="508" t="s"/>
      <c r="Y44" s="508" t="s"/>
    </row>
    <row r="45" spans="1:25">
      <c r="A45" s="680" t="s"/>
      <c r="B45" s="841" t="s"/>
      <c r="C45" s="841" t="s"/>
      <c r="D45" s="838" t="s"/>
      <c r="E45" s="837" t="s"/>
      <c r="F45" s="839" t="s"/>
      <c r="G45" s="839" t="s"/>
      <c r="H45" s="840" t="s"/>
      <c r="I45" s="1341" t="s"/>
      <c r="J45" s="1341" t="s"/>
      <c r="K45" s="1341" t="s"/>
      <c r="L45" s="1341" t="s"/>
      <c r="M45" s="508" t="s"/>
      <c r="N45" s="508" t="s"/>
      <c r="O45" s="508" t="s"/>
      <c r="P45" s="508" t="s"/>
      <c r="Q45" s="508" t="s"/>
      <c r="R45" s="508" t="s"/>
      <c r="S45" s="508" t="s"/>
      <c r="T45" s="508" t="s"/>
      <c r="U45" s="508" t="s"/>
      <c r="V45" s="508" t="s"/>
      <c r="W45" s="508" t="s"/>
      <c r="X45" s="508" t="s"/>
      <c r="Y45" s="508" t="s"/>
    </row>
    <row r="46" spans="1:25">
      <c r="A46" s="680" t="s"/>
      <c r="B46" s="841" t="s"/>
      <c r="C46" s="841" t="s"/>
      <c r="D46" s="842" t="s"/>
      <c r="E46" s="841" t="s"/>
      <c r="F46" s="843" t="s"/>
      <c r="G46" s="843" t="s"/>
      <c r="H46" s="844" t="s"/>
      <c r="I46" s="1341" t="s"/>
      <c r="J46" s="1341" t="s"/>
      <c r="K46" s="1341" t="s"/>
      <c r="L46" s="1341" t="s"/>
      <c r="M46" s="508" t="s"/>
      <c r="N46" s="508" t="s"/>
      <c r="O46" s="508" t="s"/>
      <c r="P46" s="508" t="s"/>
      <c r="Q46" s="508" t="s"/>
      <c r="R46" s="508" t="s"/>
      <c r="S46" s="508" t="s"/>
      <c r="T46" s="508" t="s"/>
      <c r="U46" s="508" t="s"/>
      <c r="V46" s="508" t="s"/>
      <c r="W46" s="508" t="s"/>
      <c r="X46" s="508" t="s"/>
      <c r="Y46" s="508" t="s"/>
    </row>
    <row r="47" spans="1:25">
      <c r="A47" s="680" t="s"/>
      <c r="B47" s="837" t="s"/>
      <c r="C47" s="837" t="s"/>
      <c r="D47" s="838" t="s"/>
      <c r="E47" s="837" t="s"/>
      <c r="F47" s="839" t="s"/>
      <c r="G47" s="839" t="s"/>
      <c r="H47" s="840" t="s"/>
      <c r="I47" s="1341" t="s"/>
      <c r="J47" s="1341" t="s"/>
      <c r="K47" s="1341" t="s"/>
      <c r="L47" s="1341" t="s"/>
      <c r="M47" s="508" t="s"/>
      <c r="N47" s="508" t="s"/>
      <c r="O47" s="508" t="s"/>
      <c r="P47" s="508" t="s"/>
      <c r="Q47" s="508" t="s"/>
      <c r="R47" s="508" t="s"/>
      <c r="S47" s="508" t="s"/>
      <c r="T47" s="508" t="s"/>
      <c r="U47" s="508" t="s"/>
      <c r="V47" s="508" t="s"/>
      <c r="W47" s="508" t="s"/>
      <c r="X47" s="508" t="s"/>
      <c r="Y47" s="508" t="s"/>
    </row>
    <row r="48" spans="1:25">
      <c r="A48" s="680" t="s"/>
      <c r="B48" s="837" t="s"/>
      <c r="C48" s="837" t="s"/>
      <c r="D48" s="838" t="s"/>
      <c r="E48" s="837" t="s"/>
      <c r="F48" s="839" t="s"/>
      <c r="G48" s="839" t="s"/>
      <c r="H48" s="840" t="s"/>
      <c r="I48" s="1341" t="s"/>
      <c r="J48" s="1341" t="s"/>
      <c r="K48" s="1341" t="s"/>
      <c r="L48" s="1341" t="s"/>
      <c r="M48" s="508" t="s"/>
      <c r="N48" s="508" t="s"/>
      <c r="O48" s="508" t="s"/>
      <c r="P48" s="508" t="s"/>
      <c r="Q48" s="508" t="s"/>
      <c r="R48" s="508" t="s"/>
      <c r="S48" s="508" t="s"/>
      <c r="T48" s="508" t="s"/>
      <c r="U48" s="508" t="s"/>
      <c r="V48" s="508" t="s"/>
      <c r="W48" s="508" t="s"/>
      <c r="X48" s="508" t="s"/>
      <c r="Y48" s="508" t="s"/>
    </row>
    <row r="49" spans="1:25">
      <c r="A49" s="680" t="s"/>
      <c r="B49" s="837" t="s"/>
      <c r="C49" s="837" t="s"/>
      <c r="D49" s="838" t="s"/>
      <c r="E49" s="837" t="s"/>
      <c r="F49" s="839" t="s"/>
      <c r="G49" s="839" t="s"/>
      <c r="H49" s="840" t="s"/>
      <c r="I49" s="1341" t="s"/>
      <c r="J49" s="1341" t="s"/>
      <c r="K49" s="1341" t="s"/>
      <c r="L49" s="1341" t="s"/>
      <c r="M49" s="508" t="s"/>
      <c r="N49" s="508" t="s"/>
      <c r="O49" s="508" t="s"/>
      <c r="P49" s="508" t="s"/>
      <c r="Q49" s="508" t="s"/>
      <c r="R49" s="508" t="s"/>
      <c r="S49" s="508" t="s"/>
      <c r="T49" s="508" t="s"/>
      <c r="U49" s="508" t="s"/>
      <c r="V49" s="508" t="s"/>
      <c r="W49" s="508" t="s"/>
      <c r="X49" s="508" t="s"/>
      <c r="Y49" s="508" t="s"/>
    </row>
    <row r="50" spans="1:25">
      <c r="A50" s="680" t="s"/>
      <c r="B50" s="837" t="s"/>
      <c r="C50" s="837" t="s"/>
      <c r="D50" s="838" t="s"/>
      <c r="E50" s="837" t="s"/>
      <c r="F50" s="839" t="s"/>
      <c r="G50" s="839" t="s"/>
      <c r="H50" s="840" t="s"/>
      <c r="I50" s="1341" t="s"/>
      <c r="J50" s="1341" t="s"/>
      <c r="K50" s="1341" t="s"/>
      <c r="L50" s="1341" t="s"/>
      <c r="M50" s="508" t="s"/>
      <c r="N50" s="508" t="s"/>
      <c r="O50" s="508" t="s"/>
      <c r="P50" s="508" t="s"/>
      <c r="Q50" s="508" t="s"/>
      <c r="R50" s="508" t="s"/>
      <c r="S50" s="508" t="s"/>
      <c r="T50" s="508" t="s"/>
      <c r="U50" s="508" t="s"/>
      <c r="V50" s="508" t="s"/>
      <c r="W50" s="508" t="s"/>
      <c r="X50" s="508" t="s"/>
      <c r="Y50" s="508" t="s"/>
    </row>
    <row r="51" spans="1:25">
      <c r="A51" s="680" t="s"/>
      <c r="B51" s="837" t="s"/>
      <c r="C51" s="837" t="s"/>
      <c r="D51" s="838" t="s"/>
      <c r="E51" s="837" t="s"/>
      <c r="F51" s="839" t="s"/>
      <c r="G51" s="839" t="s"/>
      <c r="H51" s="840" t="s"/>
      <c r="I51" s="1341" t="s"/>
      <c r="J51" s="1341" t="s"/>
      <c r="K51" s="1341" t="s"/>
      <c r="L51" s="1341" t="s"/>
      <c r="M51" s="508" t="s"/>
      <c r="N51" s="508" t="s"/>
      <c r="O51" s="508" t="s"/>
      <c r="P51" s="508" t="s"/>
      <c r="Q51" s="508" t="s"/>
      <c r="R51" s="508" t="s"/>
      <c r="S51" s="508" t="s"/>
      <c r="T51" s="508" t="s"/>
      <c r="U51" s="508" t="s"/>
      <c r="V51" s="508" t="s"/>
      <c r="W51" s="508" t="s"/>
      <c r="X51" s="508" t="s"/>
      <c r="Y51" s="508" t="s"/>
    </row>
    <row r="52" spans="1:25">
      <c r="A52" s="680" t="s"/>
      <c r="B52" s="837" t="s"/>
      <c r="C52" s="837" t="s"/>
      <c r="D52" s="838" t="s"/>
      <c r="E52" s="837" t="s"/>
      <c r="F52" s="839" t="s"/>
      <c r="G52" s="839" t="s"/>
      <c r="H52" s="840" t="s"/>
      <c r="I52" s="1341" t="s"/>
      <c r="J52" s="1341" t="s"/>
      <c r="K52" s="1341" t="s"/>
      <c r="L52" s="1341" t="s"/>
      <c r="M52" s="508" t="s"/>
      <c r="N52" s="508" t="s"/>
      <c r="O52" s="508" t="s"/>
      <c r="P52" s="508" t="s"/>
      <c r="Q52" s="508" t="s"/>
      <c r="R52" s="508" t="s"/>
      <c r="S52" s="508" t="s"/>
      <c r="T52" s="508" t="s"/>
      <c r="U52" s="508" t="s"/>
      <c r="V52" s="508" t="s"/>
      <c r="W52" s="508" t="s"/>
      <c r="X52" s="508" t="s"/>
      <c r="Y52" s="508" t="s"/>
    </row>
    <row r="53" spans="1:25">
      <c r="A53" s="680" t="s"/>
      <c r="B53" s="837" t="s"/>
      <c r="C53" s="837" t="s"/>
      <c r="D53" s="838" t="s"/>
      <c r="E53" s="837" t="s"/>
      <c r="F53" s="839" t="s"/>
      <c r="G53" s="839" t="s"/>
      <c r="H53" s="840" t="s"/>
      <c r="I53" s="1341" t="s"/>
      <c r="J53" s="1341" t="s"/>
      <c r="K53" s="1341" t="s"/>
      <c r="L53" s="1341" t="s"/>
      <c r="M53" s="508" t="s"/>
      <c r="N53" s="508" t="s"/>
      <c r="O53" s="508" t="s"/>
      <c r="P53" s="508" t="s"/>
      <c r="Q53" s="508" t="s"/>
      <c r="R53" s="508" t="s"/>
      <c r="S53" s="508" t="s"/>
      <c r="T53" s="508" t="s"/>
      <c r="U53" s="508" t="s"/>
      <c r="V53" s="508" t="s"/>
      <c r="W53" s="508" t="s"/>
      <c r="X53" s="508" t="s"/>
      <c r="Y53" s="508" t="s"/>
    </row>
    <row r="54" spans="1:25">
      <c r="A54" s="680" t="s"/>
      <c r="B54" s="837" t="s"/>
      <c r="C54" s="837" t="s"/>
      <c r="D54" s="838" t="s"/>
      <c r="E54" s="837" t="s"/>
      <c r="F54" s="839" t="s"/>
      <c r="G54" s="839" t="s"/>
      <c r="H54" s="840" t="s"/>
      <c r="I54" s="1341" t="s"/>
      <c r="J54" s="1341" t="s"/>
      <c r="K54" s="1341" t="s"/>
      <c r="L54" s="1341" t="s"/>
      <c r="M54" s="508" t="s"/>
      <c r="N54" s="508" t="s"/>
      <c r="O54" s="508" t="s"/>
      <c r="P54" s="508" t="s"/>
      <c r="Q54" s="508" t="s"/>
      <c r="R54" s="508" t="s"/>
      <c r="S54" s="508" t="s"/>
      <c r="T54" s="508" t="s"/>
      <c r="U54" s="508" t="s"/>
      <c r="V54" s="508" t="s"/>
      <c r="W54" s="508" t="s"/>
      <c r="X54" s="508" t="s"/>
      <c r="Y54" s="508" t="s"/>
    </row>
    <row r="55" spans="1:25">
      <c r="A55" s="680" t="s"/>
      <c r="B55" s="837" t="s"/>
      <c r="C55" s="837" t="s"/>
      <c r="D55" s="838" t="s"/>
      <c r="E55" s="837" t="s"/>
      <c r="F55" s="839" t="s"/>
      <c r="G55" s="839" t="s"/>
      <c r="H55" s="840" t="s"/>
      <c r="I55" s="1341" t="s"/>
      <c r="J55" s="1341" t="s"/>
      <c r="K55" s="1341" t="s"/>
      <c r="L55" s="1341" t="s"/>
      <c r="M55" s="508" t="s"/>
      <c r="N55" s="508" t="s"/>
      <c r="O55" s="508" t="s"/>
      <c r="P55" s="508" t="s"/>
      <c r="Q55" s="508" t="s"/>
      <c r="R55" s="508" t="s"/>
      <c r="S55" s="508" t="s"/>
      <c r="T55" s="508" t="s"/>
      <c r="U55" s="508" t="s"/>
      <c r="V55" s="508" t="s"/>
      <c r="W55" s="508" t="s"/>
      <c r="X55" s="508" t="s"/>
      <c r="Y55" s="508" t="s"/>
    </row>
    <row r="56" spans="1:25">
      <c r="A56" s="680" t="s"/>
      <c r="B56" s="837" t="s"/>
      <c r="C56" s="837" t="s"/>
      <c r="D56" s="838" t="s"/>
      <c r="E56" s="837" t="s"/>
      <c r="F56" s="839" t="s"/>
      <c r="G56" s="839" t="s"/>
      <c r="H56" s="840" t="s"/>
      <c r="I56" s="1341" t="s"/>
      <c r="J56" s="1341" t="s"/>
      <c r="K56" s="1341" t="s"/>
      <c r="L56" s="1341" t="s"/>
      <c r="M56" s="508" t="s"/>
      <c r="N56" s="508" t="s"/>
      <c r="O56" s="508" t="s"/>
      <c r="P56" s="508" t="s"/>
      <c r="Q56" s="508" t="s"/>
      <c r="R56" s="508" t="s"/>
      <c r="S56" s="508" t="s"/>
      <c r="T56" s="508" t="s"/>
      <c r="U56" s="508" t="s"/>
      <c r="V56" s="508" t="s"/>
      <c r="W56" s="508" t="s"/>
      <c r="X56" s="508" t="s"/>
      <c r="Y56" s="508" t="s"/>
    </row>
    <row r="57" spans="1:25">
      <c r="A57" s="680" t="s"/>
      <c r="B57" s="837" t="s"/>
      <c r="C57" s="837" t="s"/>
      <c r="D57" s="838" t="s"/>
      <c r="E57" s="837" t="s"/>
      <c r="F57" s="839" t="s"/>
      <c r="G57" s="839" t="s"/>
      <c r="H57" s="840" t="s"/>
      <c r="I57" s="1341" t="s"/>
      <c r="J57" s="1341" t="s"/>
      <c r="K57" s="1341" t="s"/>
      <c r="L57" s="1341" t="s"/>
      <c r="M57" s="508" t="s"/>
      <c r="N57" s="508" t="s"/>
      <c r="O57" s="508" t="s"/>
      <c r="P57" s="508" t="s"/>
      <c r="Q57" s="508" t="s"/>
      <c r="R57" s="508" t="s"/>
      <c r="S57" s="508" t="s"/>
      <c r="T57" s="508" t="s"/>
      <c r="U57" s="508" t="s"/>
      <c r="V57" s="508" t="s"/>
      <c r="W57" s="508" t="s"/>
      <c r="X57" s="508" t="s"/>
      <c r="Y57" s="508" t="s"/>
    </row>
    <row r="58" spans="1:25">
      <c r="A58" s="680" t="s"/>
      <c r="B58" s="837" t="s"/>
      <c r="C58" s="837" t="s"/>
      <c r="D58" s="838" t="s"/>
      <c r="E58" s="837" t="s"/>
      <c r="F58" s="839" t="s"/>
      <c r="G58" s="839" t="s"/>
      <c r="H58" s="840" t="s"/>
      <c r="I58" s="1341" t="s"/>
      <c r="J58" s="1341" t="s"/>
      <c r="K58" s="1341" t="s"/>
      <c r="L58" s="1341" t="s"/>
      <c r="M58" s="508" t="s"/>
      <c r="N58" s="508" t="s"/>
      <c r="O58" s="508" t="s"/>
      <c r="P58" s="508" t="s"/>
      <c r="Q58" s="508" t="s"/>
      <c r="R58" s="508" t="s"/>
      <c r="S58" s="508" t="s"/>
      <c r="T58" s="508" t="s"/>
      <c r="U58" s="508" t="s"/>
      <c r="V58" s="508" t="s"/>
      <c r="W58" s="508" t="s"/>
      <c r="X58" s="508" t="s"/>
      <c r="Y58" s="508" t="s"/>
    </row>
    <row r="59" spans="1:25">
      <c r="A59" s="680" t="s"/>
      <c r="B59" s="837" t="s"/>
      <c r="C59" s="837" t="s"/>
      <c r="D59" s="838" t="s"/>
      <c r="E59" s="837" t="s"/>
      <c r="F59" s="839" t="s"/>
      <c r="G59" s="839" t="s"/>
      <c r="H59" s="840" t="s"/>
      <c r="I59" s="1341" t="s"/>
      <c r="J59" s="1341" t="s"/>
      <c r="K59" s="1341" t="s"/>
      <c r="L59" s="1341" t="s"/>
      <c r="M59" s="508" t="s"/>
      <c r="N59" s="508" t="s"/>
      <c r="O59" s="508" t="s"/>
      <c r="P59" s="508" t="s"/>
      <c r="Q59" s="508" t="s"/>
      <c r="R59" s="508" t="s"/>
      <c r="S59" s="508" t="s"/>
      <c r="T59" s="508" t="s"/>
      <c r="U59" s="508" t="s"/>
      <c r="V59" s="508" t="s"/>
      <c r="W59" s="508" t="s"/>
      <c r="X59" s="508" t="s"/>
      <c r="Y59" s="508" t="s"/>
    </row>
    <row r="60" spans="1:25">
      <c r="A60" s="680" t="s"/>
      <c r="B60" s="837" t="s"/>
      <c r="C60" s="837" t="s"/>
      <c r="D60" s="838" t="s"/>
      <c r="E60" s="837" t="s"/>
      <c r="F60" s="839" t="s"/>
      <c r="G60" s="839" t="s"/>
      <c r="H60" s="840" t="s"/>
      <c r="I60" s="1341" t="s"/>
      <c r="J60" s="1341" t="s"/>
      <c r="K60" s="1341" t="s"/>
      <c r="L60" s="1341" t="s"/>
      <c r="M60" s="508" t="s"/>
      <c r="N60" s="508" t="s"/>
      <c r="O60" s="508" t="s"/>
      <c r="P60" s="508" t="s"/>
      <c r="Q60" s="508" t="s"/>
      <c r="R60" s="508" t="s"/>
      <c r="S60" s="508" t="s"/>
      <c r="T60" s="508" t="s"/>
      <c r="U60" s="508" t="s"/>
      <c r="V60" s="508" t="s"/>
      <c r="W60" s="508" t="s"/>
      <c r="X60" s="508" t="s"/>
      <c r="Y60" s="508" t="s"/>
    </row>
    <row r="61" spans="1:25">
      <c r="A61" s="680" t="s"/>
      <c r="B61" s="837" t="s"/>
      <c r="C61" s="837" t="s"/>
      <c r="D61" s="838" t="s"/>
      <c r="E61" s="837" t="s"/>
      <c r="F61" s="839" t="s"/>
      <c r="G61" s="839" t="s"/>
      <c r="H61" s="840" t="s"/>
      <c r="I61" s="1341" t="s"/>
      <c r="J61" s="1341" t="s"/>
      <c r="K61" s="1341" t="s"/>
      <c r="L61" s="1341" t="s"/>
      <c r="M61" s="508" t="s"/>
      <c r="N61" s="508" t="s"/>
      <c r="O61" s="508" t="s"/>
      <c r="P61" s="508" t="s"/>
      <c r="Q61" s="508" t="s"/>
      <c r="R61" s="508" t="s"/>
      <c r="S61" s="508" t="s"/>
      <c r="T61" s="508" t="s"/>
      <c r="U61" s="508" t="s"/>
      <c r="V61" s="508" t="s"/>
      <c r="W61" s="508" t="s"/>
      <c r="X61" s="508" t="s"/>
      <c r="Y61" s="508" t="s"/>
    </row>
    <row r="62" spans="1:25">
      <c r="A62" s="680" t="s"/>
      <c r="B62" s="837" t="s"/>
      <c r="C62" s="837" t="s"/>
      <c r="D62" s="838" t="s"/>
      <c r="E62" s="837" t="s"/>
      <c r="F62" s="839" t="s"/>
      <c r="G62" s="839" t="s"/>
      <c r="H62" s="840" t="s"/>
      <c r="I62" s="1341" t="s"/>
      <c r="J62" s="1341" t="s"/>
      <c r="K62" s="1341" t="s"/>
      <c r="L62" s="1341" t="s"/>
      <c r="M62" s="508" t="s"/>
      <c r="N62" s="508" t="s"/>
      <c r="O62" s="508" t="s"/>
      <c r="P62" s="508" t="s"/>
      <c r="Q62" s="508" t="s"/>
      <c r="R62" s="508" t="s"/>
      <c r="S62" s="508" t="s"/>
      <c r="T62" s="508" t="s"/>
      <c r="U62" s="508" t="s"/>
      <c r="V62" s="508" t="s"/>
      <c r="W62" s="508" t="s"/>
      <c r="X62" s="508" t="s"/>
      <c r="Y62" s="508" t="s"/>
    </row>
    <row r="63" spans="1:25">
      <c r="A63" s="680" t="s"/>
      <c r="B63" s="837" t="s"/>
      <c r="C63" s="837" t="s"/>
      <c r="D63" s="838" t="s"/>
      <c r="E63" s="837" t="s"/>
      <c r="F63" s="839" t="s"/>
      <c r="G63" s="839" t="s"/>
      <c r="H63" s="840" t="s"/>
      <c r="I63" s="1341" t="s"/>
      <c r="J63" s="1341" t="s"/>
      <c r="K63" s="1341" t="s"/>
      <c r="L63" s="1341" t="s"/>
      <c r="M63" s="508" t="s"/>
      <c r="N63" s="508" t="s"/>
      <c r="O63" s="508" t="s"/>
      <c r="P63" s="508" t="s"/>
      <c r="Q63" s="508" t="s"/>
      <c r="R63" s="508" t="s"/>
      <c r="S63" s="508" t="s"/>
      <c r="T63" s="508" t="s"/>
      <c r="U63" s="508" t="s"/>
      <c r="V63" s="508" t="s"/>
      <c r="W63" s="508" t="s"/>
      <c r="X63" s="508" t="s"/>
      <c r="Y63" s="508" t="s"/>
    </row>
    <row r="64" spans="1:25">
      <c r="A64" s="680" t="s"/>
      <c r="B64" s="837" t="s"/>
      <c r="C64" s="837" t="s"/>
      <c r="D64" s="838" t="s"/>
      <c r="E64" s="837" t="s"/>
      <c r="F64" s="839" t="s"/>
      <c r="G64" s="839" t="s"/>
      <c r="H64" s="840" t="s"/>
      <c r="I64" s="1341" t="s"/>
      <c r="J64" s="1341" t="s"/>
      <c r="K64" s="1341" t="s"/>
      <c r="L64" s="1341" t="s"/>
      <c r="M64" s="508" t="s"/>
      <c r="N64" s="508" t="s"/>
      <c r="O64" s="508" t="s"/>
      <c r="P64" s="508" t="s"/>
      <c r="Q64" s="508" t="s"/>
      <c r="R64" s="508" t="s"/>
      <c r="S64" s="508" t="s"/>
      <c r="T64" s="508" t="s"/>
      <c r="U64" s="508" t="s"/>
      <c r="V64" s="508" t="s"/>
      <c r="W64" s="508" t="s"/>
      <c r="X64" s="508" t="s"/>
      <c r="Y64" s="508" t="s"/>
    </row>
    <row r="65" spans="1:25">
      <c r="A65" s="680" t="s"/>
      <c r="B65" s="837" t="s"/>
      <c r="C65" s="837" t="s"/>
      <c r="D65" s="838" t="s"/>
      <c r="E65" s="837" t="s"/>
      <c r="F65" s="839" t="s"/>
      <c r="G65" s="839" t="s"/>
      <c r="H65" s="840" t="s"/>
      <c r="I65" s="1341" t="s"/>
      <c r="J65" s="1341" t="s"/>
      <c r="K65" s="1341" t="s"/>
      <c r="L65" s="1341" t="s"/>
      <c r="M65" s="508" t="s"/>
      <c r="N65" s="508" t="s"/>
      <c r="O65" s="508" t="s"/>
      <c r="P65" s="508" t="s"/>
      <c r="Q65" s="508" t="s"/>
      <c r="R65" s="508" t="s"/>
      <c r="S65" s="508" t="s"/>
      <c r="T65" s="508" t="s"/>
      <c r="U65" s="508" t="s"/>
      <c r="V65" s="508" t="s"/>
      <c r="W65" s="508" t="s"/>
      <c r="X65" s="508" t="s"/>
      <c r="Y65" s="508" t="s"/>
    </row>
    <row r="66" spans="1:25">
      <c r="A66" s="680" t="s"/>
      <c r="B66" s="837" t="s"/>
      <c r="C66" s="837" t="s"/>
      <c r="D66" s="838" t="s"/>
      <c r="E66" s="837" t="s"/>
      <c r="F66" s="839" t="s"/>
      <c r="G66" s="839" t="s"/>
      <c r="H66" s="840" t="s"/>
      <c r="I66" s="1341" t="s"/>
      <c r="J66" s="1341" t="s"/>
      <c r="K66" s="1341" t="s"/>
      <c r="L66" s="1341" t="s"/>
      <c r="M66" s="508" t="s"/>
      <c r="N66" s="508" t="s"/>
      <c r="O66" s="508" t="s"/>
      <c r="P66" s="508" t="s"/>
      <c r="Q66" s="508" t="s"/>
      <c r="R66" s="508" t="s"/>
      <c r="S66" s="508" t="s"/>
      <c r="T66" s="508" t="s"/>
      <c r="U66" s="508" t="s"/>
      <c r="V66" s="508" t="s"/>
      <c r="W66" s="508" t="s"/>
      <c r="X66" s="508" t="s"/>
      <c r="Y66" s="508" t="s"/>
    </row>
    <row r="67" spans="1:25">
      <c r="A67" s="680" t="s"/>
      <c r="B67" s="837" t="s"/>
      <c r="C67" s="837" t="s"/>
      <c r="D67" s="838" t="s"/>
      <c r="E67" s="837" t="s"/>
      <c r="F67" s="839" t="s"/>
      <c r="G67" s="839" t="s"/>
      <c r="H67" s="840" t="s"/>
      <c r="I67" s="1341" t="s"/>
      <c r="J67" s="1341" t="s"/>
      <c r="K67" s="1341" t="s"/>
      <c r="L67" s="1341" t="s"/>
      <c r="M67" s="508" t="s"/>
      <c r="N67" s="508" t="s"/>
      <c r="O67" s="508" t="s"/>
      <c r="P67" s="508" t="s"/>
      <c r="Q67" s="508" t="s"/>
      <c r="R67" s="508" t="s"/>
      <c r="S67" s="508" t="s"/>
      <c r="T67" s="508" t="s"/>
      <c r="U67" s="508" t="s"/>
      <c r="V67" s="508" t="s"/>
      <c r="W67" s="508" t="s"/>
      <c r="X67" s="508" t="s"/>
      <c r="Y67" s="508" t="s"/>
    </row>
    <row r="68" spans="1:25">
      <c r="A68" s="680" t="s"/>
      <c r="B68" s="837" t="s"/>
      <c r="C68" s="837" t="s"/>
      <c r="D68" s="838" t="s"/>
      <c r="E68" s="837" t="s"/>
      <c r="F68" s="839" t="s"/>
      <c r="G68" s="839" t="s"/>
      <c r="H68" s="840" t="s"/>
      <c r="I68" s="1341" t="s"/>
      <c r="J68" s="1341" t="s"/>
      <c r="K68" s="1341" t="s"/>
      <c r="L68" s="1341" t="s"/>
      <c r="M68" s="508" t="s"/>
      <c r="N68" s="508" t="s"/>
      <c r="O68" s="508" t="s"/>
      <c r="P68" s="508" t="s"/>
      <c r="Q68" s="508" t="s"/>
      <c r="R68" s="508" t="s"/>
      <c r="S68" s="508" t="s"/>
      <c r="T68" s="508" t="s"/>
      <c r="U68" s="508" t="s"/>
      <c r="V68" s="508" t="s"/>
      <c r="W68" s="508" t="s"/>
      <c r="X68" s="508" t="s"/>
      <c r="Y68" s="508" t="s"/>
    </row>
    <row r="69" spans="1:25">
      <c r="A69" s="680" t="s"/>
      <c r="B69" s="837" t="s"/>
      <c r="C69" s="837" t="s"/>
      <c r="D69" s="838" t="s"/>
      <c r="E69" s="837" t="s"/>
      <c r="F69" s="839" t="s"/>
      <c r="G69" s="839" t="s"/>
      <c r="H69" s="840" t="s"/>
      <c r="I69" s="1341" t="s"/>
      <c r="J69" s="1341" t="s"/>
      <c r="K69" s="1341" t="s"/>
      <c r="L69" s="1341" t="s"/>
      <c r="M69" s="508" t="s"/>
      <c r="N69" s="508" t="s"/>
      <c r="O69" s="508" t="s"/>
      <c r="P69" s="508" t="s"/>
      <c r="Q69" s="508" t="s"/>
      <c r="R69" s="508" t="s"/>
      <c r="S69" s="508" t="s"/>
      <c r="T69" s="508" t="s"/>
      <c r="U69" s="508" t="s"/>
      <c r="V69" s="508" t="s"/>
      <c r="W69" s="508" t="s"/>
      <c r="X69" s="508" t="s"/>
      <c r="Y69" s="508" t="s"/>
    </row>
    <row r="70" spans="1:25">
      <c r="A70" s="680" t="s"/>
      <c r="B70" s="837" t="s"/>
      <c r="C70" s="837" t="s"/>
      <c r="D70" s="838" t="s"/>
      <c r="E70" s="837" t="s"/>
      <c r="F70" s="839" t="s"/>
      <c r="G70" s="839" t="s"/>
      <c r="H70" s="840" t="s"/>
      <c r="I70" s="1341" t="s"/>
      <c r="J70" s="1341" t="s"/>
      <c r="K70" s="1341" t="s"/>
      <c r="L70" s="1341" t="s"/>
      <c r="M70" s="508" t="s"/>
      <c r="N70" s="508" t="s"/>
      <c r="O70" s="508" t="s"/>
      <c r="P70" s="508" t="s"/>
      <c r="Q70" s="508" t="s"/>
      <c r="R70" s="508" t="s"/>
      <c r="S70" s="508" t="s"/>
      <c r="T70" s="508" t="s"/>
      <c r="U70" s="508" t="s"/>
      <c r="V70" s="508" t="s"/>
      <c r="W70" s="508" t="s"/>
      <c r="X70" s="508" t="s"/>
      <c r="Y70" s="508" t="s"/>
    </row>
    <row r="71" spans="1:25">
      <c r="A71" s="680" t="s"/>
      <c r="B71" s="837" t="s"/>
      <c r="C71" s="837" t="s"/>
      <c r="D71" s="838" t="s"/>
      <c r="E71" s="837" t="s"/>
      <c r="F71" s="839" t="s"/>
      <c r="G71" s="839" t="s"/>
      <c r="H71" s="840" t="s"/>
      <c r="I71" s="1341" t="s"/>
      <c r="J71" s="1341" t="s"/>
      <c r="K71" s="1341" t="s"/>
      <c r="L71" s="1341" t="s"/>
      <c r="M71" s="508" t="s"/>
      <c r="N71" s="508" t="s"/>
      <c r="O71" s="508" t="s"/>
      <c r="P71" s="508" t="s"/>
      <c r="Q71" s="508" t="s"/>
      <c r="R71" s="508" t="s"/>
      <c r="S71" s="508" t="s"/>
      <c r="T71" s="508" t="s"/>
      <c r="U71" s="508" t="s"/>
      <c r="V71" s="508" t="s"/>
      <c r="W71" s="508" t="s"/>
      <c r="X71" s="508" t="s"/>
      <c r="Y71" s="508" t="s"/>
    </row>
    <row r="72" spans="1:25">
      <c r="A72" s="680" t="s"/>
      <c r="B72" s="837" t="s"/>
      <c r="C72" s="837" t="s"/>
      <c r="D72" s="838" t="s"/>
      <c r="E72" s="837" t="s"/>
      <c r="F72" s="839" t="s"/>
      <c r="G72" s="839" t="s"/>
      <c r="H72" s="840" t="s"/>
      <c r="I72" s="1341" t="s"/>
      <c r="J72" s="1341" t="s"/>
      <c r="K72" s="1341" t="s"/>
      <c r="L72" s="1341" t="s"/>
      <c r="M72" s="508" t="s"/>
      <c r="N72" s="508" t="s"/>
      <c r="O72" s="508" t="s"/>
      <c r="P72" s="508" t="s"/>
      <c r="Q72" s="508" t="s"/>
      <c r="R72" s="508" t="s"/>
      <c r="S72" s="508" t="s"/>
      <c r="T72" s="508" t="s"/>
      <c r="U72" s="508" t="s"/>
      <c r="V72" s="508" t="s"/>
      <c r="W72" s="508" t="s"/>
      <c r="X72" s="508" t="s"/>
      <c r="Y72" s="508" t="s"/>
    </row>
    <row r="73" spans="1:25">
      <c r="A73" s="680" t="s"/>
      <c r="B73" s="837" t="s"/>
      <c r="C73" s="837" t="s"/>
      <c r="D73" s="838" t="s"/>
      <c r="E73" s="837" t="s"/>
      <c r="F73" s="839" t="s"/>
      <c r="G73" s="839" t="s"/>
      <c r="H73" s="840" t="s"/>
      <c r="I73" s="1341" t="s"/>
      <c r="J73" s="1341" t="s"/>
      <c r="K73" s="1341" t="s"/>
      <c r="L73" s="1341" t="s"/>
      <c r="M73" s="508" t="s"/>
      <c r="N73" s="508" t="s"/>
      <c r="O73" s="508" t="s"/>
      <c r="P73" s="508" t="s"/>
      <c r="Q73" s="508" t="s"/>
      <c r="R73" s="508" t="s"/>
      <c r="S73" s="508" t="s"/>
      <c r="T73" s="508" t="s"/>
      <c r="U73" s="508" t="s"/>
      <c r="V73" s="508" t="s"/>
      <c r="W73" s="508" t="s"/>
      <c r="X73" s="508" t="s"/>
      <c r="Y73" s="508" t="s"/>
    </row>
    <row r="74" spans="1:25">
      <c r="A74" s="680" t="s"/>
      <c r="B74" s="837" t="s"/>
      <c r="C74" s="837" t="s"/>
      <c r="D74" s="838" t="s"/>
      <c r="E74" s="837" t="s"/>
      <c r="F74" s="839" t="s"/>
      <c r="G74" s="839" t="s"/>
      <c r="H74" s="840" t="s"/>
      <c r="I74" s="1341" t="s"/>
      <c r="J74" s="1341" t="s"/>
      <c r="K74" s="1341" t="s"/>
      <c r="L74" s="1341" t="s"/>
      <c r="M74" s="508" t="s"/>
      <c r="N74" s="508" t="s"/>
      <c r="O74" s="508" t="s"/>
      <c r="P74" s="508" t="s"/>
      <c r="Q74" s="508" t="s"/>
      <c r="R74" s="508" t="s"/>
      <c r="S74" s="508" t="s"/>
      <c r="T74" s="508" t="s"/>
      <c r="U74" s="508" t="s"/>
      <c r="V74" s="508" t="s"/>
      <c r="W74" s="508" t="s"/>
      <c r="X74" s="508" t="s"/>
      <c r="Y74" s="508" t="s"/>
    </row>
    <row r="75" spans="1:25">
      <c r="A75" s="680" t="s"/>
      <c r="B75" s="837" t="s"/>
      <c r="C75" s="837" t="s"/>
      <c r="D75" s="838" t="s"/>
      <c r="E75" s="837" t="s"/>
      <c r="F75" s="839" t="s"/>
      <c r="G75" s="839" t="s"/>
      <c r="H75" s="840" t="s"/>
      <c r="I75" s="1341" t="s"/>
      <c r="J75" s="1341" t="s"/>
      <c r="K75" s="1341" t="s"/>
      <c r="L75" s="1341" t="s"/>
      <c r="M75" s="508" t="s"/>
      <c r="N75" s="508" t="s"/>
      <c r="O75" s="508" t="s"/>
      <c r="P75" s="508" t="s"/>
      <c r="Q75" s="508" t="s"/>
      <c r="R75" s="508" t="s"/>
      <c r="S75" s="508" t="s"/>
      <c r="T75" s="508" t="s"/>
      <c r="U75" s="508" t="s"/>
      <c r="V75" s="508" t="s"/>
      <c r="W75" s="508" t="s"/>
      <c r="X75" s="508" t="s"/>
      <c r="Y75" s="508" t="s"/>
    </row>
    <row r="76" spans="1:25">
      <c r="A76" s="680" t="s"/>
      <c r="B76" s="837" t="s"/>
      <c r="C76" s="837" t="s"/>
      <c r="D76" s="838" t="s"/>
      <c r="E76" s="837" t="s"/>
      <c r="F76" s="839" t="s"/>
      <c r="G76" s="839" t="s"/>
      <c r="H76" s="840" t="s"/>
      <c r="I76" s="1341" t="s"/>
      <c r="J76" s="1341" t="s"/>
      <c r="K76" s="1341" t="s"/>
      <c r="L76" s="1341" t="s"/>
      <c r="M76" s="508" t="s"/>
      <c r="N76" s="508" t="s"/>
      <c r="O76" s="508" t="s"/>
      <c r="P76" s="508" t="s"/>
      <c r="Q76" s="508" t="s"/>
      <c r="R76" s="508" t="s"/>
      <c r="S76" s="508" t="s"/>
      <c r="T76" s="508" t="s"/>
      <c r="U76" s="508" t="s"/>
      <c r="V76" s="508" t="s"/>
      <c r="W76" s="508" t="s"/>
      <c r="X76" s="508" t="s"/>
      <c r="Y76" s="508" t="s"/>
    </row>
    <row r="77" spans="1:25">
      <c r="A77" s="680" t="s"/>
      <c r="B77" s="837" t="s"/>
      <c r="C77" s="837" t="s"/>
      <c r="D77" s="838" t="s"/>
      <c r="E77" s="837" t="s"/>
      <c r="F77" s="839" t="s"/>
      <c r="G77" s="839" t="s"/>
      <c r="H77" s="840" t="s"/>
      <c r="I77" s="1341" t="s"/>
      <c r="J77" s="1341" t="s"/>
      <c r="K77" s="1341" t="s"/>
      <c r="L77" s="1341" t="s"/>
      <c r="M77" s="508" t="s"/>
      <c r="N77" s="508" t="s"/>
      <c r="O77" s="508" t="s"/>
      <c r="P77" s="508" t="s"/>
      <c r="Q77" s="508" t="s"/>
      <c r="R77" s="508" t="s"/>
      <c r="S77" s="508" t="s"/>
      <c r="T77" s="508" t="s"/>
      <c r="U77" s="508" t="s"/>
      <c r="V77" s="508" t="s"/>
      <c r="W77" s="508" t="s"/>
      <c r="X77" s="508" t="s"/>
      <c r="Y77" s="508" t="s"/>
    </row>
    <row r="78" spans="1:25">
      <c r="A78" s="680" t="s"/>
      <c r="B78" s="837" t="s"/>
      <c r="C78" s="837" t="s"/>
      <c r="D78" s="838" t="s"/>
      <c r="E78" s="837" t="s"/>
      <c r="F78" s="839" t="s"/>
      <c r="G78" s="839" t="s"/>
      <c r="H78" s="840" t="s"/>
      <c r="I78" s="1341" t="s"/>
      <c r="J78" s="1341" t="s"/>
      <c r="K78" s="1341" t="s"/>
      <c r="L78" s="1341" t="s"/>
      <c r="M78" s="508" t="s"/>
      <c r="N78" s="508" t="s"/>
      <c r="O78" s="508" t="s"/>
      <c r="P78" s="508" t="s"/>
      <c r="Q78" s="508" t="s"/>
      <c r="R78" s="508" t="s"/>
      <c r="S78" s="508" t="s"/>
      <c r="T78" s="508" t="s"/>
      <c r="U78" s="508" t="s"/>
      <c r="V78" s="508" t="s"/>
      <c r="W78" s="508" t="s"/>
      <c r="X78" s="508" t="s"/>
      <c r="Y78" s="508" t="s"/>
    </row>
    <row r="79" spans="1:25">
      <c r="A79" s="680" t="s"/>
      <c r="B79" s="837" t="s"/>
      <c r="C79" s="837" t="s"/>
      <c r="D79" s="838" t="s"/>
      <c r="E79" s="837" t="s"/>
      <c r="F79" s="839" t="s"/>
      <c r="G79" s="839" t="s"/>
      <c r="H79" s="840" t="s"/>
      <c r="I79" s="1341" t="s"/>
      <c r="J79" s="1341" t="s"/>
      <c r="K79" s="1341" t="s"/>
      <c r="L79" s="1341" t="s"/>
      <c r="M79" s="508" t="s"/>
      <c r="N79" s="508" t="s"/>
      <c r="O79" s="508" t="s"/>
      <c r="P79" s="508" t="s"/>
      <c r="Q79" s="508" t="s"/>
      <c r="R79" s="508" t="s"/>
      <c r="S79" s="508" t="s"/>
      <c r="T79" s="508" t="s"/>
      <c r="U79" s="508" t="s"/>
      <c r="V79" s="508" t="s"/>
      <c r="W79" s="508" t="s"/>
      <c r="X79" s="508" t="s"/>
      <c r="Y79" s="508" t="s"/>
    </row>
    <row r="80" spans="1:25">
      <c r="A80" s="680" t="s"/>
      <c r="B80" s="837" t="s"/>
      <c r="C80" s="837" t="s"/>
      <c r="D80" s="838" t="s"/>
      <c r="E80" s="837" t="s"/>
      <c r="F80" s="839" t="s"/>
      <c r="G80" s="839" t="s"/>
      <c r="H80" s="840" t="s"/>
      <c r="I80" s="1341" t="s"/>
      <c r="J80" s="1341" t="s"/>
      <c r="K80" s="1341" t="s"/>
      <c r="L80" s="1341" t="s"/>
      <c r="M80" s="508" t="s"/>
      <c r="N80" s="508" t="s"/>
      <c r="O80" s="508" t="s"/>
      <c r="P80" s="508" t="s"/>
      <c r="Q80" s="508" t="s"/>
      <c r="R80" s="508" t="s"/>
      <c r="S80" s="508" t="s"/>
      <c r="T80" s="508" t="s"/>
      <c r="U80" s="508" t="s"/>
      <c r="V80" s="508" t="s"/>
      <c r="W80" s="508" t="s"/>
      <c r="X80" s="508" t="s"/>
      <c r="Y80" s="508" t="s"/>
    </row>
    <row r="81" spans="1:25">
      <c r="A81" s="680" t="s"/>
      <c r="B81" s="837" t="s"/>
      <c r="C81" s="837" t="s"/>
      <c r="D81" s="838" t="s"/>
      <c r="E81" s="837" t="s"/>
      <c r="F81" s="839" t="s"/>
      <c r="G81" s="839" t="s"/>
      <c r="H81" s="840" t="s"/>
      <c r="I81" s="1341" t="s"/>
      <c r="J81" s="1341" t="s"/>
      <c r="K81" s="1341" t="s"/>
      <c r="L81" s="1341" t="s"/>
      <c r="M81" s="508" t="s"/>
      <c r="N81" s="508" t="s"/>
      <c r="O81" s="508" t="s"/>
      <c r="P81" s="508" t="s"/>
      <c r="Q81" s="508" t="s"/>
      <c r="R81" s="508" t="s"/>
      <c r="S81" s="508" t="s"/>
      <c r="T81" s="508" t="s"/>
      <c r="U81" s="508" t="s"/>
      <c r="V81" s="508" t="s"/>
      <c r="W81" s="508" t="s"/>
      <c r="X81" s="508" t="s"/>
      <c r="Y81" s="508" t="s"/>
    </row>
    <row r="82" spans="1:25">
      <c r="A82" s="680" t="s"/>
      <c r="B82" s="837" t="s"/>
      <c r="C82" s="837" t="s"/>
      <c r="D82" s="838" t="s"/>
      <c r="E82" s="837" t="s"/>
      <c r="F82" s="839" t="s"/>
      <c r="G82" s="839" t="s"/>
      <c r="H82" s="840" t="s"/>
      <c r="I82" s="1341" t="s"/>
      <c r="J82" s="1341" t="s"/>
      <c r="K82" s="1341" t="s"/>
      <c r="L82" s="1341" t="s"/>
      <c r="M82" s="508" t="s"/>
      <c r="N82" s="508" t="s"/>
      <c r="O82" s="508" t="s"/>
      <c r="P82" s="508" t="s"/>
      <c r="Q82" s="508" t="s"/>
      <c r="R82" s="508" t="s"/>
      <c r="S82" s="508" t="s"/>
      <c r="T82" s="508" t="s"/>
      <c r="U82" s="508" t="s"/>
      <c r="V82" s="508" t="s"/>
      <c r="W82" s="508" t="s"/>
      <c r="X82" s="508" t="s"/>
      <c r="Y82" s="508" t="s"/>
    </row>
    <row r="83" spans="1:25">
      <c r="A83" s="680" t="s"/>
      <c r="B83" s="837" t="s"/>
      <c r="C83" s="837" t="s"/>
      <c r="D83" s="838" t="s"/>
      <c r="E83" s="837" t="s"/>
      <c r="F83" s="839" t="s"/>
      <c r="G83" s="839" t="s"/>
      <c r="H83" s="840" t="s"/>
      <c r="I83" s="1341" t="s"/>
      <c r="J83" s="1341" t="s"/>
      <c r="K83" s="1341" t="s"/>
      <c r="L83" s="1341" t="s"/>
      <c r="M83" s="508" t="s"/>
      <c r="N83" s="508" t="s"/>
      <c r="O83" s="508" t="s"/>
      <c r="P83" s="508" t="s"/>
      <c r="Q83" s="508" t="s"/>
      <c r="R83" s="508" t="s"/>
      <c r="S83" s="508" t="s"/>
      <c r="T83" s="508" t="s"/>
      <c r="U83" s="508" t="s"/>
      <c r="V83" s="508" t="s"/>
      <c r="W83" s="508" t="s"/>
      <c r="X83" s="508" t="s"/>
      <c r="Y83" s="508" t="s"/>
    </row>
    <row r="84" spans="1:25">
      <c r="A84" s="680" t="s"/>
      <c r="B84" s="837" t="s"/>
      <c r="C84" s="837" t="s"/>
      <c r="D84" s="838" t="s"/>
      <c r="E84" s="837" t="s"/>
      <c r="F84" s="839" t="s"/>
      <c r="G84" s="839" t="s"/>
      <c r="H84" s="840" t="s"/>
      <c r="I84" s="1341" t="s"/>
      <c r="J84" s="1341" t="s"/>
      <c r="K84" s="1341" t="s"/>
      <c r="L84" s="1341" t="s"/>
      <c r="M84" s="508" t="s"/>
      <c r="N84" s="508" t="s"/>
      <c r="O84" s="508" t="s"/>
      <c r="P84" s="508" t="s"/>
      <c r="Q84" s="508" t="s"/>
      <c r="R84" s="508" t="s"/>
      <c r="S84" s="508" t="s"/>
      <c r="T84" s="508" t="s"/>
      <c r="U84" s="508" t="s"/>
      <c r="V84" s="508" t="s"/>
      <c r="W84" s="508" t="s"/>
      <c r="X84" s="508" t="s"/>
      <c r="Y84" s="508" t="s"/>
    </row>
    <row r="85" spans="1:25">
      <c r="A85" s="680" t="s"/>
      <c r="B85" s="837" t="s"/>
      <c r="C85" s="837" t="s"/>
      <c r="D85" s="838" t="s"/>
      <c r="E85" s="837" t="s"/>
      <c r="F85" s="839" t="s"/>
      <c r="G85" s="839" t="s"/>
      <c r="H85" s="840" t="s"/>
      <c r="I85" s="1341" t="s"/>
      <c r="J85" s="1341" t="s"/>
      <c r="K85" s="1341" t="s"/>
      <c r="L85" s="1341" t="s"/>
      <c r="M85" s="508" t="s"/>
      <c r="N85" s="508" t="s"/>
      <c r="O85" s="508" t="s"/>
      <c r="P85" s="508" t="s"/>
      <c r="Q85" s="508" t="s"/>
      <c r="R85" s="508" t="s"/>
      <c r="S85" s="508" t="s"/>
      <c r="T85" s="508" t="s"/>
      <c r="U85" s="508" t="s"/>
      <c r="V85" s="508" t="s"/>
      <c r="W85" s="508" t="s"/>
      <c r="X85" s="508" t="s"/>
      <c r="Y85" s="508" t="s"/>
    </row>
    <row r="86" spans="1:25">
      <c r="A86" s="680" t="s"/>
      <c r="B86" s="837" t="s"/>
      <c r="C86" s="837" t="s"/>
      <c r="D86" s="838" t="s"/>
      <c r="E86" s="837" t="s"/>
      <c r="F86" s="839" t="s"/>
      <c r="G86" s="839" t="s"/>
      <c r="H86" s="840" t="s"/>
      <c r="I86" s="1341" t="s"/>
      <c r="J86" s="1341" t="s"/>
      <c r="K86" s="1341" t="s"/>
      <c r="L86" s="1341" t="s"/>
      <c r="M86" s="508" t="s"/>
      <c r="N86" s="508" t="s"/>
      <c r="O86" s="508" t="s"/>
      <c r="P86" s="508" t="s"/>
      <c r="Q86" s="508" t="s"/>
      <c r="R86" s="508" t="s"/>
      <c r="S86" s="508" t="s"/>
      <c r="T86" s="508" t="s"/>
      <c r="U86" s="508" t="s"/>
      <c r="V86" s="508" t="s"/>
      <c r="W86" s="508" t="s"/>
      <c r="X86" s="508" t="s"/>
      <c r="Y86" s="508" t="s"/>
    </row>
    <row r="87" spans="1:25">
      <c r="A87" s="680" t="s"/>
      <c r="B87" s="837" t="s"/>
      <c r="C87" s="837" t="s"/>
      <c r="D87" s="838" t="s"/>
      <c r="E87" s="837" t="s"/>
      <c r="F87" s="839" t="s"/>
      <c r="G87" s="839" t="s"/>
      <c r="H87" s="840" t="s"/>
      <c r="I87" s="1341" t="s"/>
      <c r="J87" s="1341" t="s"/>
      <c r="K87" s="1341" t="s"/>
      <c r="L87" s="1341" t="s"/>
      <c r="M87" s="508" t="s"/>
      <c r="N87" s="508" t="s"/>
      <c r="O87" s="508" t="s"/>
      <c r="P87" s="508" t="s"/>
      <c r="Q87" s="508" t="s"/>
      <c r="R87" s="508" t="s"/>
      <c r="S87" s="508" t="s"/>
      <c r="T87" s="508" t="s"/>
      <c r="U87" s="508" t="s"/>
      <c r="V87" s="508" t="s"/>
      <c r="W87" s="508" t="s"/>
      <c r="X87" s="508" t="s"/>
      <c r="Y87" s="508" t="s"/>
    </row>
    <row r="88" spans="1:25">
      <c r="A88" s="680" t="s"/>
      <c r="B88" s="837" t="s"/>
      <c r="C88" s="837" t="s"/>
      <c r="D88" s="838" t="s"/>
      <c r="E88" s="837" t="s"/>
      <c r="F88" s="839" t="s"/>
      <c r="G88" s="839" t="s"/>
      <c r="H88" s="840" t="s"/>
      <c r="I88" s="1341" t="s"/>
      <c r="J88" s="1341" t="s"/>
      <c r="K88" s="1341" t="s"/>
      <c r="L88" s="1341" t="s"/>
      <c r="M88" s="508" t="s"/>
      <c r="N88" s="508" t="s"/>
      <c r="O88" s="508" t="s"/>
      <c r="P88" s="508" t="s"/>
      <c r="Q88" s="508" t="s"/>
      <c r="R88" s="508" t="s"/>
      <c r="S88" s="508" t="s"/>
      <c r="T88" s="508" t="s"/>
      <c r="U88" s="508" t="s"/>
      <c r="V88" s="508" t="s"/>
      <c r="W88" s="508" t="s"/>
      <c r="X88" s="508" t="s"/>
      <c r="Y88" s="508" t="s"/>
    </row>
    <row r="89" spans="1:25">
      <c r="A89" s="680" t="s"/>
      <c r="B89" s="837" t="s"/>
      <c r="C89" s="837" t="s"/>
      <c r="D89" s="838" t="s"/>
      <c r="E89" s="837" t="s"/>
      <c r="F89" s="839" t="s"/>
      <c r="G89" s="839" t="s"/>
      <c r="H89" s="840" t="s"/>
      <c r="I89" s="1341" t="s"/>
      <c r="J89" s="1341" t="s"/>
      <c r="K89" s="1341" t="s"/>
      <c r="L89" s="1341" t="s"/>
      <c r="M89" s="508" t="s"/>
      <c r="N89" s="508" t="s"/>
      <c r="O89" s="508" t="s"/>
      <c r="P89" s="508" t="s"/>
      <c r="Q89" s="508" t="s"/>
      <c r="R89" s="508" t="s"/>
      <c r="S89" s="508" t="s"/>
      <c r="T89" s="508" t="s"/>
      <c r="U89" s="508" t="s"/>
      <c r="V89" s="508" t="s"/>
      <c r="W89" s="508" t="s"/>
      <c r="X89" s="508" t="s"/>
      <c r="Y89" s="508" t="s"/>
    </row>
    <row r="90" spans="1:25">
      <c r="A90" s="680" t="s"/>
      <c r="B90" s="837" t="s"/>
      <c r="C90" s="837" t="s"/>
      <c r="D90" s="838" t="s"/>
      <c r="E90" s="837" t="s"/>
      <c r="F90" s="839" t="s"/>
      <c r="G90" s="839" t="s"/>
      <c r="H90" s="840" t="s"/>
      <c r="I90" s="1341" t="s"/>
      <c r="J90" s="1341" t="s"/>
      <c r="K90" s="1341" t="s"/>
      <c r="L90" s="1341" t="s"/>
      <c r="M90" s="508" t="s"/>
      <c r="N90" s="508" t="s"/>
      <c r="O90" s="508" t="s"/>
      <c r="P90" s="508" t="s"/>
      <c r="Q90" s="508" t="s"/>
      <c r="R90" s="508" t="s"/>
      <c r="S90" s="508" t="s"/>
      <c r="T90" s="508" t="s"/>
      <c r="U90" s="508" t="s"/>
      <c r="V90" s="508" t="s"/>
      <c r="W90" s="508" t="s"/>
      <c r="X90" s="508" t="s"/>
      <c r="Y90" s="508" t="s"/>
    </row>
    <row r="91" spans="1:25">
      <c r="A91" s="680" t="s"/>
      <c r="B91" s="837" t="s"/>
      <c r="C91" s="837" t="s"/>
      <c r="D91" s="838" t="s"/>
      <c r="E91" s="837" t="s"/>
      <c r="F91" s="839" t="s"/>
      <c r="G91" s="839" t="s"/>
      <c r="H91" s="840" t="s"/>
      <c r="I91" s="1341" t="s"/>
      <c r="J91" s="1341" t="s"/>
      <c r="K91" s="1341" t="s"/>
      <c r="L91" s="1341" t="s"/>
      <c r="M91" s="508" t="s"/>
      <c r="N91" s="508" t="s"/>
      <c r="O91" s="508" t="s"/>
      <c r="P91" s="508" t="s"/>
      <c r="Q91" s="508" t="s"/>
      <c r="R91" s="508" t="s"/>
      <c r="S91" s="508" t="s"/>
      <c r="T91" s="508" t="s"/>
      <c r="U91" s="508" t="s"/>
      <c r="V91" s="508" t="s"/>
      <c r="W91" s="508" t="s"/>
      <c r="X91" s="508" t="s"/>
      <c r="Y91" s="508" t="s"/>
    </row>
    <row r="92" spans="1:25">
      <c r="A92" s="680" t="s"/>
      <c r="B92" s="837" t="s"/>
      <c r="C92" s="837" t="s"/>
      <c r="D92" s="838" t="s"/>
      <c r="E92" s="837" t="s"/>
      <c r="F92" s="839" t="s"/>
      <c r="G92" s="839" t="s"/>
      <c r="H92" s="840" t="s"/>
      <c r="I92" s="1341" t="s"/>
      <c r="J92" s="1341" t="s"/>
      <c r="K92" s="1341" t="s"/>
      <c r="L92" s="1341" t="s"/>
      <c r="M92" s="508" t="s"/>
      <c r="N92" s="508" t="s"/>
      <c r="O92" s="508" t="s"/>
      <c r="P92" s="508" t="s"/>
      <c r="Q92" s="508" t="s"/>
      <c r="R92" s="508" t="s"/>
      <c r="S92" s="508" t="s"/>
      <c r="T92" s="508" t="s"/>
      <c r="U92" s="508" t="s"/>
      <c r="V92" s="508" t="s"/>
      <c r="W92" s="508" t="s"/>
      <c r="X92" s="508" t="s"/>
      <c r="Y92" s="508" t="s"/>
    </row>
    <row r="93" spans="1:25">
      <c r="A93" s="680" t="s"/>
      <c r="B93" s="837" t="s"/>
      <c r="C93" s="837" t="s"/>
      <c r="D93" s="838" t="s"/>
      <c r="E93" s="837" t="s"/>
      <c r="F93" s="839" t="s"/>
      <c r="G93" s="839" t="s"/>
      <c r="H93" s="840" t="s"/>
      <c r="I93" s="1341" t="s"/>
      <c r="J93" s="1341" t="s"/>
      <c r="K93" s="1341" t="s"/>
      <c r="L93" s="1341" t="s"/>
      <c r="M93" s="508" t="s"/>
      <c r="N93" s="508" t="s"/>
      <c r="O93" s="508" t="s"/>
      <c r="P93" s="508" t="s"/>
      <c r="Q93" s="508" t="s"/>
      <c r="R93" s="508" t="s"/>
      <c r="S93" s="508" t="s"/>
      <c r="T93" s="508" t="s"/>
      <c r="U93" s="508" t="s"/>
      <c r="V93" s="508" t="s"/>
      <c r="W93" s="508" t="s"/>
      <c r="X93" s="508" t="s"/>
      <c r="Y93" s="508" t="s"/>
    </row>
    <row r="94" spans="1:25">
      <c r="A94" s="680" t="s"/>
      <c r="B94" s="837" t="s"/>
      <c r="C94" s="837" t="s"/>
      <c r="D94" s="838" t="s"/>
      <c r="E94" s="837" t="s"/>
      <c r="F94" s="839" t="s"/>
      <c r="G94" s="839" t="s"/>
      <c r="H94" s="840" t="s"/>
      <c r="I94" s="1341" t="s"/>
      <c r="J94" s="1341" t="s"/>
      <c r="K94" s="1341" t="s"/>
      <c r="L94" s="1341" t="s"/>
      <c r="M94" s="508" t="s"/>
      <c r="N94" s="508" t="s"/>
      <c r="O94" s="508" t="s"/>
      <c r="P94" s="508" t="s"/>
      <c r="Q94" s="508" t="s"/>
      <c r="R94" s="508" t="s"/>
      <c r="S94" s="508" t="s"/>
      <c r="T94" s="508" t="s"/>
      <c r="U94" s="508" t="s"/>
      <c r="V94" s="508" t="s"/>
      <c r="W94" s="508" t="s"/>
      <c r="X94" s="508" t="s"/>
      <c r="Y94" s="508" t="s"/>
    </row>
    <row r="95" spans="1:25">
      <c r="A95" s="680" t="s"/>
      <c r="B95" s="837" t="s"/>
      <c r="C95" s="837" t="s"/>
      <c r="D95" s="838" t="s"/>
      <c r="E95" s="837" t="s"/>
      <c r="F95" s="839" t="s"/>
      <c r="G95" s="839" t="s"/>
      <c r="H95" s="840" t="s"/>
      <c r="I95" s="1341" t="s"/>
      <c r="J95" s="1341" t="s"/>
      <c r="K95" s="1341" t="s"/>
      <c r="L95" s="1341" t="s"/>
      <c r="M95" s="508" t="s"/>
      <c r="N95" s="508" t="s"/>
      <c r="O95" s="508" t="s"/>
      <c r="P95" s="508" t="s"/>
      <c r="Q95" s="508" t="s"/>
      <c r="R95" s="508" t="s"/>
      <c r="S95" s="508" t="s"/>
      <c r="T95" s="508" t="s"/>
      <c r="U95" s="508" t="s"/>
      <c r="V95" s="508" t="s"/>
      <c r="W95" s="508" t="s"/>
      <c r="X95" s="508" t="s"/>
      <c r="Y95" s="508" t="s"/>
    </row>
    <row r="96" spans="1:25">
      <c r="A96" s="680" t="s"/>
      <c r="B96" s="837" t="s"/>
      <c r="C96" s="837" t="s"/>
      <c r="D96" s="838" t="s"/>
      <c r="E96" s="837" t="s"/>
      <c r="F96" s="839" t="s"/>
      <c r="G96" s="839" t="s"/>
      <c r="H96" s="840" t="s"/>
      <c r="I96" s="1341" t="s"/>
      <c r="J96" s="1341" t="s"/>
      <c r="K96" s="1341" t="s"/>
      <c r="L96" s="1341" t="s"/>
      <c r="M96" s="508" t="s"/>
      <c r="N96" s="508" t="s"/>
      <c r="O96" s="508" t="s"/>
      <c r="P96" s="508" t="s"/>
      <c r="Q96" s="508" t="s"/>
      <c r="R96" s="508" t="s"/>
      <c r="S96" s="508" t="s"/>
      <c r="T96" s="508" t="s"/>
      <c r="U96" s="508" t="s"/>
      <c r="V96" s="508" t="s"/>
      <c r="W96" s="508" t="s"/>
      <c r="X96" s="508" t="s"/>
      <c r="Y96" s="508" t="s"/>
    </row>
    <row r="97" spans="1:25">
      <c r="A97" s="680" t="s"/>
      <c r="B97" s="837" t="s"/>
      <c r="C97" s="837" t="s"/>
      <c r="D97" s="838" t="s"/>
      <c r="E97" s="837" t="s"/>
      <c r="F97" s="839" t="s"/>
      <c r="G97" s="839" t="s"/>
      <c r="H97" s="840" t="s"/>
      <c r="I97" s="1341" t="s"/>
      <c r="J97" s="1341" t="s"/>
      <c r="K97" s="1341" t="s"/>
      <c r="L97" s="1341" t="s"/>
      <c r="M97" s="508" t="s"/>
      <c r="N97" s="508" t="s"/>
      <c r="O97" s="508" t="s"/>
      <c r="P97" s="508" t="s"/>
      <c r="Q97" s="508" t="s"/>
      <c r="R97" s="508" t="s"/>
      <c r="S97" s="508" t="s"/>
      <c r="T97" s="508" t="s"/>
      <c r="U97" s="508" t="s"/>
      <c r="V97" s="508" t="s"/>
      <c r="W97" s="508" t="s"/>
      <c r="X97" s="508" t="s"/>
      <c r="Y97" s="508" t="s"/>
    </row>
    <row r="98" spans="1:25">
      <c r="A98" s="680" t="s"/>
      <c r="B98" s="837" t="s"/>
      <c r="C98" s="837" t="s"/>
      <c r="D98" s="838" t="s"/>
      <c r="E98" s="837" t="s"/>
      <c r="F98" s="839" t="s"/>
      <c r="G98" s="839" t="s"/>
      <c r="H98" s="840" t="s"/>
      <c r="I98" s="1341" t="s"/>
      <c r="J98" s="1341" t="s"/>
      <c r="K98" s="1341" t="s"/>
      <c r="L98" s="1341" t="s"/>
      <c r="M98" s="508" t="s"/>
      <c r="N98" s="508" t="s"/>
      <c r="O98" s="508" t="s"/>
      <c r="P98" s="508" t="s"/>
      <c r="Q98" s="508" t="s"/>
      <c r="R98" s="508" t="s"/>
      <c r="S98" s="508" t="s"/>
      <c r="T98" s="508" t="s"/>
      <c r="U98" s="508" t="s"/>
      <c r="V98" s="508" t="s"/>
      <c r="W98" s="508" t="s"/>
      <c r="X98" s="508" t="s"/>
      <c r="Y98" s="508" t="s"/>
    </row>
    <row r="99" spans="1:25">
      <c r="A99" s="680" t="s"/>
      <c r="B99" s="837" t="s"/>
      <c r="C99" s="837" t="s"/>
      <c r="D99" s="838" t="s"/>
      <c r="E99" s="837" t="s"/>
      <c r="F99" s="839" t="s"/>
      <c r="G99" s="839" t="s"/>
      <c r="H99" s="840" t="s"/>
      <c r="I99" s="1341" t="s"/>
      <c r="J99" s="1341" t="s"/>
      <c r="K99" s="1341" t="s"/>
      <c r="L99" s="1341" t="s"/>
      <c r="M99" s="508" t="s"/>
      <c r="N99" s="508" t="s"/>
      <c r="O99" s="508" t="s"/>
      <c r="P99" s="508" t="s"/>
      <c r="Q99" s="508" t="s"/>
      <c r="R99" s="508" t="s"/>
      <c r="S99" s="508" t="s"/>
      <c r="T99" s="508" t="s"/>
      <c r="U99" s="508" t="s"/>
      <c r="V99" s="508" t="s"/>
      <c r="W99" s="508" t="s"/>
      <c r="X99" s="508" t="s"/>
      <c r="Y99" s="508" t="s"/>
    </row>
    <row r="100" spans="1:25">
      <c r="A100" s="680" t="s"/>
      <c r="B100" s="837" t="s"/>
      <c r="C100" s="837" t="s"/>
      <c r="D100" s="838" t="s"/>
      <c r="E100" s="837" t="s"/>
      <c r="F100" s="839" t="s"/>
      <c r="G100" s="839" t="s"/>
      <c r="H100" s="840" t="s"/>
      <c r="I100" s="1341" t="s"/>
      <c r="J100" s="1341" t="s"/>
      <c r="K100" s="1341" t="s"/>
      <c r="L100" s="1341" t="s"/>
      <c r="M100" s="508" t="s"/>
      <c r="N100" s="508" t="s"/>
      <c r="O100" s="508" t="s"/>
      <c r="P100" s="508" t="s"/>
      <c r="Q100" s="508" t="s"/>
      <c r="R100" s="508" t="s"/>
      <c r="S100" s="508" t="s"/>
      <c r="T100" s="508" t="s"/>
      <c r="U100" s="508" t="s"/>
      <c r="V100" s="508" t="s"/>
      <c r="W100" s="508" t="s"/>
      <c r="X100" s="508" t="s"/>
      <c r="Y100" s="508" t="s"/>
    </row>
    <row r="101" spans="1:25">
      <c r="A101" s="680" t="s"/>
      <c r="B101" s="837" t="s"/>
      <c r="C101" s="837" t="s"/>
      <c r="D101" s="838" t="s"/>
      <c r="E101" s="837" t="s"/>
      <c r="F101" s="839" t="s"/>
      <c r="G101" s="839" t="s"/>
      <c r="H101" s="840" t="s"/>
      <c r="I101" s="1341" t="s"/>
      <c r="J101" s="1341" t="s"/>
      <c r="K101" s="1341" t="s"/>
      <c r="L101" s="1341" t="s"/>
      <c r="M101" s="508" t="s"/>
      <c r="N101" s="508" t="s"/>
      <c r="O101" s="508" t="s"/>
      <c r="P101" s="508" t="s"/>
      <c r="Q101" s="508" t="s"/>
      <c r="R101" s="508" t="s"/>
      <c r="S101" s="508" t="s"/>
      <c r="T101" s="508" t="s"/>
      <c r="U101" s="508" t="s"/>
      <c r="V101" s="508" t="s"/>
      <c r="W101" s="508" t="s"/>
      <c r="X101" s="508" t="s"/>
      <c r="Y101" s="508" t="s"/>
    </row>
    <row r="102" spans="1:25">
      <c r="A102" s="680" t="s"/>
      <c r="B102" s="837" t="s"/>
      <c r="C102" s="837" t="s"/>
      <c r="D102" s="838" t="s"/>
      <c r="E102" s="837" t="s"/>
      <c r="F102" s="839" t="s"/>
      <c r="G102" s="839" t="s"/>
      <c r="H102" s="840" t="s"/>
      <c r="I102" s="1341" t="s"/>
      <c r="J102" s="1341" t="s"/>
      <c r="K102" s="1341" t="s"/>
      <c r="L102" s="1341" t="s"/>
      <c r="M102" s="508" t="s"/>
      <c r="N102" s="508" t="s"/>
      <c r="O102" s="508" t="s"/>
      <c r="P102" s="508" t="s"/>
      <c r="Q102" s="508" t="s"/>
      <c r="R102" s="508" t="s"/>
      <c r="S102" s="508" t="s"/>
      <c r="T102" s="508" t="s"/>
      <c r="U102" s="508" t="s"/>
      <c r="V102" s="508" t="s"/>
      <c r="W102" s="508" t="s"/>
      <c r="X102" s="508" t="s"/>
      <c r="Y102" s="508" t="s"/>
    </row>
    <row r="103" spans="1:25">
      <c r="A103" s="680" t="s"/>
      <c r="B103" s="837" t="s"/>
      <c r="C103" s="837" t="s"/>
      <c r="D103" s="838" t="s"/>
      <c r="E103" s="837" t="s"/>
      <c r="F103" s="839" t="s"/>
      <c r="G103" s="839" t="s"/>
      <c r="H103" s="840" t="s"/>
      <c r="I103" s="1341" t="s"/>
      <c r="J103" s="1341" t="s"/>
      <c r="K103" s="1341" t="s"/>
      <c r="L103" s="1341" t="s"/>
      <c r="M103" s="508" t="s"/>
      <c r="N103" s="508" t="s"/>
      <c r="O103" s="508" t="s"/>
      <c r="P103" s="508" t="s"/>
      <c r="Q103" s="508" t="s"/>
      <c r="R103" s="508" t="s"/>
      <c r="S103" s="508" t="s"/>
      <c r="T103" s="508" t="s"/>
      <c r="U103" s="508" t="s"/>
      <c r="V103" s="508" t="s"/>
      <c r="W103" s="508" t="s"/>
      <c r="X103" s="508" t="s"/>
      <c r="Y103" s="508" t="s"/>
    </row>
    <row r="104" spans="1:25">
      <c r="A104" s="680" t="s"/>
      <c r="B104" s="837" t="s"/>
      <c r="C104" s="837" t="s"/>
      <c r="D104" s="838" t="s"/>
      <c r="E104" s="837" t="s"/>
      <c r="F104" s="839" t="s"/>
      <c r="G104" s="839" t="s"/>
      <c r="H104" s="840" t="s"/>
      <c r="I104" s="1341" t="s"/>
      <c r="J104" s="1341" t="s"/>
      <c r="K104" s="1341" t="s"/>
      <c r="L104" s="1341" t="s"/>
      <c r="M104" s="508" t="s"/>
      <c r="N104" s="508" t="s"/>
      <c r="O104" s="508" t="s"/>
      <c r="P104" s="508" t="s"/>
      <c r="Q104" s="508" t="s"/>
      <c r="R104" s="508" t="s"/>
      <c r="S104" s="508" t="s"/>
      <c r="T104" s="508" t="s"/>
      <c r="U104" s="508" t="s"/>
      <c r="V104" s="508" t="s"/>
      <c r="W104" s="508" t="s"/>
      <c r="X104" s="508" t="s"/>
      <c r="Y104" s="508" t="s"/>
    </row>
    <row r="105" spans="1:25">
      <c r="A105" s="680" t="s"/>
      <c r="B105" s="837" t="s"/>
      <c r="C105" s="837" t="s"/>
      <c r="D105" s="838" t="s"/>
      <c r="E105" s="837" t="s"/>
      <c r="F105" s="839" t="s"/>
      <c r="G105" s="839" t="s"/>
      <c r="H105" s="840" t="s"/>
      <c r="I105" s="1341" t="s"/>
      <c r="J105" s="1341" t="s"/>
      <c r="K105" s="1341" t="s"/>
      <c r="L105" s="1341" t="s"/>
      <c r="M105" s="508" t="s"/>
      <c r="N105" s="508" t="s"/>
      <c r="O105" s="508" t="s"/>
      <c r="P105" s="508" t="s"/>
      <c r="Q105" s="508" t="s"/>
      <c r="R105" s="508" t="s"/>
      <c r="S105" s="508" t="s"/>
      <c r="T105" s="508" t="s"/>
      <c r="U105" s="508" t="s"/>
      <c r="V105" s="508" t="s"/>
      <c r="W105" s="508" t="s"/>
      <c r="X105" s="508" t="s"/>
      <c r="Y105" s="508" t="s"/>
    </row>
    <row r="106" spans="1:25">
      <c r="A106" s="680" t="s"/>
      <c r="B106" s="837" t="s"/>
      <c r="C106" s="837" t="s"/>
      <c r="D106" s="838" t="s"/>
      <c r="E106" s="837" t="s"/>
      <c r="F106" s="839" t="s"/>
      <c r="G106" s="839" t="s"/>
      <c r="H106" s="840" t="s"/>
      <c r="I106" s="1341" t="s"/>
      <c r="J106" s="1341" t="s"/>
      <c r="K106" s="1341" t="s"/>
      <c r="L106" s="1341" t="s"/>
      <c r="M106" s="508" t="s"/>
      <c r="N106" s="508" t="s"/>
      <c r="O106" s="508" t="s"/>
      <c r="P106" s="508" t="s"/>
      <c r="Q106" s="508" t="s"/>
      <c r="R106" s="508" t="s"/>
      <c r="S106" s="508" t="s"/>
      <c r="T106" s="508" t="s"/>
      <c r="U106" s="508" t="s"/>
      <c r="V106" s="508" t="s"/>
      <c r="W106" s="508" t="s"/>
      <c r="X106" s="508" t="s"/>
      <c r="Y106" s="508" t="s"/>
    </row>
    <row r="107" spans="1:25">
      <c r="A107" s="680" t="s"/>
      <c r="B107" s="837" t="s"/>
      <c r="C107" s="837" t="s"/>
      <c r="D107" s="838" t="s"/>
      <c r="E107" s="837" t="s"/>
      <c r="F107" s="839" t="s"/>
      <c r="G107" s="839" t="s"/>
      <c r="H107" s="840" t="s"/>
      <c r="I107" s="1341" t="s"/>
      <c r="J107" s="1341" t="s"/>
      <c r="K107" s="1341" t="s"/>
      <c r="L107" s="1341" t="s"/>
      <c r="M107" s="508" t="s"/>
      <c r="N107" s="508" t="s"/>
      <c r="O107" s="508" t="s"/>
      <c r="P107" s="508" t="s"/>
      <c r="Q107" s="508" t="s"/>
      <c r="R107" s="508" t="s"/>
      <c r="S107" s="508" t="s"/>
      <c r="T107" s="508" t="s"/>
      <c r="U107" s="508" t="s"/>
      <c r="V107" s="508" t="s"/>
      <c r="W107" s="508" t="s"/>
      <c r="X107" s="508" t="s"/>
      <c r="Y107" s="508" t="s"/>
    </row>
    <row r="108" spans="1:25">
      <c r="A108" s="680" t="s"/>
      <c r="B108" s="837" t="s"/>
      <c r="C108" s="837" t="s"/>
      <c r="D108" s="838" t="s"/>
      <c r="E108" s="837" t="s"/>
      <c r="F108" s="839" t="s"/>
      <c r="G108" s="839" t="s"/>
      <c r="H108" s="840" t="s"/>
      <c r="I108" s="1341" t="s"/>
      <c r="J108" s="1341" t="s"/>
      <c r="K108" s="1341" t="s"/>
      <c r="L108" s="1341" t="s"/>
      <c r="M108" s="508" t="s"/>
      <c r="N108" s="508" t="s"/>
      <c r="O108" s="508" t="s"/>
      <c r="P108" s="508" t="s"/>
      <c r="Q108" s="508" t="s"/>
      <c r="R108" s="508" t="s"/>
      <c r="S108" s="508" t="s"/>
      <c r="T108" s="508" t="s"/>
      <c r="U108" s="508" t="s"/>
      <c r="V108" s="508" t="s"/>
      <c r="W108" s="508" t="s"/>
      <c r="X108" s="508" t="s"/>
      <c r="Y108" s="508" t="s"/>
    </row>
    <row r="109" spans="1:25">
      <c r="A109" s="680" t="s"/>
      <c r="B109" s="837" t="s"/>
      <c r="C109" s="837" t="s"/>
      <c r="D109" s="838" t="s"/>
      <c r="E109" s="837" t="s"/>
      <c r="F109" s="839" t="s"/>
      <c r="G109" s="839" t="s"/>
      <c r="H109" s="840" t="s"/>
      <c r="I109" s="1341" t="s"/>
      <c r="J109" s="1341" t="s"/>
      <c r="K109" s="1341" t="s"/>
      <c r="L109" s="1341" t="s"/>
      <c r="M109" s="508" t="s"/>
      <c r="N109" s="508" t="s"/>
      <c r="O109" s="508" t="s"/>
      <c r="P109" s="508" t="s"/>
      <c r="Q109" s="508" t="s"/>
      <c r="R109" s="508" t="s"/>
      <c r="S109" s="508" t="s"/>
      <c r="T109" s="508" t="s"/>
      <c r="U109" s="508" t="s"/>
      <c r="V109" s="508" t="s"/>
      <c r="W109" s="508" t="s"/>
      <c r="X109" s="508" t="s"/>
      <c r="Y109" s="508" t="s"/>
    </row>
    <row r="110" spans="1:25">
      <c r="A110" s="680" t="s"/>
      <c r="B110" s="837" t="s"/>
      <c r="C110" s="837" t="s"/>
      <c r="D110" s="838" t="s"/>
      <c r="E110" s="837" t="s"/>
      <c r="F110" s="839" t="s"/>
      <c r="G110" s="839" t="s"/>
      <c r="H110" s="840" t="s"/>
      <c r="I110" s="1341" t="s"/>
      <c r="J110" s="1341" t="s"/>
      <c r="K110" s="1341" t="s"/>
      <c r="L110" s="1341" t="s"/>
      <c r="M110" s="508" t="s"/>
      <c r="N110" s="508" t="s"/>
      <c r="O110" s="508" t="s"/>
      <c r="P110" s="508" t="s"/>
      <c r="Q110" s="508" t="s"/>
      <c r="R110" s="508" t="s"/>
      <c r="S110" s="508" t="s"/>
      <c r="T110" s="508" t="s"/>
      <c r="U110" s="508" t="s"/>
      <c r="V110" s="508" t="s"/>
      <c r="W110" s="508" t="s"/>
      <c r="X110" s="508" t="s"/>
      <c r="Y110" s="508" t="s"/>
    </row>
    <row r="111" spans="1:25">
      <c r="A111" s="680" t="s"/>
      <c r="B111" s="837" t="s"/>
      <c r="C111" s="837" t="s"/>
      <c r="D111" s="838" t="s"/>
      <c r="E111" s="837" t="s"/>
      <c r="F111" s="839" t="s"/>
      <c r="G111" s="839" t="s"/>
      <c r="H111" s="840" t="s"/>
      <c r="I111" s="1341" t="s"/>
      <c r="J111" s="1341" t="s"/>
      <c r="K111" s="1341" t="s"/>
      <c r="L111" s="1341" t="s"/>
      <c r="M111" s="508" t="s"/>
      <c r="N111" s="508" t="s"/>
      <c r="O111" s="508" t="s"/>
      <c r="P111" s="508" t="s"/>
      <c r="Q111" s="508" t="s"/>
      <c r="R111" s="508" t="s"/>
      <c r="S111" s="508" t="s"/>
      <c r="T111" s="508" t="s"/>
      <c r="U111" s="508" t="s"/>
      <c r="V111" s="508" t="s"/>
      <c r="W111" s="508" t="s"/>
      <c r="X111" s="508" t="s"/>
      <c r="Y111" s="508" t="s"/>
    </row>
    <row r="112" spans="1:25">
      <c r="A112" s="680" t="s"/>
      <c r="B112" s="837" t="s"/>
      <c r="C112" s="837" t="s"/>
      <c r="D112" s="838" t="s"/>
      <c r="E112" s="837" t="s"/>
      <c r="F112" s="839" t="s"/>
      <c r="G112" s="839" t="s"/>
      <c r="H112" s="840" t="s"/>
      <c r="I112" s="1341" t="s"/>
      <c r="J112" s="1341" t="s"/>
      <c r="K112" s="1341" t="s"/>
      <c r="L112" s="1341" t="s"/>
      <c r="M112" s="508" t="s"/>
      <c r="N112" s="508" t="s"/>
      <c r="O112" s="508" t="s"/>
      <c r="P112" s="508" t="s"/>
      <c r="Q112" s="508" t="s"/>
      <c r="R112" s="508" t="s"/>
      <c r="S112" s="508" t="s"/>
      <c r="T112" s="508" t="s"/>
      <c r="U112" s="508" t="s"/>
      <c r="V112" s="508" t="s"/>
      <c r="W112" s="508" t="s"/>
      <c r="X112" s="508" t="s"/>
      <c r="Y112" s="508" t="s"/>
    </row>
    <row r="113" spans="1:25">
      <c r="A113" s="680" t="s"/>
      <c r="B113" s="837" t="s"/>
      <c r="C113" s="837" t="s"/>
      <c r="D113" s="838" t="s"/>
      <c r="E113" s="837" t="s"/>
      <c r="F113" s="839" t="s"/>
      <c r="G113" s="839" t="s"/>
      <c r="H113" s="840" t="s"/>
      <c r="I113" s="1341" t="s"/>
      <c r="J113" s="1341" t="s"/>
      <c r="K113" s="1341" t="s"/>
      <c r="L113" s="1341" t="s"/>
      <c r="M113" s="508" t="s"/>
      <c r="N113" s="508" t="s"/>
      <c r="O113" s="508" t="s"/>
      <c r="P113" s="508" t="s"/>
      <c r="Q113" s="508" t="s"/>
      <c r="R113" s="508" t="s"/>
      <c r="S113" s="508" t="s"/>
      <c r="T113" s="508" t="s"/>
      <c r="U113" s="508" t="s"/>
      <c r="V113" s="508" t="s"/>
      <c r="W113" s="508" t="s"/>
      <c r="X113" s="508" t="s"/>
      <c r="Y113" s="508" t="s"/>
    </row>
    <row r="114" spans="1:25">
      <c r="A114" s="680" t="s"/>
      <c r="B114" s="837" t="s"/>
      <c r="C114" s="837" t="s"/>
      <c r="D114" s="838" t="s"/>
      <c r="E114" s="837" t="s"/>
      <c r="F114" s="839" t="s"/>
      <c r="G114" s="839" t="s"/>
      <c r="H114" s="840" t="s"/>
      <c r="I114" s="1341" t="s"/>
      <c r="J114" s="1341" t="s"/>
      <c r="K114" s="1341" t="s"/>
      <c r="L114" s="1341" t="s"/>
      <c r="M114" s="508" t="s"/>
      <c r="N114" s="508" t="s"/>
      <c r="O114" s="508" t="s"/>
      <c r="P114" s="508" t="s"/>
      <c r="Q114" s="508" t="s"/>
      <c r="R114" s="508" t="s"/>
      <c r="S114" s="508" t="s"/>
      <c r="T114" s="508" t="s"/>
      <c r="U114" s="508" t="s"/>
      <c r="V114" s="508" t="s"/>
      <c r="W114" s="508" t="s"/>
      <c r="X114" s="508" t="s"/>
      <c r="Y114" s="508" t="s"/>
    </row>
    <row r="115" spans="1:25">
      <c r="A115" s="680" t="s"/>
      <c r="B115" s="837" t="s"/>
      <c r="C115" s="837" t="s"/>
      <c r="D115" s="838" t="s"/>
      <c r="E115" s="837" t="s"/>
      <c r="F115" s="839" t="s"/>
      <c r="G115" s="839" t="s"/>
      <c r="H115" s="840" t="s"/>
      <c r="I115" s="1341" t="s"/>
      <c r="J115" s="1341" t="s"/>
      <c r="K115" s="1341" t="s"/>
      <c r="L115" s="1341" t="s"/>
      <c r="M115" s="508" t="s"/>
      <c r="N115" s="508" t="s"/>
      <c r="O115" s="508" t="s"/>
      <c r="P115" s="508" t="s"/>
      <c r="Q115" s="508" t="s"/>
      <c r="R115" s="508" t="s"/>
      <c r="S115" s="508" t="s"/>
      <c r="T115" s="508" t="s"/>
      <c r="U115" s="508" t="s"/>
      <c r="V115" s="508" t="s"/>
      <c r="W115" s="508" t="s"/>
      <c r="X115" s="508" t="s"/>
      <c r="Y115" s="508" t="s"/>
    </row>
    <row r="116" spans="1:25">
      <c r="A116" s="680" t="s"/>
      <c r="B116" s="837" t="s"/>
      <c r="C116" s="837" t="s"/>
      <c r="D116" s="838" t="s"/>
      <c r="E116" s="837" t="s"/>
      <c r="F116" s="839" t="s"/>
      <c r="G116" s="839" t="s"/>
      <c r="H116" s="840" t="s"/>
      <c r="I116" s="1341" t="s"/>
      <c r="J116" s="1341" t="s"/>
      <c r="K116" s="1341" t="s"/>
      <c r="L116" s="1341" t="s"/>
      <c r="M116" s="508" t="s"/>
      <c r="N116" s="508" t="s"/>
      <c r="O116" s="508" t="s"/>
      <c r="P116" s="508" t="s"/>
      <c r="Q116" s="508" t="s"/>
      <c r="R116" s="508" t="s"/>
      <c r="S116" s="508" t="s"/>
      <c r="T116" s="508" t="s"/>
      <c r="U116" s="508" t="s"/>
      <c r="V116" s="508" t="s"/>
      <c r="W116" s="508" t="s"/>
      <c r="X116" s="508" t="s"/>
      <c r="Y116" s="508" t="s"/>
    </row>
    <row r="117" spans="1:25">
      <c r="A117" s="680" t="s"/>
      <c r="B117" s="837" t="s"/>
      <c r="C117" s="837" t="s"/>
      <c r="D117" s="838" t="s"/>
      <c r="E117" s="837" t="s"/>
      <c r="F117" s="839" t="s"/>
      <c r="G117" s="839" t="s"/>
      <c r="H117" s="840" t="s"/>
      <c r="I117" s="1341" t="s"/>
      <c r="J117" s="1341" t="s"/>
      <c r="K117" s="1341" t="s"/>
      <c r="L117" s="1341" t="s"/>
      <c r="M117" s="508" t="s"/>
      <c r="N117" s="508" t="s"/>
      <c r="O117" s="508" t="s"/>
      <c r="P117" s="508" t="s"/>
      <c r="Q117" s="508" t="s"/>
      <c r="R117" s="508" t="s"/>
      <c r="S117" s="508" t="s"/>
      <c r="T117" s="508" t="s"/>
      <c r="U117" s="508" t="s"/>
      <c r="V117" s="508" t="s"/>
      <c r="W117" s="508" t="s"/>
      <c r="X117" s="508" t="s"/>
      <c r="Y117" s="508" t="s"/>
    </row>
    <row r="118" spans="1:25">
      <c r="A118" s="680" t="s"/>
      <c r="B118" s="837" t="s"/>
      <c r="C118" s="837" t="s"/>
      <c r="D118" s="838" t="s"/>
      <c r="E118" s="837" t="s"/>
      <c r="F118" s="839" t="s"/>
      <c r="G118" s="839" t="s"/>
      <c r="H118" s="840" t="s"/>
      <c r="I118" s="1341" t="s"/>
      <c r="J118" s="1341" t="s"/>
      <c r="K118" s="1341" t="s"/>
      <c r="L118" s="1341" t="s"/>
      <c r="M118" s="508" t="s"/>
      <c r="N118" s="508" t="s"/>
      <c r="O118" s="508" t="s"/>
      <c r="P118" s="508" t="s"/>
      <c r="Q118" s="508" t="s"/>
      <c r="R118" s="508" t="s"/>
      <c r="S118" s="508" t="s"/>
      <c r="T118" s="508" t="s"/>
      <c r="U118" s="508" t="s"/>
      <c r="V118" s="508" t="s"/>
      <c r="W118" s="508" t="s"/>
      <c r="X118" s="508" t="s"/>
      <c r="Y118" s="508" t="s"/>
    </row>
    <row r="119" spans="1:25">
      <c r="A119" s="680" t="s"/>
      <c r="B119" s="837" t="s"/>
      <c r="C119" s="837" t="s"/>
      <c r="D119" s="838" t="s"/>
      <c r="E119" s="837" t="s"/>
      <c r="F119" s="839" t="s"/>
      <c r="G119" s="839" t="s"/>
      <c r="H119" s="840" t="s"/>
      <c r="I119" s="1341" t="s"/>
      <c r="J119" s="1341" t="s"/>
      <c r="K119" s="1341" t="s"/>
      <c r="L119" s="1341" t="s"/>
      <c r="M119" s="508" t="s"/>
      <c r="N119" s="508" t="s"/>
      <c r="O119" s="508" t="s"/>
      <c r="P119" s="508" t="s"/>
      <c r="Q119" s="508" t="s"/>
      <c r="R119" s="508" t="s"/>
      <c r="S119" s="508" t="s"/>
      <c r="T119" s="508" t="s"/>
      <c r="U119" s="508" t="s"/>
      <c r="V119" s="508" t="s"/>
      <c r="W119" s="508" t="s"/>
      <c r="X119" s="508" t="s"/>
      <c r="Y119" s="508" t="s"/>
    </row>
    <row r="120" spans="1:25">
      <c r="A120" s="680" t="s"/>
      <c r="B120" s="837" t="s"/>
      <c r="C120" s="837" t="s"/>
      <c r="D120" s="838" t="s"/>
      <c r="E120" s="837" t="s"/>
      <c r="F120" s="839" t="s"/>
      <c r="G120" s="839" t="s"/>
      <c r="H120" s="840" t="s"/>
      <c r="I120" s="1341" t="s"/>
      <c r="J120" s="1341" t="s"/>
      <c r="K120" s="1341" t="s"/>
      <c r="L120" s="1341" t="s"/>
      <c r="M120" s="508" t="s"/>
      <c r="N120" s="508" t="s"/>
      <c r="O120" s="508" t="s"/>
      <c r="P120" s="508" t="s"/>
      <c r="Q120" s="508" t="s"/>
      <c r="R120" s="508" t="s"/>
      <c r="S120" s="508" t="s"/>
      <c r="T120" s="508" t="s"/>
      <c r="U120" s="508" t="s"/>
      <c r="V120" s="508" t="s"/>
      <c r="W120" s="508" t="s"/>
      <c r="X120" s="508" t="s"/>
      <c r="Y120" s="508" t="s"/>
    </row>
    <row r="121" spans="1:25">
      <c r="A121" s="680" t="s"/>
      <c r="B121" s="837" t="s"/>
      <c r="C121" s="837" t="s"/>
      <c r="D121" s="838" t="s"/>
      <c r="E121" s="837" t="s"/>
      <c r="F121" s="839" t="s"/>
      <c r="G121" s="839" t="s"/>
      <c r="H121" s="840" t="s"/>
      <c r="I121" s="1341" t="s"/>
      <c r="J121" s="1341" t="s"/>
      <c r="K121" s="1341" t="s"/>
      <c r="L121" s="1341" t="s"/>
      <c r="M121" s="508" t="s"/>
      <c r="N121" s="508" t="s"/>
      <c r="O121" s="508" t="s"/>
      <c r="P121" s="508" t="s"/>
      <c r="Q121" s="508" t="s"/>
      <c r="R121" s="508" t="s"/>
      <c r="S121" s="508" t="s"/>
      <c r="T121" s="508" t="s"/>
      <c r="U121" s="508" t="s"/>
      <c r="V121" s="508" t="s"/>
      <c r="W121" s="508" t="s"/>
      <c r="X121" s="508" t="s"/>
      <c r="Y121" s="508" t="s"/>
    </row>
    <row r="122" spans="1:25">
      <c r="A122" s="680" t="s"/>
      <c r="B122" s="837" t="s"/>
      <c r="C122" s="837" t="s"/>
      <c r="D122" s="838" t="s"/>
      <c r="E122" s="837" t="s"/>
      <c r="F122" s="839" t="s"/>
      <c r="G122" s="839" t="s"/>
      <c r="H122" s="840" t="s"/>
      <c r="I122" s="1341" t="s"/>
      <c r="J122" s="1341" t="s"/>
      <c r="K122" s="1341" t="s"/>
      <c r="L122" s="1341" t="s"/>
      <c r="M122" s="508" t="s"/>
      <c r="N122" s="508" t="s"/>
      <c r="O122" s="508" t="s"/>
      <c r="P122" s="508" t="s"/>
      <c r="Q122" s="508" t="s"/>
      <c r="R122" s="508" t="s"/>
      <c r="S122" s="508" t="s"/>
      <c r="T122" s="508" t="s"/>
      <c r="U122" s="508" t="s"/>
      <c r="V122" s="508" t="s"/>
      <c r="W122" s="508" t="s"/>
      <c r="X122" s="508" t="s"/>
      <c r="Y122" s="508" t="s"/>
    </row>
    <row r="123" spans="1:25">
      <c r="A123" s="680" t="s"/>
      <c r="B123" s="837" t="s"/>
      <c r="C123" s="837" t="s"/>
      <c r="D123" s="838" t="s"/>
      <c r="E123" s="837" t="s"/>
      <c r="F123" s="839" t="s"/>
      <c r="G123" s="839" t="s"/>
      <c r="H123" s="840" t="s"/>
      <c r="I123" s="1341" t="s"/>
      <c r="J123" s="1341" t="s"/>
      <c r="K123" s="1341" t="s"/>
      <c r="L123" s="1341" t="s"/>
      <c r="M123" s="508" t="s"/>
      <c r="N123" s="508" t="s"/>
      <c r="O123" s="508" t="s"/>
      <c r="P123" s="508" t="s"/>
      <c r="Q123" s="508" t="s"/>
      <c r="R123" s="508" t="s"/>
      <c r="S123" s="508" t="s"/>
      <c r="T123" s="508" t="s"/>
      <c r="U123" s="508" t="s"/>
      <c r="V123" s="508" t="s"/>
      <c r="W123" s="508" t="s"/>
      <c r="X123" s="508" t="s"/>
      <c r="Y123" s="508" t="s"/>
    </row>
    <row r="124" spans="1:25">
      <c r="A124" s="680" t="s"/>
      <c r="B124" s="837" t="s"/>
      <c r="C124" s="837" t="s"/>
      <c r="D124" s="838" t="s"/>
      <c r="E124" s="837" t="s"/>
      <c r="F124" s="839" t="s"/>
      <c r="G124" s="839" t="s"/>
      <c r="H124" s="840" t="s"/>
      <c r="I124" s="1341" t="s"/>
      <c r="J124" s="1341" t="s"/>
      <c r="K124" s="1341" t="s"/>
      <c r="L124" s="1341" t="s"/>
      <c r="M124" s="508" t="s"/>
      <c r="N124" s="508" t="s"/>
      <c r="O124" s="508" t="s"/>
      <c r="P124" s="508" t="s"/>
      <c r="Q124" s="508" t="s"/>
      <c r="R124" s="508" t="s"/>
      <c r="S124" s="508" t="s"/>
      <c r="T124" s="508" t="s"/>
      <c r="U124" s="508" t="s"/>
      <c r="V124" s="508" t="s"/>
      <c r="W124" s="508" t="s"/>
      <c r="X124" s="508" t="s"/>
      <c r="Y124" s="508" t="s"/>
    </row>
    <row r="125" spans="1:25">
      <c r="A125" s="680" t="s"/>
      <c r="B125" s="837" t="s"/>
      <c r="C125" s="837" t="s"/>
      <c r="D125" s="838" t="s"/>
      <c r="E125" s="837" t="s"/>
      <c r="F125" s="839" t="s"/>
      <c r="G125" s="839" t="s"/>
      <c r="H125" s="840" t="s"/>
      <c r="I125" s="1341" t="s"/>
      <c r="J125" s="1341" t="s"/>
      <c r="K125" s="1341" t="s"/>
      <c r="L125" s="1341" t="s"/>
      <c r="M125" s="508" t="s"/>
      <c r="N125" s="508" t="s"/>
      <c r="O125" s="508" t="s"/>
      <c r="P125" s="508" t="s"/>
      <c r="Q125" s="508" t="s"/>
      <c r="R125" s="508" t="s"/>
      <c r="S125" s="508" t="s"/>
      <c r="T125" s="508" t="s"/>
      <c r="U125" s="508" t="s"/>
      <c r="V125" s="508" t="s"/>
      <c r="W125" s="508" t="s"/>
      <c r="X125" s="508" t="s"/>
      <c r="Y125" s="508" t="s"/>
    </row>
    <row r="126" spans="1:25">
      <c r="A126" s="680" t="s"/>
      <c r="B126" s="837" t="s"/>
      <c r="C126" s="837" t="s"/>
      <c r="D126" s="838" t="s"/>
      <c r="E126" s="837" t="s"/>
      <c r="F126" s="839" t="s"/>
      <c r="G126" s="839" t="s"/>
      <c r="H126" s="840" t="s"/>
      <c r="I126" s="1341" t="s"/>
      <c r="J126" s="1341" t="s"/>
      <c r="K126" s="1341" t="s"/>
      <c r="L126" s="1341" t="s"/>
      <c r="M126" s="508" t="s"/>
      <c r="N126" s="508" t="s"/>
      <c r="O126" s="508" t="s"/>
      <c r="P126" s="508" t="s"/>
      <c r="Q126" s="508" t="s"/>
      <c r="R126" s="508" t="s"/>
      <c r="S126" s="508" t="s"/>
      <c r="T126" s="508" t="s"/>
      <c r="U126" s="508" t="s"/>
      <c r="V126" s="508" t="s"/>
      <c r="W126" s="508" t="s"/>
      <c r="X126" s="508" t="s"/>
      <c r="Y126" s="508" t="s"/>
    </row>
    <row r="127" spans="1:25">
      <c r="A127" s="680" t="s"/>
      <c r="B127" s="837" t="s"/>
      <c r="C127" s="837" t="s"/>
      <c r="D127" s="838" t="s"/>
      <c r="E127" s="837" t="s"/>
      <c r="F127" s="839" t="s"/>
      <c r="G127" s="839" t="s"/>
      <c r="H127" s="840" t="s"/>
      <c r="I127" s="1341" t="s"/>
      <c r="J127" s="1341" t="s"/>
      <c r="K127" s="1341" t="s"/>
      <c r="L127" s="1341" t="s"/>
      <c r="M127" s="508" t="s"/>
      <c r="N127" s="508" t="s"/>
      <c r="O127" s="508" t="s"/>
      <c r="P127" s="508" t="s"/>
      <c r="Q127" s="508" t="s"/>
      <c r="R127" s="508" t="s"/>
      <c r="S127" s="508" t="s"/>
      <c r="T127" s="508" t="s"/>
      <c r="U127" s="508" t="s"/>
      <c r="V127" s="508" t="s"/>
      <c r="W127" s="508" t="s"/>
      <c r="X127" s="508" t="s"/>
      <c r="Y127" s="508" t="s"/>
    </row>
    <row r="128" spans="1:25">
      <c r="A128" s="680" t="s"/>
      <c r="B128" s="837" t="s"/>
      <c r="C128" s="837" t="s"/>
      <c r="D128" s="838" t="s"/>
      <c r="E128" s="837" t="s"/>
      <c r="F128" s="839" t="s"/>
      <c r="G128" s="839" t="s"/>
      <c r="H128" s="840" t="s"/>
      <c r="I128" s="1341" t="s"/>
      <c r="J128" s="1341" t="s"/>
      <c r="K128" s="1341" t="s"/>
      <c r="L128" s="1341" t="s"/>
      <c r="M128" s="508" t="s"/>
      <c r="N128" s="508" t="s"/>
      <c r="O128" s="508" t="s"/>
      <c r="P128" s="508" t="s"/>
      <c r="Q128" s="508" t="s"/>
      <c r="R128" s="508" t="s"/>
      <c r="S128" s="508" t="s"/>
      <c r="T128" s="508" t="s"/>
      <c r="U128" s="508" t="s"/>
      <c r="V128" s="508" t="s"/>
      <c r="W128" s="508" t="s"/>
      <c r="X128" s="508" t="s"/>
      <c r="Y128" s="508" t="s"/>
    </row>
    <row r="129" spans="1:25">
      <c r="A129" s="680" t="s"/>
      <c r="B129" s="837" t="s"/>
      <c r="C129" s="837" t="s"/>
      <c r="D129" s="838" t="s"/>
      <c r="E129" s="837" t="s"/>
      <c r="F129" s="839" t="s"/>
      <c r="G129" s="839" t="s"/>
      <c r="H129" s="840" t="s"/>
      <c r="I129" s="1341" t="s"/>
      <c r="J129" s="1341" t="s"/>
      <c r="K129" s="1341" t="s"/>
      <c r="L129" s="1341" t="s"/>
      <c r="M129" s="508" t="s"/>
      <c r="N129" s="508" t="s"/>
      <c r="O129" s="508" t="s"/>
      <c r="P129" s="508" t="s"/>
      <c r="Q129" s="508" t="s"/>
      <c r="R129" s="508" t="s"/>
      <c r="S129" s="508" t="s"/>
      <c r="T129" s="508" t="s"/>
      <c r="U129" s="508" t="s"/>
      <c r="V129" s="508" t="s"/>
      <c r="W129" s="508" t="s"/>
      <c r="X129" s="508" t="s"/>
      <c r="Y129" s="508" t="s"/>
    </row>
    <row r="130" spans="1:25">
      <c r="A130" s="680" t="s"/>
      <c r="B130" s="837" t="s"/>
      <c r="C130" s="837" t="s"/>
      <c r="D130" s="838" t="s"/>
      <c r="E130" s="837" t="s"/>
      <c r="F130" s="839" t="s"/>
      <c r="G130" s="839" t="s"/>
      <c r="H130" s="840" t="s"/>
      <c r="I130" s="1341" t="s"/>
      <c r="J130" s="1341" t="s"/>
      <c r="K130" s="1341" t="s"/>
      <c r="L130" s="1341" t="s"/>
      <c r="M130" s="508" t="s"/>
      <c r="N130" s="508" t="s"/>
      <c r="O130" s="508" t="s"/>
      <c r="P130" s="508" t="s"/>
      <c r="Q130" s="508" t="s"/>
      <c r="R130" s="508" t="s"/>
      <c r="S130" s="508" t="s"/>
      <c r="T130" s="508" t="s"/>
      <c r="U130" s="508" t="s"/>
      <c r="V130" s="508" t="s"/>
      <c r="W130" s="508" t="s"/>
      <c r="X130" s="508" t="s"/>
      <c r="Y130" s="508" t="s"/>
    </row>
    <row r="131" spans="1:25">
      <c r="A131" s="680" t="s"/>
      <c r="B131" s="837" t="s"/>
      <c r="C131" s="837" t="s"/>
      <c r="D131" s="838" t="s"/>
      <c r="E131" s="837" t="s"/>
      <c r="F131" s="839" t="s"/>
      <c r="G131" s="839" t="s"/>
      <c r="H131" s="840" t="s"/>
      <c r="I131" s="1341" t="s"/>
      <c r="J131" s="1341" t="s"/>
      <c r="K131" s="1341" t="s"/>
      <c r="L131" s="1341" t="s"/>
      <c r="M131" s="508" t="s"/>
      <c r="N131" s="508" t="s"/>
      <c r="O131" s="508" t="s"/>
      <c r="P131" s="508" t="s"/>
      <c r="Q131" s="508" t="s"/>
      <c r="R131" s="508" t="s"/>
      <c r="S131" s="508" t="s"/>
      <c r="T131" s="508" t="s"/>
      <c r="U131" s="508" t="s"/>
      <c r="V131" s="508" t="s"/>
      <c r="W131" s="508" t="s"/>
      <c r="X131" s="508" t="s"/>
      <c r="Y131" s="508" t="s"/>
    </row>
    <row r="132" spans="1:25">
      <c r="A132" s="680" t="s"/>
      <c r="B132" s="837" t="s"/>
      <c r="C132" s="837" t="s"/>
      <c r="D132" s="838" t="s"/>
      <c r="E132" s="837" t="s"/>
      <c r="F132" s="839" t="s"/>
      <c r="G132" s="839" t="s"/>
      <c r="H132" s="840" t="s"/>
      <c r="I132" s="1341" t="s"/>
      <c r="J132" s="1341" t="s"/>
      <c r="K132" s="1341" t="s"/>
      <c r="L132" s="1341" t="s"/>
      <c r="M132" s="508" t="s"/>
      <c r="N132" s="508" t="s"/>
      <c r="O132" s="508" t="s"/>
      <c r="P132" s="508" t="s"/>
      <c r="Q132" s="508" t="s"/>
      <c r="R132" s="508" t="s"/>
      <c r="S132" s="508" t="s"/>
      <c r="T132" s="508" t="s"/>
      <c r="U132" s="508" t="s"/>
      <c r="V132" s="508" t="s"/>
      <c r="W132" s="508" t="s"/>
      <c r="X132" s="508" t="s"/>
      <c r="Y132" s="508" t="s"/>
    </row>
    <row r="133" spans="1:25">
      <c r="A133" s="680" t="s"/>
      <c r="B133" s="837" t="s"/>
      <c r="C133" s="837" t="s"/>
      <c r="D133" s="838" t="s"/>
      <c r="E133" s="837" t="s"/>
      <c r="F133" s="839" t="s"/>
      <c r="G133" s="839" t="s"/>
      <c r="H133" s="840" t="s"/>
      <c r="I133" s="1341" t="s"/>
      <c r="J133" s="1341" t="s"/>
      <c r="K133" s="1341" t="s"/>
      <c r="L133" s="1341" t="s"/>
      <c r="M133" s="508" t="s"/>
      <c r="N133" s="508" t="s"/>
      <c r="O133" s="508" t="s"/>
      <c r="P133" s="508" t="s"/>
      <c r="Q133" s="508" t="s"/>
      <c r="R133" s="508" t="s"/>
      <c r="S133" s="508" t="s"/>
      <c r="T133" s="508" t="s"/>
      <c r="U133" s="508" t="s"/>
      <c r="V133" s="508" t="s"/>
      <c r="W133" s="508" t="s"/>
      <c r="X133" s="508" t="s"/>
      <c r="Y133" s="508" t="s"/>
    </row>
    <row r="134" spans="1:25">
      <c r="A134" s="680" t="s"/>
      <c r="B134" s="837" t="s"/>
      <c r="C134" s="837" t="s"/>
      <c r="D134" s="838" t="s"/>
      <c r="E134" s="837" t="s"/>
      <c r="F134" s="839" t="s"/>
      <c r="G134" s="839" t="s"/>
      <c r="H134" s="840" t="s"/>
      <c r="I134" s="1341" t="s"/>
      <c r="J134" s="1341" t="s"/>
      <c r="K134" s="1341" t="s"/>
      <c r="L134" s="1341" t="s"/>
      <c r="M134" s="508" t="s"/>
      <c r="N134" s="508" t="s"/>
      <c r="O134" s="508" t="s"/>
      <c r="P134" s="508" t="s"/>
      <c r="Q134" s="508" t="s"/>
      <c r="R134" s="508" t="s"/>
      <c r="S134" s="508" t="s"/>
      <c r="T134" s="508" t="s"/>
      <c r="U134" s="508" t="s"/>
      <c r="V134" s="508" t="s"/>
      <c r="W134" s="508" t="s"/>
      <c r="X134" s="508" t="s"/>
      <c r="Y134" s="508" t="s"/>
    </row>
    <row r="135" spans="1:25">
      <c r="A135" s="680" t="s"/>
      <c r="B135" s="837" t="s"/>
      <c r="C135" s="837" t="s"/>
      <c r="D135" s="838" t="s"/>
      <c r="E135" s="837" t="s"/>
      <c r="F135" s="839" t="s"/>
      <c r="G135" s="839" t="s"/>
      <c r="H135" s="840" t="s"/>
      <c r="I135" s="1341" t="s"/>
      <c r="J135" s="1341" t="s"/>
      <c r="K135" s="1341" t="s"/>
      <c r="L135" s="1341" t="s"/>
      <c r="M135" s="508" t="s"/>
      <c r="N135" s="508" t="s"/>
      <c r="O135" s="508" t="s"/>
      <c r="P135" s="508" t="s"/>
      <c r="Q135" s="508" t="s"/>
      <c r="R135" s="508" t="s"/>
      <c r="S135" s="508" t="s"/>
      <c r="T135" s="508" t="s"/>
      <c r="U135" s="508" t="s"/>
      <c r="V135" s="508" t="s"/>
      <c r="W135" s="508" t="s"/>
      <c r="X135" s="508" t="s"/>
      <c r="Y135" s="508" t="s"/>
    </row>
    <row r="136" spans="1:25">
      <c r="A136" s="680" t="s"/>
      <c r="B136" s="837" t="s"/>
      <c r="C136" s="837" t="s"/>
      <c r="D136" s="838" t="s"/>
      <c r="E136" s="837" t="s"/>
      <c r="F136" s="839" t="s"/>
      <c r="G136" s="839" t="s"/>
      <c r="H136" s="840" t="s"/>
      <c r="I136" s="1341" t="s"/>
      <c r="J136" s="1341" t="s"/>
      <c r="K136" s="1341" t="s"/>
      <c r="L136" s="1341" t="s"/>
      <c r="M136" s="508" t="s"/>
      <c r="N136" s="508" t="s"/>
      <c r="O136" s="508" t="s"/>
      <c r="P136" s="508" t="s"/>
      <c r="Q136" s="508" t="s"/>
      <c r="R136" s="508" t="s"/>
      <c r="S136" s="508" t="s"/>
      <c r="T136" s="508" t="s"/>
      <c r="U136" s="508" t="s"/>
      <c r="V136" s="508" t="s"/>
      <c r="W136" s="508" t="s"/>
      <c r="X136" s="508" t="s"/>
      <c r="Y136" s="508" t="s"/>
    </row>
    <row r="137" spans="1:25">
      <c r="A137" s="680" t="s"/>
      <c r="B137" s="837" t="s"/>
      <c r="C137" s="837" t="s"/>
      <c r="D137" s="838" t="s"/>
      <c r="E137" s="837" t="s"/>
      <c r="F137" s="839" t="s"/>
      <c r="G137" s="839" t="s"/>
      <c r="H137" s="840" t="s"/>
      <c r="I137" s="1341" t="s"/>
      <c r="J137" s="1341" t="s"/>
      <c r="K137" s="1341" t="s"/>
      <c r="L137" s="1341" t="s"/>
      <c r="M137" s="508" t="s"/>
      <c r="N137" s="508" t="s"/>
      <c r="O137" s="508" t="s"/>
      <c r="P137" s="508" t="s"/>
      <c r="Q137" s="508" t="s"/>
      <c r="R137" s="508" t="s"/>
      <c r="S137" s="508" t="s"/>
      <c r="T137" s="508" t="s"/>
      <c r="U137" s="508" t="s"/>
      <c r="V137" s="508" t="s"/>
      <c r="W137" s="508" t="s"/>
      <c r="X137" s="508" t="s"/>
      <c r="Y137" s="508" t="s"/>
    </row>
    <row r="138" spans="1:25">
      <c r="A138" s="680" t="s"/>
      <c r="B138" s="837" t="s"/>
      <c r="C138" s="837" t="s"/>
      <c r="D138" s="838" t="s"/>
      <c r="E138" s="837" t="s"/>
      <c r="F138" s="839" t="s"/>
      <c r="G138" s="839" t="s"/>
      <c r="H138" s="840" t="s"/>
      <c r="I138" s="1341" t="s"/>
      <c r="J138" s="1341" t="s"/>
      <c r="K138" s="1341" t="s"/>
      <c r="L138" s="1341" t="s"/>
      <c r="M138" s="508" t="s"/>
      <c r="N138" s="508" t="s"/>
      <c r="O138" s="508" t="s"/>
      <c r="P138" s="508" t="s"/>
      <c r="Q138" s="508" t="s"/>
      <c r="R138" s="508" t="s"/>
      <c r="S138" s="508" t="s"/>
      <c r="T138" s="508" t="s"/>
      <c r="U138" s="508" t="s"/>
      <c r="V138" s="508" t="s"/>
      <c r="W138" s="508" t="s"/>
      <c r="X138" s="508" t="s"/>
      <c r="Y138" s="508" t="s"/>
    </row>
    <row r="139" spans="1:25">
      <c r="A139" s="680" t="s"/>
      <c r="B139" s="837" t="s"/>
      <c r="C139" s="837" t="s"/>
      <c r="D139" s="838" t="s"/>
      <c r="E139" s="837" t="s"/>
      <c r="F139" s="839" t="s"/>
      <c r="G139" s="839" t="s"/>
      <c r="H139" s="840" t="s"/>
      <c r="I139" s="1341" t="s"/>
      <c r="J139" s="1341" t="s"/>
      <c r="K139" s="1341" t="s"/>
      <c r="L139" s="1341" t="s"/>
      <c r="M139" s="508" t="s"/>
      <c r="N139" s="508" t="s"/>
      <c r="O139" s="508" t="s"/>
      <c r="P139" s="508" t="s"/>
      <c r="Q139" s="508" t="s"/>
      <c r="R139" s="508" t="s"/>
      <c r="S139" s="508" t="s"/>
      <c r="T139" s="508" t="s"/>
      <c r="U139" s="508" t="s"/>
      <c r="V139" s="508" t="s"/>
      <c r="W139" s="508" t="s"/>
      <c r="X139" s="508" t="s"/>
      <c r="Y139" s="508" t="s"/>
    </row>
    <row r="140" spans="1:25">
      <c r="A140" s="680" t="s"/>
      <c r="B140" s="837" t="s"/>
      <c r="C140" s="837" t="s"/>
      <c r="D140" s="838" t="s"/>
      <c r="E140" s="837" t="s"/>
      <c r="F140" s="839" t="s"/>
      <c r="G140" s="839" t="s"/>
      <c r="H140" s="840" t="s"/>
      <c r="I140" s="1341" t="s"/>
      <c r="J140" s="1341" t="s"/>
      <c r="K140" s="1341" t="s"/>
      <c r="L140" s="1341" t="s"/>
      <c r="M140" s="508" t="s"/>
      <c r="N140" s="508" t="s"/>
      <c r="O140" s="508" t="s"/>
      <c r="P140" s="508" t="s"/>
      <c r="Q140" s="508" t="s"/>
      <c r="R140" s="508" t="s"/>
      <c r="S140" s="508" t="s"/>
      <c r="T140" s="508" t="s"/>
      <c r="U140" s="508" t="s"/>
      <c r="V140" s="508" t="s"/>
      <c r="W140" s="508" t="s"/>
      <c r="X140" s="508" t="s"/>
      <c r="Y140" s="508" t="s"/>
    </row>
    <row r="141" spans="1:25">
      <c r="A141" s="680" t="s"/>
      <c r="B141" s="837" t="s"/>
      <c r="C141" s="837" t="s"/>
      <c r="D141" s="838" t="s"/>
      <c r="E141" s="837" t="s"/>
      <c r="F141" s="839" t="s"/>
      <c r="G141" s="839" t="s"/>
      <c r="H141" s="840" t="s"/>
      <c r="I141" s="1341" t="s"/>
      <c r="J141" s="1341" t="s"/>
      <c r="K141" s="1341" t="s"/>
      <c r="L141" s="1341" t="s"/>
      <c r="M141" s="508" t="s"/>
      <c r="N141" s="508" t="s"/>
      <c r="O141" s="508" t="s"/>
      <c r="P141" s="508" t="s"/>
      <c r="Q141" s="508" t="s"/>
      <c r="R141" s="508" t="s"/>
      <c r="S141" s="508" t="s"/>
      <c r="T141" s="508" t="s"/>
      <c r="U141" s="508" t="s"/>
      <c r="V141" s="508" t="s"/>
      <c r="W141" s="508" t="s"/>
      <c r="X141" s="508" t="s"/>
      <c r="Y141" s="508" t="s"/>
    </row>
    <row r="142" spans="1:25">
      <c r="A142" s="680" t="s"/>
      <c r="B142" s="837" t="s"/>
      <c r="C142" s="837" t="s"/>
      <c r="D142" s="838" t="s"/>
      <c r="E142" s="837" t="s"/>
      <c r="F142" s="839" t="s"/>
      <c r="G142" s="839" t="s"/>
      <c r="H142" s="840" t="s"/>
      <c r="I142" s="1341" t="s"/>
      <c r="J142" s="1341" t="s"/>
      <c r="K142" s="1341" t="s"/>
      <c r="L142" s="1341" t="s"/>
      <c r="M142" s="508" t="s"/>
      <c r="N142" s="508" t="s"/>
      <c r="O142" s="508" t="s"/>
      <c r="P142" s="508" t="s"/>
      <c r="Q142" s="508" t="s"/>
      <c r="R142" s="508" t="s"/>
      <c r="S142" s="508" t="s"/>
      <c r="T142" s="508" t="s"/>
      <c r="U142" s="508" t="s"/>
      <c r="V142" s="508" t="s"/>
      <c r="W142" s="508" t="s"/>
      <c r="X142" s="508" t="s"/>
      <c r="Y142" s="508" t="s"/>
    </row>
    <row r="143" spans="1:25">
      <c r="A143" s="680" t="s"/>
      <c r="B143" s="837" t="s"/>
      <c r="C143" s="837" t="s"/>
      <c r="D143" s="838" t="s"/>
      <c r="E143" s="837" t="s"/>
      <c r="F143" s="839" t="s"/>
      <c r="G143" s="839" t="s"/>
      <c r="H143" s="840" t="s"/>
      <c r="I143" s="1341" t="s"/>
      <c r="J143" s="1341" t="s"/>
      <c r="K143" s="1341" t="s"/>
      <c r="L143" s="1341" t="s"/>
      <c r="M143" s="508" t="s"/>
      <c r="N143" s="508" t="s"/>
      <c r="O143" s="508" t="s"/>
      <c r="P143" s="508" t="s"/>
      <c r="Q143" s="508" t="s"/>
      <c r="R143" s="508" t="s"/>
      <c r="S143" s="508" t="s"/>
      <c r="T143" s="508" t="s"/>
      <c r="U143" s="508" t="s"/>
      <c r="V143" s="508" t="s"/>
      <c r="W143" s="508" t="s"/>
      <c r="X143" s="508" t="s"/>
      <c r="Y143" s="508" t="s"/>
    </row>
    <row r="144" spans="1:25">
      <c r="A144" s="680" t="s"/>
      <c r="B144" s="837" t="s"/>
      <c r="C144" s="837" t="s"/>
      <c r="D144" s="838" t="s"/>
      <c r="E144" s="837" t="s"/>
      <c r="F144" s="839" t="s"/>
      <c r="G144" s="839" t="s"/>
      <c r="H144" s="840" t="s"/>
      <c r="I144" s="1341" t="s"/>
      <c r="J144" s="1341" t="s"/>
      <c r="K144" s="1341" t="s"/>
      <c r="L144" s="1341" t="s"/>
      <c r="M144" s="508" t="s"/>
      <c r="N144" s="508" t="s"/>
      <c r="O144" s="508" t="s"/>
      <c r="P144" s="508" t="s"/>
      <c r="Q144" s="508" t="s"/>
      <c r="R144" s="508" t="s"/>
      <c r="S144" s="508" t="s"/>
      <c r="T144" s="508" t="s"/>
      <c r="U144" s="508" t="s"/>
      <c r="V144" s="508" t="s"/>
      <c r="W144" s="508" t="s"/>
      <c r="X144" s="508" t="s"/>
      <c r="Y144" s="508" t="s"/>
    </row>
    <row r="145" spans="1:25">
      <c r="A145" s="680" t="s"/>
      <c r="B145" s="837" t="s"/>
      <c r="C145" s="837" t="s"/>
      <c r="D145" s="838" t="s"/>
      <c r="E145" s="837" t="s"/>
      <c r="F145" s="839" t="s"/>
      <c r="G145" s="839" t="s"/>
      <c r="H145" s="840" t="s"/>
      <c r="I145" s="1341" t="s"/>
      <c r="J145" s="1341" t="s"/>
      <c r="K145" s="1341" t="s"/>
      <c r="L145" s="1341" t="s"/>
      <c r="M145" s="508" t="s"/>
      <c r="N145" s="508" t="s"/>
      <c r="O145" s="508" t="s"/>
      <c r="P145" s="508" t="s"/>
      <c r="Q145" s="508" t="s"/>
      <c r="R145" s="508" t="s"/>
      <c r="S145" s="508" t="s"/>
      <c r="T145" s="508" t="s"/>
      <c r="U145" s="508" t="s"/>
      <c r="V145" s="508" t="s"/>
      <c r="W145" s="508" t="s"/>
      <c r="X145" s="508" t="s"/>
      <c r="Y145" s="508" t="s"/>
    </row>
    <row r="146" spans="1:25">
      <c r="A146" s="680" t="s"/>
      <c r="B146" s="837" t="s"/>
      <c r="C146" s="837" t="s"/>
      <c r="D146" s="838" t="s"/>
      <c r="E146" s="837" t="s"/>
      <c r="F146" s="839" t="s"/>
      <c r="G146" s="839" t="s"/>
      <c r="H146" s="840" t="s"/>
      <c r="I146" s="1341" t="s"/>
      <c r="J146" s="1341" t="s"/>
      <c r="K146" s="1341" t="s"/>
      <c r="L146" s="1341" t="s"/>
      <c r="M146" s="508" t="s"/>
      <c r="N146" s="508" t="s"/>
      <c r="O146" s="508" t="s"/>
      <c r="P146" s="508" t="s"/>
      <c r="Q146" s="508" t="s"/>
      <c r="R146" s="508" t="s"/>
      <c r="S146" s="508" t="s"/>
      <c r="T146" s="508" t="s"/>
      <c r="U146" s="508" t="s"/>
      <c r="V146" s="508" t="s"/>
      <c r="W146" s="508" t="s"/>
      <c r="X146" s="508" t="s"/>
      <c r="Y146" s="508" t="s"/>
    </row>
    <row r="147" spans="1:25">
      <c r="A147" s="680" t="s"/>
      <c r="B147" s="837" t="s"/>
      <c r="C147" s="837" t="s"/>
      <c r="D147" s="838" t="s"/>
      <c r="E147" s="837" t="s"/>
      <c r="F147" s="839" t="s"/>
      <c r="G147" s="839" t="s"/>
      <c r="H147" s="840" t="s"/>
      <c r="I147" s="1341" t="s"/>
      <c r="J147" s="1341" t="s"/>
      <c r="K147" s="1341" t="s"/>
      <c r="L147" s="1341" t="s"/>
      <c r="M147" s="508" t="s"/>
      <c r="N147" s="508" t="s"/>
      <c r="O147" s="508" t="s"/>
      <c r="P147" s="508" t="s"/>
      <c r="Q147" s="508" t="s"/>
      <c r="R147" s="508" t="s"/>
      <c r="S147" s="508" t="s"/>
      <c r="T147" s="508" t="s"/>
      <c r="U147" s="508" t="s"/>
      <c r="V147" s="508" t="s"/>
      <c r="W147" s="508" t="s"/>
      <c r="X147" s="508" t="s"/>
      <c r="Y147" s="508" t="s"/>
    </row>
    <row r="148" spans="1:25">
      <c r="A148" s="680" t="s"/>
      <c r="B148" s="837" t="s"/>
      <c r="C148" s="837" t="s"/>
      <c r="D148" s="838" t="s"/>
      <c r="E148" s="837" t="s"/>
      <c r="F148" s="839" t="s"/>
      <c r="G148" s="839" t="s"/>
      <c r="H148" s="840" t="s"/>
      <c r="I148" s="1341" t="s"/>
      <c r="J148" s="1341" t="s"/>
      <c r="K148" s="1341" t="s"/>
      <c r="L148" s="1341" t="s"/>
      <c r="M148" s="508" t="s"/>
      <c r="N148" s="508" t="s"/>
      <c r="O148" s="508" t="s"/>
      <c r="P148" s="508" t="s"/>
      <c r="Q148" s="508" t="s"/>
      <c r="R148" s="508" t="s"/>
      <c r="S148" s="508" t="s"/>
      <c r="T148" s="508" t="s"/>
      <c r="U148" s="508" t="s"/>
      <c r="V148" s="508" t="s"/>
      <c r="W148" s="508" t="s"/>
      <c r="X148" s="508" t="s"/>
      <c r="Y148" s="508" t="s"/>
    </row>
    <row r="149" spans="1:25">
      <c r="A149" s="680" t="s"/>
      <c r="B149" s="837" t="s"/>
      <c r="C149" s="837" t="s"/>
      <c r="D149" s="838" t="s"/>
      <c r="E149" s="837" t="s"/>
      <c r="F149" s="839" t="s"/>
      <c r="G149" s="839" t="s"/>
      <c r="H149" s="840" t="s"/>
      <c r="I149" s="1341" t="s"/>
      <c r="J149" s="1341" t="s"/>
      <c r="K149" s="1341" t="s"/>
      <c r="L149" s="1341" t="s"/>
      <c r="M149" s="508" t="s"/>
      <c r="N149" s="508" t="s"/>
      <c r="O149" s="508" t="s"/>
      <c r="P149" s="508" t="s"/>
      <c r="Q149" s="508" t="s"/>
      <c r="R149" s="508" t="s"/>
      <c r="S149" s="508" t="s"/>
      <c r="T149" s="508" t="s"/>
      <c r="U149" s="508" t="s"/>
      <c r="V149" s="508" t="s"/>
      <c r="W149" s="508" t="s"/>
      <c r="X149" s="508" t="s"/>
      <c r="Y149" s="508" t="s"/>
    </row>
    <row r="150" spans="1:25">
      <c r="A150" s="680" t="s"/>
      <c r="B150" s="837" t="s"/>
      <c r="C150" s="837" t="s"/>
      <c r="D150" s="838" t="s"/>
      <c r="E150" s="837" t="s"/>
      <c r="F150" s="839" t="s"/>
      <c r="G150" s="839" t="s"/>
      <c r="H150" s="840" t="s"/>
      <c r="I150" s="1341" t="s"/>
      <c r="J150" s="1341" t="s"/>
      <c r="K150" s="1341" t="s"/>
      <c r="L150" s="1341" t="s"/>
      <c r="M150" s="508" t="s"/>
      <c r="N150" s="508" t="s"/>
      <c r="O150" s="508" t="s"/>
      <c r="P150" s="508" t="s"/>
      <c r="Q150" s="508" t="s"/>
      <c r="R150" s="508" t="s"/>
      <c r="S150" s="508" t="s"/>
      <c r="T150" s="508" t="s"/>
      <c r="U150" s="508" t="s"/>
      <c r="V150" s="508" t="s"/>
      <c r="W150" s="508" t="s"/>
      <c r="X150" s="508" t="s"/>
      <c r="Y150" s="508" t="s"/>
    </row>
    <row r="151" spans="1:25">
      <c r="A151" s="680" t="s"/>
      <c r="B151" s="837" t="s"/>
      <c r="C151" s="837" t="s"/>
      <c r="D151" s="838" t="s"/>
      <c r="E151" s="837" t="s"/>
      <c r="F151" s="839" t="s"/>
      <c r="G151" s="839" t="s"/>
      <c r="H151" s="840" t="s"/>
      <c r="I151" s="1341" t="s"/>
      <c r="J151" s="1341" t="s"/>
      <c r="K151" s="1341" t="s"/>
      <c r="L151" s="1341" t="s"/>
      <c r="M151" s="508" t="s"/>
      <c r="N151" s="508" t="s"/>
      <c r="O151" s="508" t="s"/>
      <c r="P151" s="508" t="s"/>
      <c r="Q151" s="508" t="s"/>
      <c r="R151" s="508" t="s"/>
      <c r="S151" s="508" t="s"/>
      <c r="T151" s="508" t="s"/>
      <c r="U151" s="508" t="s"/>
      <c r="V151" s="508" t="s"/>
      <c r="W151" s="508" t="s"/>
      <c r="X151" s="508" t="s"/>
      <c r="Y151" s="508" t="s"/>
    </row>
    <row r="152" spans="1:25">
      <c r="A152" s="680" t="s"/>
      <c r="B152" s="837" t="s"/>
      <c r="C152" s="837" t="s"/>
      <c r="D152" s="838" t="s"/>
      <c r="E152" s="837" t="s"/>
      <c r="F152" s="839" t="s"/>
      <c r="G152" s="839" t="s"/>
      <c r="H152" s="840" t="s"/>
      <c r="I152" s="1341" t="s"/>
      <c r="J152" s="1341" t="s"/>
      <c r="K152" s="1341" t="s"/>
      <c r="L152" s="1341" t="s"/>
      <c r="M152" s="508" t="s"/>
      <c r="N152" s="508" t="s"/>
      <c r="O152" s="508" t="s"/>
      <c r="P152" s="508" t="s"/>
      <c r="Q152" s="508" t="s"/>
      <c r="R152" s="508" t="s"/>
      <c r="S152" s="508" t="s"/>
      <c r="T152" s="508" t="s"/>
      <c r="U152" s="508" t="s"/>
      <c r="V152" s="508" t="s"/>
      <c r="W152" s="508" t="s"/>
      <c r="X152" s="508" t="s"/>
      <c r="Y152" s="508" t="s"/>
    </row>
    <row r="153" spans="1:25">
      <c r="A153" s="680" t="s"/>
      <c r="B153" s="837" t="s"/>
      <c r="C153" s="837" t="s"/>
      <c r="D153" s="838" t="s"/>
      <c r="E153" s="837" t="s"/>
      <c r="F153" s="839" t="s"/>
      <c r="G153" s="839" t="s"/>
      <c r="H153" s="840" t="s"/>
      <c r="I153" s="1341" t="s"/>
      <c r="J153" s="1341" t="s"/>
      <c r="K153" s="1341" t="s"/>
      <c r="L153" s="1341" t="s"/>
      <c r="M153" s="508" t="s"/>
      <c r="N153" s="508" t="s"/>
      <c r="O153" s="508" t="s"/>
      <c r="P153" s="508" t="s"/>
      <c r="Q153" s="508" t="s"/>
      <c r="R153" s="508" t="s"/>
      <c r="S153" s="508" t="s"/>
      <c r="T153" s="508" t="s"/>
      <c r="U153" s="508" t="s"/>
      <c r="V153" s="508" t="s"/>
      <c r="W153" s="508" t="s"/>
      <c r="X153" s="508" t="s"/>
      <c r="Y153" s="508" t="s"/>
    </row>
    <row r="154" spans="1:25">
      <c r="A154" s="680" t="s"/>
      <c r="B154" s="837" t="s"/>
      <c r="C154" s="837" t="s"/>
      <c r="D154" s="838" t="s"/>
      <c r="E154" s="837" t="s"/>
      <c r="F154" s="839" t="s"/>
      <c r="G154" s="839" t="s"/>
      <c r="H154" s="840" t="s"/>
      <c r="I154" s="1341" t="s"/>
      <c r="J154" s="1341" t="s"/>
      <c r="K154" s="1341" t="s"/>
      <c r="L154" s="1341" t="s"/>
      <c r="M154" s="508" t="s"/>
      <c r="N154" s="508" t="s"/>
      <c r="O154" s="508" t="s"/>
      <c r="P154" s="508" t="s"/>
      <c r="Q154" s="508" t="s"/>
      <c r="R154" s="508" t="s"/>
      <c r="S154" s="508" t="s"/>
      <c r="T154" s="508" t="s"/>
      <c r="U154" s="508" t="s"/>
      <c r="V154" s="508" t="s"/>
      <c r="W154" s="508" t="s"/>
      <c r="X154" s="508" t="s"/>
      <c r="Y154" s="508" t="s"/>
    </row>
    <row r="155" spans="1:25">
      <c r="A155" s="680" t="s"/>
      <c r="B155" s="837" t="s"/>
      <c r="C155" s="837" t="s"/>
      <c r="D155" s="838" t="s"/>
      <c r="E155" s="837" t="s"/>
      <c r="F155" s="839" t="s"/>
      <c r="G155" s="839" t="s"/>
      <c r="H155" s="840" t="s"/>
      <c r="I155" s="1341" t="s"/>
      <c r="J155" s="1341" t="s"/>
      <c r="K155" s="1341" t="s"/>
      <c r="L155" s="1341" t="s"/>
      <c r="M155" s="508" t="s"/>
      <c r="N155" s="508" t="s"/>
      <c r="O155" s="508" t="s"/>
      <c r="P155" s="508" t="s"/>
      <c r="Q155" s="508" t="s"/>
      <c r="R155" s="508" t="s"/>
      <c r="S155" s="508" t="s"/>
      <c r="T155" s="508" t="s"/>
      <c r="U155" s="508" t="s"/>
      <c r="V155" s="508" t="s"/>
      <c r="W155" s="508" t="s"/>
      <c r="X155" s="508" t="s"/>
      <c r="Y155" s="508" t="s"/>
    </row>
    <row r="156" spans="1:25">
      <c r="A156" s="680" t="s"/>
      <c r="B156" s="837" t="s"/>
      <c r="C156" s="837" t="s"/>
      <c r="D156" s="838" t="s"/>
      <c r="E156" s="837" t="s"/>
      <c r="F156" s="839" t="s"/>
      <c r="G156" s="839" t="s"/>
      <c r="H156" s="840" t="s"/>
      <c r="I156" s="1341" t="s"/>
      <c r="J156" s="1341" t="s"/>
      <c r="K156" s="1341" t="s"/>
      <c r="L156" s="1341" t="s"/>
      <c r="M156" s="508" t="s"/>
      <c r="N156" s="508" t="s"/>
      <c r="O156" s="508" t="s"/>
      <c r="P156" s="508" t="s"/>
      <c r="Q156" s="508" t="s"/>
      <c r="R156" s="508" t="s"/>
      <c r="S156" s="508" t="s"/>
      <c r="T156" s="508" t="s"/>
      <c r="U156" s="508" t="s"/>
      <c r="V156" s="508" t="s"/>
      <c r="W156" s="508" t="s"/>
      <c r="X156" s="508" t="s"/>
      <c r="Y156" s="508" t="s"/>
    </row>
    <row r="157" spans="1:25">
      <c r="A157" s="680" t="s"/>
      <c r="B157" s="837" t="s"/>
      <c r="C157" s="837" t="s"/>
      <c r="D157" s="838" t="s"/>
      <c r="E157" s="837" t="s"/>
      <c r="F157" s="839" t="s"/>
      <c r="G157" s="839" t="s"/>
      <c r="H157" s="840" t="s"/>
      <c r="I157" s="1341" t="s"/>
      <c r="J157" s="1341" t="s"/>
      <c r="K157" s="1341" t="s"/>
      <c r="L157" s="1341" t="s"/>
      <c r="M157" s="508" t="s"/>
      <c r="N157" s="508" t="s"/>
      <c r="O157" s="508" t="s"/>
      <c r="P157" s="508" t="s"/>
      <c r="Q157" s="508" t="s"/>
      <c r="R157" s="508" t="s"/>
      <c r="S157" s="508" t="s"/>
      <c r="T157" s="508" t="s"/>
      <c r="U157" s="508" t="s"/>
      <c r="V157" s="508" t="s"/>
      <c r="W157" s="508" t="s"/>
      <c r="X157" s="508" t="s"/>
      <c r="Y157" s="508" t="s"/>
    </row>
    <row r="158" spans="1:25">
      <c r="A158" s="680" t="s"/>
      <c r="B158" s="837" t="s"/>
      <c r="C158" s="837" t="s"/>
      <c r="D158" s="838" t="s"/>
      <c r="E158" s="837" t="s"/>
      <c r="F158" s="839" t="s"/>
      <c r="G158" s="839" t="s"/>
      <c r="H158" s="840" t="s"/>
      <c r="I158" s="1341" t="s"/>
      <c r="J158" s="1341" t="s"/>
      <c r="K158" s="1341" t="s"/>
      <c r="L158" s="1341" t="s"/>
      <c r="M158" s="508" t="s"/>
      <c r="N158" s="508" t="s"/>
      <c r="O158" s="508" t="s"/>
      <c r="P158" s="508" t="s"/>
      <c r="Q158" s="508" t="s"/>
      <c r="R158" s="508" t="s"/>
      <c r="S158" s="508" t="s"/>
      <c r="T158" s="508" t="s"/>
      <c r="U158" s="508" t="s"/>
      <c r="V158" s="508" t="s"/>
      <c r="W158" s="508" t="s"/>
      <c r="X158" s="508" t="s"/>
      <c r="Y158" s="508" t="s"/>
    </row>
    <row r="159" spans="1:25">
      <c r="A159" s="680" t="s"/>
      <c r="B159" s="837" t="s"/>
      <c r="C159" s="837" t="s"/>
      <c r="D159" s="838" t="s"/>
      <c r="E159" s="837" t="s"/>
      <c r="F159" s="839" t="s"/>
      <c r="G159" s="839" t="s"/>
      <c r="H159" s="840" t="s"/>
      <c r="I159" s="1341" t="s"/>
      <c r="J159" s="1341" t="s"/>
      <c r="K159" s="1341" t="s"/>
      <c r="L159" s="1341" t="s"/>
      <c r="M159" s="508" t="s"/>
      <c r="N159" s="508" t="s"/>
      <c r="O159" s="508" t="s"/>
      <c r="P159" s="508" t="s"/>
      <c r="Q159" s="508" t="s"/>
      <c r="R159" s="508" t="s"/>
      <c r="S159" s="508" t="s"/>
      <c r="T159" s="508" t="s"/>
      <c r="U159" s="508" t="s"/>
      <c r="V159" s="508" t="s"/>
      <c r="W159" s="508" t="s"/>
      <c r="X159" s="508" t="s"/>
      <c r="Y159" s="508" t="s"/>
    </row>
    <row r="160" spans="1:25">
      <c r="A160" s="680" t="s"/>
      <c r="B160" s="837" t="s"/>
      <c r="C160" s="837" t="s"/>
      <c r="D160" s="838" t="s"/>
      <c r="E160" s="837" t="s"/>
      <c r="F160" s="839" t="s"/>
      <c r="G160" s="839" t="s"/>
      <c r="H160" s="840" t="s"/>
      <c r="I160" s="1341" t="s"/>
      <c r="J160" s="1341" t="s"/>
      <c r="K160" s="1341" t="s"/>
      <c r="L160" s="1341" t="s"/>
      <c r="M160" s="508" t="s"/>
      <c r="N160" s="508" t="s"/>
      <c r="O160" s="508" t="s"/>
      <c r="P160" s="508" t="s"/>
      <c r="Q160" s="508" t="s"/>
      <c r="R160" s="508" t="s"/>
      <c r="S160" s="508" t="s"/>
      <c r="T160" s="508" t="s"/>
      <c r="U160" s="508" t="s"/>
      <c r="V160" s="508" t="s"/>
      <c r="W160" s="508" t="s"/>
      <c r="X160" s="508" t="s"/>
      <c r="Y160" s="508" t="s"/>
    </row>
    <row r="161" spans="1:25">
      <c r="A161" s="680" t="s"/>
      <c r="B161" s="837" t="s"/>
      <c r="C161" s="837" t="s"/>
      <c r="D161" s="838" t="s"/>
      <c r="E161" s="837" t="s"/>
      <c r="F161" s="839" t="s"/>
      <c r="G161" s="839" t="s"/>
      <c r="H161" s="840" t="s"/>
      <c r="I161" s="1341" t="s"/>
      <c r="J161" s="1341" t="s"/>
      <c r="K161" s="1341" t="s"/>
      <c r="L161" s="1341" t="s"/>
      <c r="M161" s="508" t="s"/>
      <c r="N161" s="508" t="s"/>
      <c r="O161" s="508" t="s"/>
      <c r="P161" s="508" t="s"/>
      <c r="Q161" s="508" t="s"/>
      <c r="R161" s="508" t="s"/>
      <c r="S161" s="508" t="s"/>
      <c r="T161" s="508" t="s"/>
      <c r="U161" s="508" t="s"/>
      <c r="V161" s="508" t="s"/>
      <c r="W161" s="508" t="s"/>
      <c r="X161" s="508" t="s"/>
      <c r="Y161" s="508" t="s"/>
    </row>
    <row r="162" spans="1:25">
      <c r="A162" s="680" t="s"/>
      <c r="B162" s="837" t="s"/>
      <c r="C162" s="837" t="s"/>
      <c r="D162" s="838" t="s"/>
      <c r="E162" s="837" t="s"/>
      <c r="F162" s="839" t="s"/>
      <c r="G162" s="839" t="s"/>
      <c r="H162" s="840" t="s"/>
      <c r="I162" s="1341" t="s"/>
      <c r="J162" s="1341" t="s"/>
      <c r="K162" s="1341" t="s"/>
      <c r="L162" s="1341" t="s"/>
      <c r="M162" s="508" t="s"/>
      <c r="N162" s="508" t="s"/>
      <c r="O162" s="508" t="s"/>
      <c r="P162" s="508" t="s"/>
      <c r="Q162" s="508" t="s"/>
      <c r="R162" s="508" t="s"/>
      <c r="S162" s="508" t="s"/>
      <c r="T162" s="508" t="s"/>
      <c r="U162" s="508" t="s"/>
      <c r="V162" s="508" t="s"/>
      <c r="W162" s="508" t="s"/>
      <c r="X162" s="508" t="s"/>
      <c r="Y162" s="508" t="s"/>
    </row>
    <row r="163" spans="1:25">
      <c r="A163" s="680" t="s"/>
      <c r="B163" s="837" t="s"/>
      <c r="C163" s="837" t="s"/>
      <c r="D163" s="838" t="s"/>
      <c r="E163" s="837" t="s"/>
      <c r="F163" s="839" t="s"/>
      <c r="G163" s="839" t="s"/>
      <c r="H163" s="840" t="s"/>
      <c r="I163" s="1341" t="s"/>
      <c r="J163" s="1341" t="s"/>
      <c r="K163" s="1341" t="s"/>
      <c r="L163" s="1341" t="s"/>
      <c r="M163" s="508" t="s"/>
      <c r="N163" s="508" t="s"/>
      <c r="O163" s="508" t="s"/>
      <c r="P163" s="508" t="s"/>
      <c r="Q163" s="508" t="s"/>
      <c r="R163" s="508" t="s"/>
      <c r="S163" s="508" t="s"/>
      <c r="T163" s="508" t="s"/>
      <c r="U163" s="508" t="s"/>
      <c r="V163" s="508" t="s"/>
      <c r="W163" s="508" t="s"/>
      <c r="X163" s="508" t="s"/>
      <c r="Y163" s="508" t="s"/>
    </row>
    <row r="164" spans="1:25">
      <c r="A164" s="680" t="s"/>
      <c r="B164" s="837" t="s"/>
      <c r="C164" s="837" t="s"/>
      <c r="D164" s="838" t="s"/>
      <c r="E164" s="837" t="s"/>
      <c r="F164" s="839" t="s"/>
      <c r="G164" s="839" t="s"/>
      <c r="H164" s="840" t="s"/>
      <c r="I164" s="1341" t="s"/>
      <c r="J164" s="1341" t="s"/>
      <c r="K164" s="1341" t="s"/>
      <c r="L164" s="1341" t="s"/>
      <c r="M164" s="508" t="s"/>
      <c r="N164" s="508" t="s"/>
      <c r="O164" s="508" t="s"/>
      <c r="P164" s="508" t="s"/>
      <c r="Q164" s="508" t="s"/>
      <c r="R164" s="508" t="s"/>
      <c r="S164" s="508" t="s"/>
      <c r="T164" s="508" t="s"/>
      <c r="U164" s="508" t="s"/>
      <c r="V164" s="508" t="s"/>
      <c r="W164" s="508" t="s"/>
      <c r="X164" s="508" t="s"/>
      <c r="Y164" s="508" t="s"/>
    </row>
    <row r="165" spans="1:25">
      <c r="A165" s="680" t="s"/>
      <c r="B165" s="837" t="s"/>
      <c r="C165" s="837" t="s"/>
      <c r="D165" s="838" t="s"/>
      <c r="E165" s="837" t="s"/>
      <c r="F165" s="839" t="s"/>
      <c r="G165" s="839" t="s"/>
      <c r="H165" s="840" t="s"/>
      <c r="I165" s="1341" t="s"/>
      <c r="J165" s="1341" t="s"/>
      <c r="K165" s="1341" t="s"/>
      <c r="L165" s="1341" t="s"/>
      <c r="M165" s="508" t="s"/>
      <c r="N165" s="508" t="s"/>
      <c r="O165" s="508" t="s"/>
      <c r="P165" s="508" t="s"/>
      <c r="Q165" s="508" t="s"/>
      <c r="R165" s="508" t="s"/>
      <c r="S165" s="508" t="s"/>
      <c r="T165" s="508" t="s"/>
      <c r="U165" s="508" t="s"/>
      <c r="V165" s="508" t="s"/>
      <c r="W165" s="508" t="s"/>
      <c r="X165" s="508" t="s"/>
      <c r="Y165" s="508" t="s"/>
    </row>
    <row r="166" spans="1:25">
      <c r="A166" s="680" t="s"/>
      <c r="B166" s="837" t="s"/>
      <c r="C166" s="837" t="s"/>
      <c r="D166" s="838" t="s"/>
      <c r="E166" s="837" t="s"/>
      <c r="F166" s="839" t="s"/>
      <c r="G166" s="839" t="s"/>
      <c r="H166" s="840" t="s"/>
      <c r="I166" s="1341" t="s"/>
      <c r="J166" s="1341" t="s"/>
      <c r="K166" s="1341" t="s"/>
      <c r="L166" s="1341" t="s"/>
      <c r="M166" s="508" t="s"/>
      <c r="N166" s="508" t="s"/>
      <c r="O166" s="508" t="s"/>
      <c r="P166" s="508" t="s"/>
      <c r="Q166" s="508" t="s"/>
      <c r="R166" s="508" t="s"/>
      <c r="S166" s="508" t="s"/>
      <c r="T166" s="508" t="s"/>
      <c r="U166" s="508" t="s"/>
      <c r="V166" s="508" t="s"/>
      <c r="W166" s="508" t="s"/>
      <c r="X166" s="508" t="s"/>
      <c r="Y166" s="508" t="s"/>
    </row>
    <row r="167" spans="1:25">
      <c r="A167" s="680" t="s"/>
      <c r="B167" s="837" t="s"/>
      <c r="C167" s="837" t="s"/>
      <c r="D167" s="838" t="s"/>
      <c r="E167" s="837" t="s"/>
      <c r="F167" s="839" t="s"/>
      <c r="G167" s="839" t="s"/>
      <c r="H167" s="840" t="s"/>
      <c r="I167" s="1341" t="s"/>
      <c r="J167" s="1341" t="s"/>
      <c r="K167" s="1341" t="s"/>
      <c r="L167" s="1341" t="s"/>
      <c r="M167" s="508" t="s"/>
      <c r="N167" s="508" t="s"/>
      <c r="O167" s="508" t="s"/>
      <c r="P167" s="508" t="s"/>
      <c r="Q167" s="508" t="s"/>
      <c r="R167" s="508" t="s"/>
      <c r="S167" s="508" t="s"/>
      <c r="T167" s="508" t="s"/>
      <c r="U167" s="508" t="s"/>
      <c r="V167" s="508" t="s"/>
      <c r="W167" s="508" t="s"/>
      <c r="X167" s="508" t="s"/>
      <c r="Y167" s="508" t="s"/>
    </row>
    <row r="168" spans="1:25">
      <c r="A168" s="680" t="s"/>
      <c r="B168" s="837" t="s"/>
      <c r="C168" s="837" t="s"/>
      <c r="D168" s="838" t="s"/>
      <c r="E168" s="837" t="s"/>
      <c r="F168" s="839" t="s"/>
      <c r="G168" s="839" t="s"/>
      <c r="H168" s="840" t="s"/>
      <c r="I168" s="1341" t="s"/>
      <c r="J168" s="1341" t="s"/>
      <c r="K168" s="1341" t="s"/>
      <c r="L168" s="1341" t="s"/>
      <c r="M168" s="508" t="s"/>
      <c r="N168" s="508" t="s"/>
      <c r="O168" s="508" t="s"/>
      <c r="P168" s="508" t="s"/>
      <c r="Q168" s="508" t="s"/>
      <c r="R168" s="508" t="s"/>
      <c r="S168" s="508" t="s"/>
      <c r="T168" s="508" t="s"/>
      <c r="U168" s="508" t="s"/>
      <c r="V168" s="508" t="s"/>
      <c r="W168" s="508" t="s"/>
      <c r="X168" s="508" t="s"/>
      <c r="Y168" s="508" t="s"/>
    </row>
    <row r="169" spans="1:25">
      <c r="A169" s="680" t="s"/>
      <c r="B169" s="837" t="s"/>
      <c r="C169" s="837" t="s"/>
      <c r="D169" s="838" t="s"/>
      <c r="E169" s="837" t="s"/>
      <c r="F169" s="839" t="s"/>
      <c r="G169" s="839" t="s"/>
      <c r="H169" s="840" t="s"/>
      <c r="I169" s="1341" t="s"/>
      <c r="J169" s="1341" t="s"/>
      <c r="K169" s="1341" t="s"/>
      <c r="L169" s="1341" t="s"/>
      <c r="M169" s="508" t="s"/>
      <c r="N169" s="508" t="s"/>
      <c r="O169" s="508" t="s"/>
      <c r="P169" s="508" t="s"/>
      <c r="Q169" s="508" t="s"/>
      <c r="R169" s="508" t="s"/>
      <c r="S169" s="508" t="s"/>
      <c r="T169" s="508" t="s"/>
      <c r="U169" s="508" t="s"/>
      <c r="V169" s="508" t="s"/>
      <c r="W169" s="508" t="s"/>
      <c r="X169" s="508" t="s"/>
      <c r="Y169" s="508" t="s"/>
    </row>
    <row r="170" spans="1:25">
      <c r="A170" s="680" t="s"/>
      <c r="B170" s="837" t="s"/>
      <c r="C170" s="837" t="s"/>
      <c r="D170" s="838" t="s"/>
      <c r="E170" s="837" t="s"/>
      <c r="F170" s="839" t="s"/>
      <c r="G170" s="839" t="s"/>
      <c r="H170" s="840" t="s"/>
      <c r="I170" s="1341" t="s"/>
      <c r="J170" s="1341" t="s"/>
      <c r="K170" s="1341" t="s"/>
      <c r="L170" s="1341" t="s"/>
      <c r="M170" s="508" t="s"/>
      <c r="N170" s="508" t="s"/>
      <c r="O170" s="508" t="s"/>
      <c r="P170" s="508" t="s"/>
      <c r="Q170" s="508" t="s"/>
      <c r="R170" s="508" t="s"/>
      <c r="S170" s="508" t="s"/>
      <c r="T170" s="508" t="s"/>
      <c r="U170" s="508" t="s"/>
      <c r="V170" s="508" t="s"/>
      <c r="W170" s="508" t="s"/>
      <c r="X170" s="508" t="s"/>
      <c r="Y170" s="508" t="s"/>
    </row>
    <row r="171" spans="1:25">
      <c r="A171" s="680" t="s"/>
      <c r="B171" s="837" t="s"/>
      <c r="C171" s="837" t="s"/>
      <c r="D171" s="838" t="s"/>
      <c r="E171" s="837" t="s"/>
      <c r="F171" s="839" t="s"/>
      <c r="G171" s="839" t="s"/>
      <c r="H171" s="840" t="s"/>
      <c r="I171" s="1341" t="s"/>
      <c r="J171" s="1341" t="s"/>
      <c r="K171" s="1341" t="s"/>
      <c r="L171" s="1341" t="s"/>
      <c r="M171" s="508" t="s"/>
      <c r="N171" s="508" t="s"/>
      <c r="O171" s="508" t="s"/>
      <c r="P171" s="508" t="s"/>
      <c r="Q171" s="508" t="s"/>
      <c r="R171" s="508" t="s"/>
      <c r="S171" s="508" t="s"/>
      <c r="T171" s="508" t="s"/>
      <c r="U171" s="508" t="s"/>
      <c r="V171" s="508" t="s"/>
      <c r="W171" s="508" t="s"/>
      <c r="X171" s="508" t="s"/>
      <c r="Y171" s="508" t="s"/>
    </row>
    <row r="172" spans="1:25">
      <c r="A172" s="680" t="s"/>
      <c r="B172" s="837" t="s"/>
      <c r="C172" s="837" t="s"/>
      <c r="D172" s="838" t="s"/>
      <c r="E172" s="837" t="s"/>
      <c r="F172" s="839" t="s"/>
      <c r="G172" s="839" t="s"/>
      <c r="H172" s="840" t="s"/>
      <c r="I172" s="1341" t="s"/>
      <c r="J172" s="1341" t="s"/>
      <c r="K172" s="1341" t="s"/>
      <c r="L172" s="1341" t="s"/>
      <c r="M172" s="508" t="s"/>
      <c r="N172" s="508" t="s"/>
      <c r="O172" s="508" t="s"/>
      <c r="P172" s="508" t="s"/>
      <c r="Q172" s="508" t="s"/>
      <c r="R172" s="508" t="s"/>
      <c r="S172" s="508" t="s"/>
      <c r="T172" s="508" t="s"/>
      <c r="U172" s="508" t="s"/>
      <c r="V172" s="508" t="s"/>
      <c r="W172" s="508" t="s"/>
      <c r="X172" s="508" t="s"/>
      <c r="Y172" s="508" t="s"/>
    </row>
    <row r="173" spans="1:25">
      <c r="A173" s="680" t="s"/>
      <c r="B173" s="837" t="s"/>
      <c r="C173" s="837" t="s"/>
      <c r="D173" s="838" t="s"/>
      <c r="E173" s="837" t="s"/>
      <c r="F173" s="839" t="s"/>
      <c r="G173" s="839" t="s"/>
      <c r="H173" s="840" t="s"/>
      <c r="I173" s="1341" t="s"/>
      <c r="J173" s="1341" t="s"/>
      <c r="K173" s="1341" t="s"/>
      <c r="L173" s="1341" t="s"/>
      <c r="M173" s="508" t="s"/>
      <c r="N173" s="508" t="s"/>
      <c r="O173" s="508" t="s"/>
      <c r="P173" s="508" t="s"/>
      <c r="Q173" s="508" t="s"/>
      <c r="R173" s="508" t="s"/>
      <c r="S173" s="508" t="s"/>
      <c r="T173" s="508" t="s"/>
      <c r="U173" s="508" t="s"/>
      <c r="V173" s="508" t="s"/>
      <c r="W173" s="508" t="s"/>
      <c r="X173" s="508" t="s"/>
      <c r="Y173" s="508" t="s"/>
    </row>
    <row r="174" spans="1:25">
      <c r="A174" s="680" t="s"/>
      <c r="B174" s="837" t="s"/>
      <c r="C174" s="837" t="s"/>
      <c r="D174" s="838" t="s"/>
      <c r="E174" s="837" t="s"/>
      <c r="F174" s="839" t="s"/>
      <c r="G174" s="839" t="s"/>
      <c r="H174" s="840" t="s"/>
      <c r="I174" s="1341" t="s"/>
      <c r="J174" s="1341" t="s"/>
      <c r="K174" s="1341" t="s"/>
      <c r="L174" s="1341" t="s"/>
      <c r="M174" s="508" t="s"/>
      <c r="N174" s="508" t="s"/>
      <c r="O174" s="508" t="s"/>
      <c r="P174" s="508" t="s"/>
      <c r="Q174" s="508" t="s"/>
      <c r="R174" s="508" t="s"/>
      <c r="S174" s="508" t="s"/>
      <c r="T174" s="508" t="s"/>
      <c r="U174" s="508" t="s"/>
      <c r="V174" s="508" t="s"/>
      <c r="W174" s="508" t="s"/>
      <c r="X174" s="508" t="s"/>
      <c r="Y174" s="508" t="s"/>
    </row>
    <row r="175" spans="1:25">
      <c r="A175" s="680" t="s"/>
      <c r="B175" s="837" t="s"/>
      <c r="C175" s="837" t="s"/>
      <c r="D175" s="838" t="s"/>
      <c r="E175" s="837" t="s"/>
      <c r="F175" s="839" t="s"/>
      <c r="G175" s="839" t="s"/>
      <c r="H175" s="840" t="s"/>
      <c r="I175" s="1341" t="s"/>
      <c r="J175" s="1341" t="s"/>
      <c r="K175" s="1341" t="s"/>
      <c r="L175" s="1341" t="s"/>
      <c r="M175" s="508" t="s"/>
      <c r="N175" s="508" t="s"/>
      <c r="O175" s="508" t="s"/>
      <c r="P175" s="508" t="s"/>
      <c r="Q175" s="508" t="s"/>
      <c r="R175" s="508" t="s"/>
      <c r="S175" s="508" t="s"/>
      <c r="T175" s="508" t="s"/>
      <c r="U175" s="508" t="s"/>
      <c r="V175" s="508" t="s"/>
      <c r="W175" s="508" t="s"/>
      <c r="X175" s="508" t="s"/>
      <c r="Y175" s="508" t="s"/>
    </row>
    <row r="176" spans="1:25">
      <c r="A176" s="680" t="s"/>
      <c r="B176" s="837" t="s"/>
      <c r="C176" s="837" t="s"/>
      <c r="D176" s="838" t="s"/>
      <c r="E176" s="837" t="s"/>
      <c r="F176" s="839" t="s"/>
      <c r="G176" s="839" t="s"/>
      <c r="H176" s="840" t="s"/>
      <c r="I176" s="1341" t="s"/>
      <c r="J176" s="1341" t="s"/>
      <c r="K176" s="1341" t="s"/>
      <c r="L176" s="1341" t="s"/>
      <c r="M176" s="508" t="s"/>
      <c r="N176" s="508" t="s"/>
      <c r="O176" s="508" t="s"/>
      <c r="P176" s="508" t="s"/>
      <c r="Q176" s="508" t="s"/>
      <c r="R176" s="508" t="s"/>
      <c r="S176" s="508" t="s"/>
      <c r="T176" s="508" t="s"/>
      <c r="U176" s="508" t="s"/>
      <c r="V176" s="508" t="s"/>
      <c r="W176" s="508" t="s"/>
      <c r="X176" s="508" t="s"/>
      <c r="Y176" s="508" t="s"/>
    </row>
    <row r="177" spans="1:25">
      <c r="A177" s="680" t="s"/>
      <c r="B177" s="837" t="s"/>
      <c r="C177" s="837" t="s"/>
      <c r="D177" s="838" t="s"/>
      <c r="E177" s="837" t="s"/>
      <c r="F177" s="839" t="s"/>
      <c r="G177" s="839" t="s"/>
      <c r="H177" s="840" t="s"/>
      <c r="I177" s="1341" t="s"/>
      <c r="J177" s="1341" t="s"/>
      <c r="K177" s="1341" t="s"/>
      <c r="L177" s="1341" t="s"/>
      <c r="M177" s="508" t="s"/>
      <c r="N177" s="508" t="s"/>
      <c r="O177" s="508" t="s"/>
      <c r="P177" s="508" t="s"/>
      <c r="Q177" s="508" t="s"/>
      <c r="R177" s="508" t="s"/>
      <c r="S177" s="508" t="s"/>
      <c r="T177" s="508" t="s"/>
      <c r="U177" s="508" t="s"/>
      <c r="V177" s="508" t="s"/>
      <c r="W177" s="508" t="s"/>
      <c r="X177" s="508" t="s"/>
      <c r="Y177" s="508" t="s"/>
    </row>
    <row r="178" spans="1:25">
      <c r="A178" s="680" t="s"/>
      <c r="B178" s="837" t="s"/>
      <c r="C178" s="837" t="s"/>
      <c r="D178" s="838" t="s"/>
      <c r="E178" s="837" t="s"/>
      <c r="F178" s="839" t="s"/>
      <c r="G178" s="839" t="s"/>
      <c r="H178" s="840" t="s"/>
      <c r="I178" s="1341" t="s"/>
      <c r="J178" s="1341" t="s"/>
      <c r="K178" s="1341" t="s"/>
      <c r="L178" s="1341" t="s"/>
      <c r="M178" s="508" t="s"/>
      <c r="N178" s="508" t="s"/>
      <c r="O178" s="508" t="s"/>
      <c r="P178" s="508" t="s"/>
      <c r="Q178" s="508" t="s"/>
      <c r="R178" s="508" t="s"/>
      <c r="S178" s="508" t="s"/>
      <c r="T178" s="508" t="s"/>
      <c r="U178" s="508" t="s"/>
      <c r="V178" s="508" t="s"/>
      <c r="W178" s="508" t="s"/>
      <c r="X178" s="508" t="s"/>
      <c r="Y178" s="508" t="s"/>
    </row>
    <row r="179" spans="1:25">
      <c r="A179" s="680" t="s"/>
      <c r="B179" s="837" t="s"/>
      <c r="C179" s="837" t="s"/>
      <c r="D179" s="838" t="s"/>
      <c r="E179" s="837" t="s"/>
      <c r="F179" s="839" t="s"/>
      <c r="G179" s="839" t="s"/>
      <c r="H179" s="840" t="s"/>
      <c r="I179" s="1341" t="s"/>
      <c r="J179" s="1341" t="s"/>
      <c r="K179" s="1341" t="s"/>
      <c r="L179" s="1341" t="s"/>
      <c r="M179" s="508" t="s"/>
      <c r="N179" s="508" t="s"/>
      <c r="O179" s="508" t="s"/>
      <c r="P179" s="508" t="s"/>
      <c r="Q179" s="508" t="s"/>
      <c r="R179" s="508" t="s"/>
      <c r="S179" s="508" t="s"/>
      <c r="T179" s="508" t="s"/>
      <c r="U179" s="508" t="s"/>
      <c r="V179" s="508" t="s"/>
      <c r="W179" s="508" t="s"/>
      <c r="X179" s="508" t="s"/>
      <c r="Y179" s="508" t="s"/>
    </row>
    <row r="180" spans="1:25">
      <c r="A180" s="680" t="s"/>
      <c r="B180" s="837" t="s"/>
      <c r="C180" s="837" t="s"/>
      <c r="D180" s="838" t="s"/>
      <c r="E180" s="837" t="s"/>
      <c r="F180" s="839" t="s"/>
      <c r="G180" s="839" t="s"/>
      <c r="H180" s="840" t="s"/>
      <c r="I180" s="1341" t="s"/>
      <c r="J180" s="1341" t="s"/>
      <c r="K180" s="1341" t="s"/>
      <c r="L180" s="1341" t="s"/>
      <c r="M180" s="508" t="s"/>
      <c r="N180" s="508" t="s"/>
      <c r="O180" s="508" t="s"/>
      <c r="P180" s="508" t="s"/>
      <c r="Q180" s="508" t="s"/>
      <c r="R180" s="508" t="s"/>
      <c r="S180" s="508" t="s"/>
      <c r="T180" s="508" t="s"/>
      <c r="U180" s="508" t="s"/>
      <c r="V180" s="508" t="s"/>
      <c r="W180" s="508" t="s"/>
      <c r="X180" s="508" t="s"/>
      <c r="Y180" s="508" t="s"/>
    </row>
    <row r="181" spans="1:25">
      <c r="A181" s="680" t="s"/>
      <c r="B181" s="837" t="s"/>
      <c r="C181" s="837" t="s"/>
      <c r="D181" s="838" t="s"/>
      <c r="E181" s="837" t="s"/>
      <c r="F181" s="839" t="s"/>
      <c r="G181" s="839" t="s"/>
      <c r="H181" s="840" t="s"/>
      <c r="I181" s="1341" t="s"/>
      <c r="J181" s="1341" t="s"/>
      <c r="K181" s="1341" t="s"/>
      <c r="L181" s="1341" t="s"/>
      <c r="M181" s="508" t="s"/>
      <c r="N181" s="508" t="s"/>
      <c r="O181" s="508" t="s"/>
      <c r="P181" s="508" t="s"/>
      <c r="Q181" s="508" t="s"/>
      <c r="R181" s="508" t="s"/>
      <c r="S181" s="508" t="s"/>
      <c r="T181" s="508" t="s"/>
      <c r="U181" s="508" t="s"/>
      <c r="V181" s="508" t="s"/>
      <c r="W181" s="508" t="s"/>
      <c r="X181" s="508" t="s"/>
      <c r="Y181" s="508" t="s"/>
    </row>
    <row r="182" spans="1:25">
      <c r="A182" s="680" t="s"/>
      <c r="B182" s="837" t="s"/>
      <c r="C182" s="837" t="s"/>
      <c r="D182" s="838" t="s"/>
      <c r="E182" s="837" t="s"/>
      <c r="F182" s="839" t="s"/>
      <c r="G182" s="839" t="s"/>
      <c r="H182" s="840" t="s"/>
      <c r="I182" s="1341" t="s"/>
      <c r="J182" s="1341" t="s"/>
      <c r="K182" s="1341" t="s"/>
      <c r="L182" s="1341" t="s"/>
      <c r="M182" s="508" t="s"/>
      <c r="N182" s="508" t="s"/>
      <c r="O182" s="508" t="s"/>
      <c r="P182" s="508" t="s"/>
      <c r="Q182" s="508" t="s"/>
      <c r="R182" s="508" t="s"/>
      <c r="S182" s="508" t="s"/>
      <c r="T182" s="508" t="s"/>
      <c r="U182" s="508" t="s"/>
      <c r="V182" s="508" t="s"/>
      <c r="W182" s="508" t="s"/>
      <c r="X182" s="508" t="s"/>
      <c r="Y182" s="508" t="s"/>
    </row>
    <row r="183" spans="1:25">
      <c r="A183" s="680" t="s"/>
      <c r="B183" s="837" t="s"/>
      <c r="C183" s="837" t="s"/>
      <c r="D183" s="838" t="s"/>
      <c r="E183" s="837" t="s"/>
      <c r="F183" s="839" t="s"/>
      <c r="G183" s="839" t="s"/>
      <c r="H183" s="840" t="s"/>
      <c r="I183" s="1341" t="s"/>
      <c r="J183" s="1341" t="s"/>
      <c r="K183" s="1341" t="s"/>
      <c r="L183" s="1341" t="s"/>
      <c r="M183" s="508" t="s"/>
      <c r="N183" s="508" t="s"/>
      <c r="O183" s="508" t="s"/>
      <c r="P183" s="508" t="s"/>
      <c r="Q183" s="508" t="s"/>
      <c r="R183" s="508" t="s"/>
      <c r="S183" s="508" t="s"/>
      <c r="T183" s="508" t="s"/>
      <c r="U183" s="508" t="s"/>
      <c r="V183" s="508" t="s"/>
      <c r="W183" s="508" t="s"/>
      <c r="X183" s="508" t="s"/>
      <c r="Y183" s="508" t="s"/>
    </row>
    <row r="184" spans="1:25">
      <c r="A184" s="680" t="s"/>
      <c r="B184" s="837" t="s"/>
      <c r="C184" s="837" t="s"/>
      <c r="D184" s="838" t="s"/>
      <c r="E184" s="837" t="s"/>
      <c r="F184" s="839" t="s"/>
      <c r="G184" s="839" t="s"/>
      <c r="H184" s="840" t="s"/>
      <c r="I184" s="1341" t="s"/>
      <c r="J184" s="1341" t="s"/>
      <c r="K184" s="1341" t="s"/>
      <c r="L184" s="1341" t="s"/>
      <c r="M184" s="508" t="s"/>
      <c r="N184" s="508" t="s"/>
      <c r="O184" s="508" t="s"/>
      <c r="P184" s="508" t="s"/>
      <c r="Q184" s="508" t="s"/>
      <c r="R184" s="508" t="s"/>
      <c r="S184" s="508" t="s"/>
      <c r="T184" s="508" t="s"/>
      <c r="U184" s="508" t="s"/>
      <c r="V184" s="508" t="s"/>
      <c r="W184" s="508" t="s"/>
      <c r="X184" s="508" t="s"/>
      <c r="Y184" s="508" t="s"/>
    </row>
    <row r="185" spans="1:25">
      <c r="A185" s="680" t="s"/>
      <c r="B185" s="837" t="s"/>
      <c r="C185" s="837" t="s"/>
      <c r="D185" s="838" t="s"/>
      <c r="E185" s="837" t="s"/>
      <c r="F185" s="839" t="s"/>
      <c r="G185" s="839" t="s"/>
      <c r="H185" s="840" t="s"/>
      <c r="I185" s="1341" t="s"/>
      <c r="J185" s="1341" t="s"/>
      <c r="K185" s="1341" t="s"/>
      <c r="L185" s="1341" t="s"/>
      <c r="M185" s="508" t="s"/>
      <c r="N185" s="508" t="s"/>
      <c r="O185" s="508" t="s"/>
      <c r="P185" s="508" t="s"/>
      <c r="Q185" s="508" t="s"/>
      <c r="R185" s="508" t="s"/>
      <c r="S185" s="508" t="s"/>
      <c r="T185" s="508" t="s"/>
      <c r="U185" s="508" t="s"/>
      <c r="V185" s="508" t="s"/>
      <c r="W185" s="508" t="s"/>
      <c r="X185" s="508" t="s"/>
      <c r="Y185" s="508" t="s"/>
    </row>
    <row r="186" spans="1:25">
      <c r="A186" s="680" t="s"/>
      <c r="B186" s="837" t="s"/>
      <c r="C186" s="837" t="s"/>
      <c r="D186" s="838" t="s"/>
      <c r="E186" s="837" t="s"/>
      <c r="F186" s="839" t="s"/>
      <c r="G186" s="839" t="s"/>
      <c r="H186" s="840" t="s"/>
      <c r="I186" s="1341" t="s"/>
      <c r="J186" s="1341" t="s"/>
      <c r="K186" s="1341" t="s"/>
      <c r="L186" s="1341" t="s"/>
      <c r="M186" s="508" t="s"/>
      <c r="N186" s="508" t="s"/>
      <c r="O186" s="508" t="s"/>
      <c r="P186" s="508" t="s"/>
      <c r="Q186" s="508" t="s"/>
      <c r="R186" s="508" t="s"/>
      <c r="S186" s="508" t="s"/>
      <c r="T186" s="508" t="s"/>
      <c r="U186" s="508" t="s"/>
      <c r="V186" s="508" t="s"/>
      <c r="W186" s="508" t="s"/>
      <c r="X186" s="508" t="s"/>
      <c r="Y186" s="508" t="s"/>
    </row>
    <row r="187" spans="1:25">
      <c r="A187" s="680" t="s"/>
      <c r="B187" s="837" t="s"/>
      <c r="C187" s="837" t="s"/>
      <c r="D187" s="838" t="s"/>
      <c r="E187" s="837" t="s"/>
      <c r="F187" s="839" t="s"/>
      <c r="G187" s="839" t="s"/>
      <c r="H187" s="840" t="s"/>
      <c r="I187" s="1341" t="s"/>
      <c r="J187" s="1341" t="s"/>
      <c r="K187" s="1341" t="s"/>
      <c r="L187" s="1341" t="s"/>
      <c r="M187" s="508" t="s"/>
      <c r="N187" s="508" t="s"/>
      <c r="O187" s="508" t="s"/>
      <c r="P187" s="508" t="s"/>
      <c r="Q187" s="508" t="s"/>
      <c r="R187" s="508" t="s"/>
      <c r="S187" s="508" t="s"/>
      <c r="T187" s="508" t="s"/>
      <c r="U187" s="508" t="s"/>
      <c r="V187" s="508" t="s"/>
      <c r="W187" s="508" t="s"/>
      <c r="X187" s="508" t="s"/>
      <c r="Y187" s="508" t="s"/>
    </row>
    <row r="188" spans="1:25">
      <c r="A188" s="680" t="s"/>
      <c r="B188" s="837" t="s"/>
      <c r="C188" s="837" t="s"/>
      <c r="D188" s="838" t="s"/>
      <c r="E188" s="837" t="s"/>
      <c r="F188" s="839" t="s"/>
      <c r="G188" s="839" t="s"/>
      <c r="H188" s="840" t="s"/>
      <c r="I188" s="1341" t="s"/>
      <c r="J188" s="1341" t="s"/>
      <c r="K188" s="1341" t="s"/>
      <c r="L188" s="1341" t="s"/>
      <c r="M188" s="508" t="s"/>
      <c r="N188" s="508" t="s"/>
      <c r="O188" s="508" t="s"/>
      <c r="P188" s="508" t="s"/>
      <c r="Q188" s="508" t="s"/>
      <c r="R188" s="508" t="s"/>
      <c r="S188" s="508" t="s"/>
      <c r="T188" s="508" t="s"/>
      <c r="U188" s="508" t="s"/>
      <c r="V188" s="508" t="s"/>
      <c r="W188" s="508" t="s"/>
      <c r="X188" s="508" t="s"/>
      <c r="Y188" s="508" t="s"/>
    </row>
    <row r="189" spans="1:25">
      <c r="A189" s="680" t="s"/>
      <c r="B189" s="837" t="s"/>
      <c r="C189" s="837" t="s"/>
      <c r="D189" s="838" t="s"/>
      <c r="E189" s="837" t="s"/>
      <c r="F189" s="839" t="s"/>
      <c r="G189" s="839" t="s"/>
      <c r="H189" s="840" t="s"/>
      <c r="I189" s="1341" t="s"/>
      <c r="J189" s="1341" t="s"/>
      <c r="K189" s="1341" t="s"/>
      <c r="L189" s="1341" t="s"/>
      <c r="M189" s="508" t="s"/>
      <c r="N189" s="508" t="s"/>
      <c r="O189" s="508" t="s"/>
      <c r="P189" s="508" t="s"/>
      <c r="Q189" s="508" t="s"/>
      <c r="R189" s="508" t="s"/>
      <c r="S189" s="508" t="s"/>
      <c r="T189" s="508" t="s"/>
      <c r="U189" s="508" t="s"/>
      <c r="V189" s="508" t="s"/>
      <c r="W189" s="508" t="s"/>
      <c r="X189" s="508" t="s"/>
      <c r="Y189" s="508" t="s"/>
    </row>
    <row r="190" spans="1:25">
      <c r="A190" s="680" t="s"/>
      <c r="B190" s="837" t="s"/>
      <c r="C190" s="837" t="s"/>
      <c r="D190" s="838" t="s"/>
      <c r="E190" s="837" t="s"/>
      <c r="F190" s="839" t="s"/>
      <c r="G190" s="839" t="s"/>
      <c r="H190" s="840" t="s"/>
      <c r="I190" s="1341" t="s"/>
      <c r="J190" s="1341" t="s"/>
      <c r="K190" s="1341" t="s"/>
      <c r="L190" s="1341" t="s"/>
      <c r="M190" s="508" t="s"/>
      <c r="N190" s="508" t="s"/>
      <c r="O190" s="508" t="s"/>
      <c r="P190" s="508" t="s"/>
      <c r="Q190" s="508" t="s"/>
      <c r="R190" s="508" t="s"/>
      <c r="S190" s="508" t="s"/>
      <c r="T190" s="508" t="s"/>
      <c r="U190" s="508" t="s"/>
      <c r="V190" s="508" t="s"/>
      <c r="W190" s="508" t="s"/>
      <c r="X190" s="508" t="s"/>
      <c r="Y190" s="508" t="s"/>
    </row>
    <row r="191" spans="1:25">
      <c r="A191" s="680" t="s"/>
      <c r="B191" s="837" t="s"/>
      <c r="C191" s="837" t="s"/>
      <c r="D191" s="838" t="s"/>
      <c r="E191" s="837" t="s"/>
      <c r="F191" s="839" t="s"/>
      <c r="G191" s="839" t="s"/>
      <c r="H191" s="840" t="s"/>
      <c r="I191" s="1341" t="s"/>
      <c r="J191" s="1341" t="s"/>
      <c r="K191" s="1341" t="s"/>
      <c r="L191" s="1341" t="s"/>
      <c r="M191" s="508" t="s"/>
      <c r="N191" s="508" t="s"/>
      <c r="O191" s="508" t="s"/>
      <c r="P191" s="508" t="s"/>
      <c r="Q191" s="508" t="s"/>
      <c r="R191" s="508" t="s"/>
      <c r="S191" s="508" t="s"/>
      <c r="T191" s="508" t="s"/>
      <c r="U191" s="508" t="s"/>
      <c r="V191" s="508" t="s"/>
      <c r="W191" s="508" t="s"/>
      <c r="X191" s="508" t="s"/>
      <c r="Y191" s="508" t="s"/>
    </row>
    <row r="192" spans="1:25">
      <c r="A192" s="680" t="s"/>
      <c r="B192" s="837" t="s"/>
      <c r="C192" s="837" t="s"/>
      <c r="D192" s="838" t="s"/>
      <c r="E192" s="837" t="s"/>
      <c r="F192" s="839" t="s"/>
      <c r="G192" s="839" t="s"/>
      <c r="H192" s="840" t="s"/>
      <c r="I192" s="1341" t="s"/>
      <c r="J192" s="1341" t="s"/>
      <c r="K192" s="1341" t="s"/>
      <c r="L192" s="1341" t="s"/>
      <c r="M192" s="508" t="s"/>
      <c r="N192" s="508" t="s"/>
      <c r="O192" s="508" t="s"/>
      <c r="P192" s="508" t="s"/>
      <c r="Q192" s="508" t="s"/>
      <c r="R192" s="508" t="s"/>
      <c r="S192" s="508" t="s"/>
      <c r="T192" s="508" t="s"/>
      <c r="U192" s="508" t="s"/>
      <c r="V192" s="508" t="s"/>
      <c r="W192" s="508" t="s"/>
      <c r="X192" s="508" t="s"/>
      <c r="Y192" s="508" t="s"/>
    </row>
    <row r="193" spans="1:25">
      <c r="A193" s="680" t="s"/>
      <c r="B193" s="837" t="s"/>
      <c r="C193" s="837" t="s"/>
      <c r="D193" s="838" t="s"/>
      <c r="E193" s="837" t="s"/>
      <c r="F193" s="839" t="s"/>
      <c r="G193" s="839" t="s"/>
      <c r="H193" s="840" t="s"/>
      <c r="I193" s="1341" t="s"/>
      <c r="J193" s="1341" t="s"/>
      <c r="K193" s="1341" t="s"/>
      <c r="L193" s="1341" t="s"/>
      <c r="M193" s="508" t="s"/>
      <c r="N193" s="508" t="s"/>
      <c r="O193" s="508" t="s"/>
      <c r="P193" s="508" t="s"/>
      <c r="Q193" s="508" t="s"/>
      <c r="R193" s="508" t="s"/>
      <c r="S193" s="508" t="s"/>
      <c r="T193" s="508" t="s"/>
      <c r="U193" s="508" t="s"/>
      <c r="V193" s="508" t="s"/>
      <c r="W193" s="508" t="s"/>
      <c r="X193" s="508" t="s"/>
      <c r="Y193" s="508" t="s"/>
    </row>
    <row r="194" spans="1:25">
      <c r="A194" s="680" t="s"/>
      <c r="B194" s="837" t="s"/>
      <c r="C194" s="837" t="s"/>
      <c r="D194" s="838" t="s"/>
      <c r="E194" s="837" t="s"/>
      <c r="F194" s="839" t="s"/>
      <c r="G194" s="839" t="s"/>
      <c r="H194" s="840" t="s"/>
      <c r="I194" s="1341" t="s"/>
      <c r="J194" s="1341" t="s"/>
      <c r="K194" s="1341" t="s"/>
      <c r="L194" s="1341" t="s"/>
      <c r="M194" s="508" t="s"/>
      <c r="N194" s="508" t="s"/>
      <c r="O194" s="508" t="s"/>
      <c r="P194" s="508" t="s"/>
      <c r="Q194" s="508" t="s"/>
      <c r="R194" s="508" t="s"/>
      <c r="S194" s="508" t="s"/>
      <c r="T194" s="508" t="s"/>
      <c r="U194" s="508" t="s"/>
      <c r="V194" s="508" t="s"/>
      <c r="W194" s="508" t="s"/>
      <c r="X194" s="508" t="s"/>
      <c r="Y194" s="508" t="s"/>
    </row>
    <row r="195" spans="1:25">
      <c r="A195" s="680" t="s"/>
      <c r="B195" s="837" t="s"/>
      <c r="C195" s="837" t="s"/>
      <c r="D195" s="838" t="s"/>
      <c r="E195" s="837" t="s"/>
      <c r="F195" s="839" t="s"/>
      <c r="G195" s="839" t="s"/>
      <c r="H195" s="840" t="s"/>
      <c r="I195" s="1341" t="s"/>
      <c r="J195" s="1341" t="s"/>
      <c r="K195" s="1341" t="s"/>
      <c r="L195" s="1341" t="s"/>
      <c r="M195" s="508" t="s"/>
      <c r="N195" s="508" t="s"/>
      <c r="O195" s="508" t="s"/>
      <c r="P195" s="508" t="s"/>
      <c r="Q195" s="508" t="s"/>
      <c r="R195" s="508" t="s"/>
      <c r="S195" s="508" t="s"/>
      <c r="T195" s="508" t="s"/>
      <c r="U195" s="508" t="s"/>
      <c r="V195" s="508" t="s"/>
      <c r="W195" s="508" t="s"/>
      <c r="X195" s="508" t="s"/>
      <c r="Y195" s="508" t="s"/>
    </row>
    <row r="196" spans="1:25">
      <c r="A196" s="680" t="s"/>
      <c r="B196" s="837" t="s"/>
      <c r="C196" s="837" t="s"/>
      <c r="D196" s="838" t="s"/>
      <c r="E196" s="837" t="s"/>
      <c r="F196" s="839" t="s"/>
      <c r="G196" s="839" t="s"/>
      <c r="H196" s="840" t="s"/>
      <c r="I196" s="1341" t="s"/>
      <c r="J196" s="1341" t="s"/>
      <c r="K196" s="1341" t="s"/>
      <c r="L196" s="1341" t="s"/>
      <c r="M196" s="508" t="s"/>
      <c r="N196" s="508" t="s"/>
      <c r="O196" s="508" t="s"/>
      <c r="P196" s="508" t="s"/>
      <c r="Q196" s="508" t="s"/>
      <c r="R196" s="508" t="s"/>
      <c r="S196" s="508" t="s"/>
      <c r="T196" s="508" t="s"/>
      <c r="U196" s="508" t="s"/>
      <c r="V196" s="508" t="s"/>
      <c r="W196" s="508" t="s"/>
      <c r="X196" s="508" t="s"/>
      <c r="Y196" s="508" t="s"/>
    </row>
    <row r="197" spans="1:25">
      <c r="A197" s="680" t="s"/>
      <c r="B197" s="837" t="s"/>
      <c r="C197" s="837" t="s"/>
      <c r="D197" s="838" t="s"/>
      <c r="E197" s="837" t="s"/>
      <c r="F197" s="839" t="s"/>
      <c r="G197" s="839" t="s"/>
      <c r="H197" s="840" t="s"/>
      <c r="I197" s="1341" t="s"/>
      <c r="J197" s="1341" t="s"/>
      <c r="K197" s="1341" t="s"/>
      <c r="L197" s="1341" t="s"/>
      <c r="M197" s="508" t="s"/>
      <c r="N197" s="508" t="s"/>
      <c r="O197" s="508" t="s"/>
      <c r="P197" s="508" t="s"/>
      <c r="Q197" s="508" t="s"/>
      <c r="R197" s="508" t="s"/>
      <c r="S197" s="508" t="s"/>
      <c r="T197" s="508" t="s"/>
      <c r="U197" s="508" t="s"/>
      <c r="V197" s="508" t="s"/>
      <c r="W197" s="508" t="s"/>
      <c r="X197" s="508" t="s"/>
      <c r="Y197" s="508" t="s"/>
    </row>
    <row r="198" spans="1:25">
      <c r="A198" s="680" t="s"/>
      <c r="B198" s="837" t="s"/>
      <c r="C198" s="837" t="s"/>
      <c r="D198" s="838" t="s"/>
      <c r="E198" s="837" t="s"/>
      <c r="F198" s="839" t="s"/>
      <c r="G198" s="839" t="s"/>
      <c r="H198" s="840" t="s"/>
      <c r="I198" s="1341" t="s"/>
      <c r="J198" s="1341" t="s"/>
      <c r="K198" s="1341" t="s"/>
      <c r="L198" s="1341" t="s"/>
      <c r="M198" s="508" t="s"/>
      <c r="N198" s="508" t="s"/>
      <c r="O198" s="508" t="s"/>
      <c r="P198" s="508" t="s"/>
      <c r="Q198" s="508" t="s"/>
      <c r="R198" s="508" t="s"/>
      <c r="S198" s="508" t="s"/>
      <c r="T198" s="508" t="s"/>
      <c r="U198" s="508" t="s"/>
      <c r="V198" s="508" t="s"/>
      <c r="W198" s="508" t="s"/>
      <c r="X198" s="508" t="s"/>
      <c r="Y198" s="508" t="s"/>
    </row>
    <row r="199" spans="1:25">
      <c r="A199" s="680" t="s"/>
      <c r="B199" s="837" t="s"/>
      <c r="C199" s="837" t="s"/>
      <c r="D199" s="838" t="s"/>
      <c r="E199" s="837" t="s"/>
      <c r="F199" s="839" t="s"/>
      <c r="G199" s="839" t="s"/>
      <c r="H199" s="840" t="s"/>
      <c r="I199" s="1341" t="s"/>
      <c r="J199" s="1341" t="s"/>
      <c r="K199" s="1341" t="s"/>
      <c r="L199" s="1341" t="s"/>
      <c r="M199" s="508" t="s"/>
      <c r="N199" s="508" t="s"/>
      <c r="O199" s="508" t="s"/>
      <c r="P199" s="508" t="s"/>
      <c r="Q199" s="508" t="s"/>
      <c r="R199" s="508" t="s"/>
      <c r="S199" s="508" t="s"/>
      <c r="T199" s="508" t="s"/>
      <c r="U199" s="508" t="s"/>
      <c r="V199" s="508" t="s"/>
      <c r="W199" s="508" t="s"/>
      <c r="X199" s="508" t="s"/>
      <c r="Y199" s="508" t="s"/>
    </row>
    <row r="200" spans="1:25">
      <c r="A200" s="680" t="s"/>
      <c r="B200" s="837" t="s"/>
      <c r="C200" s="837" t="s"/>
      <c r="D200" s="838" t="s"/>
      <c r="E200" s="837" t="s"/>
      <c r="F200" s="839" t="s"/>
      <c r="G200" s="839" t="s"/>
      <c r="H200" s="840" t="s"/>
      <c r="I200" s="1341" t="s"/>
      <c r="J200" s="1341" t="s"/>
      <c r="K200" s="1341" t="s"/>
      <c r="L200" s="1341" t="s"/>
      <c r="M200" s="508" t="s"/>
      <c r="N200" s="508" t="s"/>
      <c r="O200" s="508" t="s"/>
      <c r="P200" s="508" t="s"/>
      <c r="Q200" s="508" t="s"/>
      <c r="R200" s="508" t="s"/>
      <c r="S200" s="508" t="s"/>
      <c r="T200" s="508" t="s"/>
      <c r="U200" s="508" t="s"/>
      <c r="V200" s="508" t="s"/>
      <c r="W200" s="508" t="s"/>
      <c r="X200" s="508" t="s"/>
      <c r="Y200" s="508" t="s"/>
    </row>
    <row r="201" spans="1:25">
      <c r="A201" s="680" t="s"/>
      <c r="B201" s="837" t="s"/>
      <c r="C201" s="837" t="s"/>
      <c r="D201" s="838" t="s"/>
      <c r="E201" s="837" t="s"/>
      <c r="F201" s="839" t="s"/>
      <c r="G201" s="839" t="s"/>
      <c r="H201" s="840" t="s"/>
      <c r="I201" s="1341" t="s"/>
      <c r="J201" s="1341" t="s"/>
      <c r="K201" s="1341" t="s"/>
      <c r="L201" s="1341" t="s"/>
      <c r="M201" s="508" t="s"/>
      <c r="N201" s="508" t="s"/>
      <c r="O201" s="508" t="s"/>
      <c r="P201" s="508" t="s"/>
      <c r="Q201" s="508" t="s"/>
      <c r="R201" s="508" t="s"/>
      <c r="S201" s="508" t="s"/>
      <c r="T201" s="508" t="s"/>
      <c r="U201" s="508" t="s"/>
      <c r="V201" s="508" t="s"/>
      <c r="W201" s="508" t="s"/>
      <c r="X201" s="508" t="s"/>
      <c r="Y201" s="508" t="s"/>
    </row>
    <row r="202" spans="1:25">
      <c r="A202" s="680" t="s"/>
      <c r="B202" s="837" t="s"/>
      <c r="C202" s="837" t="s"/>
      <c r="D202" s="838" t="s"/>
      <c r="E202" s="837" t="s"/>
      <c r="F202" s="839" t="s"/>
      <c r="G202" s="839" t="s"/>
      <c r="H202" s="840" t="s"/>
      <c r="I202" s="1341" t="s"/>
      <c r="J202" s="1341" t="s"/>
      <c r="K202" s="1341" t="s"/>
      <c r="L202" s="1341" t="s"/>
      <c r="M202" s="508" t="s"/>
      <c r="N202" s="508" t="s"/>
      <c r="O202" s="508" t="s"/>
      <c r="P202" s="508" t="s"/>
      <c r="Q202" s="508" t="s"/>
      <c r="R202" s="508" t="s"/>
      <c r="S202" s="508" t="s"/>
      <c r="T202" s="508" t="s"/>
      <c r="U202" s="508" t="s"/>
      <c r="V202" s="508" t="s"/>
      <c r="W202" s="508" t="s"/>
      <c r="X202" s="508" t="s"/>
      <c r="Y202" s="508" t="s"/>
    </row>
    <row r="203" spans="1:25">
      <c r="A203" s="680" t="s"/>
      <c r="B203" s="837" t="s"/>
      <c r="C203" s="837" t="s"/>
      <c r="D203" s="838" t="s"/>
      <c r="E203" s="837" t="s"/>
      <c r="F203" s="839" t="s"/>
      <c r="G203" s="839" t="s"/>
      <c r="H203" s="840" t="s"/>
      <c r="I203" s="1341" t="s"/>
      <c r="J203" s="1341" t="s"/>
      <c r="K203" s="1341" t="s"/>
      <c r="L203" s="1341" t="s"/>
      <c r="M203" s="508" t="s"/>
      <c r="N203" s="508" t="s"/>
      <c r="O203" s="508" t="s"/>
      <c r="P203" s="508" t="s"/>
      <c r="Q203" s="508" t="s"/>
      <c r="R203" s="508" t="s"/>
      <c r="S203" s="508" t="s"/>
      <c r="T203" s="508" t="s"/>
      <c r="U203" s="508" t="s"/>
      <c r="V203" s="508" t="s"/>
      <c r="W203" s="508" t="s"/>
      <c r="X203" s="508" t="s"/>
      <c r="Y203" s="508" t="s"/>
    </row>
    <row r="204" spans="1:25">
      <c r="A204" s="680" t="s"/>
      <c r="B204" s="837" t="s"/>
      <c r="C204" s="837" t="s"/>
      <c r="D204" s="838" t="s"/>
      <c r="E204" s="837" t="s"/>
      <c r="F204" s="839" t="s"/>
      <c r="G204" s="839" t="s"/>
      <c r="H204" s="840" t="s"/>
      <c r="I204" s="1341" t="s"/>
      <c r="J204" s="1341" t="s"/>
      <c r="K204" s="1341" t="s"/>
      <c r="L204" s="1341" t="s"/>
      <c r="M204" s="508" t="s"/>
      <c r="N204" s="508" t="s"/>
      <c r="O204" s="508" t="s"/>
      <c r="P204" s="508" t="s"/>
      <c r="Q204" s="508" t="s"/>
      <c r="R204" s="508" t="s"/>
      <c r="S204" s="508" t="s"/>
      <c r="T204" s="508" t="s"/>
      <c r="U204" s="508" t="s"/>
      <c r="V204" s="508" t="s"/>
      <c r="W204" s="508" t="s"/>
      <c r="X204" s="508" t="s"/>
      <c r="Y204" s="508" t="s"/>
    </row>
    <row r="205" spans="1:25">
      <c r="A205" s="680" t="s"/>
      <c r="B205" s="837" t="s"/>
      <c r="C205" s="837" t="s"/>
      <c r="D205" s="838" t="s"/>
      <c r="E205" s="837" t="s"/>
      <c r="F205" s="839" t="s"/>
      <c r="G205" s="839" t="s"/>
      <c r="H205" s="840" t="s"/>
      <c r="I205" s="1341" t="s"/>
      <c r="J205" s="1341" t="s"/>
      <c r="K205" s="1341" t="s"/>
      <c r="L205" s="1341" t="s"/>
      <c r="M205" s="508" t="s"/>
      <c r="N205" s="508" t="s"/>
      <c r="O205" s="508" t="s"/>
      <c r="P205" s="508" t="s"/>
      <c r="Q205" s="508" t="s"/>
      <c r="R205" s="508" t="s"/>
      <c r="S205" s="508" t="s"/>
      <c r="T205" s="508" t="s"/>
      <c r="U205" s="508" t="s"/>
      <c r="V205" s="508" t="s"/>
      <c r="W205" s="508" t="s"/>
      <c r="X205" s="508" t="s"/>
      <c r="Y205" s="508" t="s"/>
    </row>
    <row r="206" spans="1:25">
      <c r="A206" s="680" t="s"/>
      <c r="B206" s="837" t="s"/>
      <c r="C206" s="837" t="s"/>
      <c r="D206" s="838" t="s"/>
      <c r="E206" s="837" t="s"/>
      <c r="F206" s="839" t="s"/>
      <c r="G206" s="839" t="s"/>
      <c r="H206" s="840" t="s"/>
      <c r="I206" s="1341" t="s"/>
      <c r="J206" s="1341" t="s"/>
      <c r="K206" s="1341" t="s"/>
      <c r="L206" s="1341" t="s"/>
      <c r="M206" s="508" t="s"/>
      <c r="N206" s="508" t="s"/>
      <c r="O206" s="508" t="s"/>
      <c r="P206" s="508" t="s"/>
      <c r="Q206" s="508" t="s"/>
      <c r="R206" s="508" t="s"/>
      <c r="S206" s="508" t="s"/>
      <c r="T206" s="508" t="s"/>
      <c r="U206" s="508" t="s"/>
      <c r="V206" s="508" t="s"/>
      <c r="W206" s="508" t="s"/>
      <c r="X206" s="508" t="s"/>
      <c r="Y206" s="508" t="s"/>
    </row>
    <row r="207" spans="1:25">
      <c r="A207" s="680" t="s"/>
      <c r="B207" s="837" t="s"/>
      <c r="C207" s="837" t="s"/>
      <c r="D207" s="838" t="s"/>
      <c r="E207" s="837" t="s"/>
      <c r="F207" s="839" t="s"/>
      <c r="G207" s="839" t="s"/>
      <c r="H207" s="840" t="s"/>
      <c r="I207" s="1341" t="s"/>
      <c r="J207" s="1341" t="s"/>
      <c r="K207" s="1341" t="s"/>
      <c r="L207" s="1341" t="s"/>
      <c r="M207" s="508" t="s"/>
      <c r="N207" s="508" t="s"/>
      <c r="O207" s="508" t="s"/>
      <c r="P207" s="508" t="s"/>
      <c r="Q207" s="508" t="s"/>
      <c r="R207" s="508" t="s"/>
      <c r="S207" s="508" t="s"/>
      <c r="T207" s="508" t="s"/>
      <c r="U207" s="508" t="s"/>
      <c r="V207" s="508" t="s"/>
      <c r="W207" s="508" t="s"/>
      <c r="X207" s="508" t="s"/>
      <c r="Y207" s="508" t="s"/>
    </row>
    <row r="208" spans="1:25">
      <c r="A208" s="680" t="s"/>
      <c r="B208" s="837" t="s"/>
      <c r="C208" s="837" t="s"/>
      <c r="D208" s="838" t="s"/>
      <c r="E208" s="837" t="s"/>
      <c r="F208" s="839" t="s"/>
      <c r="G208" s="839" t="s"/>
      <c r="H208" s="840" t="s"/>
      <c r="I208" s="1341" t="s"/>
      <c r="J208" s="1341" t="s"/>
      <c r="K208" s="1341" t="s"/>
      <c r="L208" s="1341" t="s"/>
      <c r="M208" s="508" t="s"/>
      <c r="N208" s="508" t="s"/>
      <c r="O208" s="508" t="s"/>
      <c r="P208" s="508" t="s"/>
      <c r="Q208" s="508" t="s"/>
      <c r="R208" s="508" t="s"/>
      <c r="S208" s="508" t="s"/>
      <c r="T208" s="508" t="s"/>
      <c r="U208" s="508" t="s"/>
      <c r="V208" s="508" t="s"/>
      <c r="W208" s="508" t="s"/>
      <c r="X208" s="508" t="s"/>
      <c r="Y208" s="508" t="s"/>
    </row>
    <row r="209" spans="1:25">
      <c r="A209" s="680" t="s"/>
      <c r="B209" s="837" t="s"/>
      <c r="C209" s="837" t="s"/>
      <c r="D209" s="838" t="s"/>
      <c r="E209" s="837" t="s"/>
      <c r="F209" s="839" t="s"/>
      <c r="G209" s="839" t="s"/>
      <c r="H209" s="840" t="s"/>
      <c r="I209" s="1341" t="s"/>
      <c r="J209" s="1341" t="s"/>
      <c r="K209" s="1341" t="s"/>
      <c r="L209" s="1341" t="s"/>
      <c r="M209" s="508" t="s"/>
      <c r="N209" s="508" t="s"/>
      <c r="O209" s="508" t="s"/>
      <c r="P209" s="508" t="s"/>
      <c r="Q209" s="508" t="s"/>
      <c r="R209" s="508" t="s"/>
      <c r="S209" s="508" t="s"/>
      <c r="T209" s="508" t="s"/>
      <c r="U209" s="508" t="s"/>
      <c r="V209" s="508" t="s"/>
      <c r="W209" s="508" t="s"/>
      <c r="X209" s="508" t="s"/>
      <c r="Y209" s="508" t="s"/>
    </row>
    <row r="210" spans="1:25">
      <c r="A210" s="680" t="s"/>
      <c r="B210" s="837" t="s"/>
      <c r="C210" s="837" t="s"/>
      <c r="D210" s="838" t="s"/>
      <c r="E210" s="837" t="s"/>
      <c r="F210" s="839" t="s"/>
      <c r="G210" s="839" t="s"/>
      <c r="H210" s="840" t="s"/>
      <c r="I210" s="1341" t="s"/>
      <c r="J210" s="1341" t="s"/>
      <c r="K210" s="1341" t="s"/>
      <c r="L210" s="1341" t="s"/>
      <c r="M210" s="508" t="s"/>
      <c r="N210" s="508" t="s"/>
      <c r="O210" s="508" t="s"/>
      <c r="P210" s="508" t="s"/>
      <c r="Q210" s="508" t="s"/>
      <c r="R210" s="508" t="s"/>
      <c r="S210" s="508" t="s"/>
      <c r="T210" s="508" t="s"/>
      <c r="U210" s="508" t="s"/>
      <c r="V210" s="508" t="s"/>
      <c r="W210" s="508" t="s"/>
      <c r="X210" s="508" t="s"/>
      <c r="Y210" s="508" t="s"/>
    </row>
    <row r="211" spans="1:25">
      <c r="A211" s="680" t="s"/>
      <c r="B211" s="837" t="s"/>
      <c r="C211" s="837" t="s"/>
      <c r="D211" s="838" t="s"/>
      <c r="E211" s="837" t="s"/>
      <c r="F211" s="839" t="s"/>
      <c r="G211" s="839" t="s"/>
      <c r="H211" s="840" t="s"/>
      <c r="I211" s="1341" t="s"/>
      <c r="J211" s="1341" t="s"/>
      <c r="K211" s="1341" t="s"/>
      <c r="L211" s="1341" t="s"/>
      <c r="M211" s="508" t="s"/>
      <c r="N211" s="508" t="s"/>
      <c r="O211" s="508" t="s"/>
      <c r="P211" s="508" t="s"/>
      <c r="Q211" s="508" t="s"/>
      <c r="R211" s="508" t="s"/>
      <c r="S211" s="508" t="s"/>
      <c r="T211" s="508" t="s"/>
      <c r="U211" s="508" t="s"/>
      <c r="V211" s="508" t="s"/>
      <c r="W211" s="508" t="s"/>
      <c r="X211" s="508" t="s"/>
      <c r="Y211" s="508" t="s"/>
    </row>
    <row r="212" spans="1:25">
      <c r="A212" s="680" t="s"/>
      <c r="B212" s="837" t="s"/>
      <c r="C212" s="837" t="s"/>
      <c r="D212" s="838" t="s"/>
      <c r="E212" s="837" t="s"/>
      <c r="F212" s="839" t="s"/>
      <c r="G212" s="839" t="s"/>
      <c r="H212" s="840" t="s"/>
      <c r="I212" s="1341" t="s"/>
      <c r="J212" s="1341" t="s"/>
      <c r="K212" s="1341" t="s"/>
      <c r="L212" s="1341" t="s"/>
      <c r="M212" s="508" t="s"/>
      <c r="N212" s="508" t="s"/>
      <c r="O212" s="508" t="s"/>
      <c r="P212" s="508" t="s"/>
      <c r="Q212" s="508" t="s"/>
      <c r="R212" s="508" t="s"/>
      <c r="S212" s="508" t="s"/>
      <c r="T212" s="508" t="s"/>
      <c r="U212" s="508" t="s"/>
      <c r="V212" s="508" t="s"/>
      <c r="W212" s="508" t="s"/>
      <c r="X212" s="508" t="s"/>
      <c r="Y212" s="508" t="s"/>
    </row>
    <row r="213" spans="1:25">
      <c r="A213" s="680" t="s"/>
      <c r="B213" s="837" t="s"/>
      <c r="C213" s="837" t="s"/>
      <c r="D213" s="838" t="s"/>
      <c r="E213" s="837" t="s"/>
      <c r="F213" s="839" t="s"/>
      <c r="G213" s="839" t="s"/>
      <c r="H213" s="840" t="s"/>
      <c r="I213" s="1341" t="s"/>
      <c r="J213" s="1341" t="s"/>
      <c r="K213" s="1341" t="s"/>
      <c r="L213" s="1341" t="s"/>
      <c r="M213" s="508" t="s"/>
      <c r="N213" s="508" t="s"/>
      <c r="O213" s="508" t="s"/>
      <c r="P213" s="508" t="s"/>
      <c r="Q213" s="508" t="s"/>
      <c r="R213" s="508" t="s"/>
      <c r="S213" s="508" t="s"/>
      <c r="T213" s="508" t="s"/>
      <c r="U213" s="508" t="s"/>
      <c r="V213" s="508" t="s"/>
      <c r="W213" s="508" t="s"/>
      <c r="X213" s="508" t="s"/>
      <c r="Y213" s="508" t="s"/>
    </row>
    <row r="214" spans="1:25">
      <c r="A214" s="680" t="s"/>
      <c r="B214" s="837" t="s"/>
      <c r="C214" s="837" t="s"/>
      <c r="D214" s="838" t="s"/>
      <c r="E214" s="837" t="s"/>
      <c r="F214" s="839" t="s"/>
      <c r="G214" s="839" t="s"/>
      <c r="H214" s="840" t="s"/>
      <c r="I214" s="1341" t="s"/>
      <c r="J214" s="1341" t="s"/>
      <c r="K214" s="1341" t="s"/>
      <c r="L214" s="1341" t="s"/>
      <c r="M214" s="508" t="s"/>
      <c r="N214" s="508" t="s"/>
      <c r="O214" s="508" t="s"/>
      <c r="P214" s="508" t="s"/>
      <c r="Q214" s="508" t="s"/>
      <c r="R214" s="508" t="s"/>
      <c r="S214" s="508" t="s"/>
      <c r="T214" s="508" t="s"/>
      <c r="U214" s="508" t="s"/>
      <c r="V214" s="508" t="s"/>
      <c r="W214" s="508" t="s"/>
      <c r="X214" s="508" t="s"/>
      <c r="Y214" s="508" t="s"/>
    </row>
    <row r="215" spans="1:25">
      <c r="A215" s="680" t="s"/>
      <c r="B215" s="837" t="s"/>
      <c r="C215" s="837" t="s"/>
      <c r="D215" s="838" t="s"/>
      <c r="E215" s="837" t="s"/>
      <c r="F215" s="839" t="s"/>
      <c r="G215" s="839" t="s"/>
      <c r="H215" s="840" t="s"/>
      <c r="I215" s="1341" t="s"/>
      <c r="J215" s="1341" t="s"/>
      <c r="K215" s="1341" t="s"/>
      <c r="L215" s="1341" t="s"/>
      <c r="M215" s="508" t="s"/>
      <c r="N215" s="508" t="s"/>
      <c r="O215" s="508" t="s"/>
      <c r="P215" s="508" t="s"/>
      <c r="Q215" s="508" t="s"/>
      <c r="R215" s="508" t="s"/>
      <c r="S215" s="508" t="s"/>
      <c r="T215" s="508" t="s"/>
      <c r="U215" s="508" t="s"/>
      <c r="V215" s="508" t="s"/>
      <c r="W215" s="508" t="s"/>
      <c r="X215" s="508" t="s"/>
      <c r="Y215" s="508" t="s"/>
    </row>
    <row r="216" spans="1:25">
      <c r="A216" s="680" t="s"/>
      <c r="B216" s="837" t="s"/>
      <c r="C216" s="837" t="s"/>
      <c r="D216" s="838" t="s"/>
      <c r="E216" s="837" t="s"/>
      <c r="F216" s="839" t="s"/>
      <c r="G216" s="839" t="s"/>
      <c r="H216" s="840" t="s"/>
      <c r="I216" s="1341" t="s"/>
      <c r="J216" s="1341" t="s"/>
      <c r="K216" s="1341" t="s"/>
      <c r="L216" s="1341" t="s"/>
      <c r="M216" s="508" t="s"/>
      <c r="N216" s="508" t="s"/>
      <c r="O216" s="508" t="s"/>
      <c r="P216" s="508" t="s"/>
      <c r="Q216" s="508" t="s"/>
      <c r="R216" s="508" t="s"/>
      <c r="S216" s="508" t="s"/>
      <c r="T216" s="508" t="s"/>
      <c r="U216" s="508" t="s"/>
      <c r="V216" s="508" t="s"/>
      <c r="W216" s="508" t="s"/>
      <c r="X216" s="508" t="s"/>
      <c r="Y216" s="508" t="s"/>
    </row>
    <row r="217" spans="1:25">
      <c r="A217" s="680" t="s"/>
      <c r="B217" s="837" t="s"/>
      <c r="C217" s="837" t="s"/>
      <c r="D217" s="838" t="s"/>
      <c r="E217" s="837" t="s"/>
      <c r="F217" s="839" t="s"/>
      <c r="G217" s="839" t="s"/>
      <c r="H217" s="840" t="s"/>
      <c r="I217" s="1341" t="s"/>
      <c r="J217" s="1341" t="s"/>
      <c r="K217" s="1341" t="s"/>
      <c r="L217" s="1341" t="s"/>
      <c r="M217" s="508" t="s"/>
      <c r="N217" s="508" t="s"/>
      <c r="O217" s="508" t="s"/>
      <c r="P217" s="508" t="s"/>
      <c r="Q217" s="508" t="s"/>
      <c r="R217" s="508" t="s"/>
      <c r="S217" s="508" t="s"/>
      <c r="T217" s="508" t="s"/>
      <c r="U217" s="508" t="s"/>
      <c r="V217" s="508" t="s"/>
      <c r="W217" s="508" t="s"/>
      <c r="X217" s="508" t="s"/>
      <c r="Y217" s="508" t="s"/>
    </row>
    <row r="218" spans="1:25">
      <c r="A218" s="680" t="s"/>
      <c r="B218" s="837" t="s"/>
      <c r="C218" s="837" t="s"/>
      <c r="D218" s="838" t="s"/>
      <c r="E218" s="837" t="s"/>
      <c r="F218" s="839" t="s"/>
      <c r="G218" s="839" t="s"/>
      <c r="H218" s="840" t="s"/>
      <c r="I218" s="1341" t="s"/>
      <c r="J218" s="1341" t="s"/>
      <c r="K218" s="1341" t="s"/>
      <c r="L218" s="1341" t="s"/>
      <c r="M218" s="508" t="s"/>
      <c r="N218" s="508" t="s"/>
      <c r="O218" s="508" t="s"/>
      <c r="P218" s="508" t="s"/>
      <c r="Q218" s="508" t="s"/>
      <c r="R218" s="508" t="s"/>
      <c r="S218" s="508" t="s"/>
      <c r="T218" s="508" t="s"/>
      <c r="U218" s="508" t="s"/>
      <c r="V218" s="508" t="s"/>
      <c r="W218" s="508" t="s"/>
      <c r="X218" s="508" t="s"/>
      <c r="Y218" s="508" t="s"/>
    </row>
    <row r="219" spans="1:25">
      <c r="A219" s="680" t="s"/>
      <c r="B219" s="837" t="s"/>
      <c r="C219" s="837" t="s"/>
      <c r="D219" s="838" t="s"/>
      <c r="E219" s="837" t="s"/>
      <c r="F219" s="839" t="s"/>
      <c r="G219" s="839" t="s"/>
      <c r="H219" s="840" t="s"/>
      <c r="I219" s="1341" t="s"/>
      <c r="J219" s="1341" t="s"/>
      <c r="K219" s="1341" t="s"/>
      <c r="L219" s="1341" t="s"/>
      <c r="M219" s="508" t="s"/>
      <c r="N219" s="508" t="s"/>
      <c r="O219" s="508" t="s"/>
      <c r="P219" s="508" t="s"/>
      <c r="Q219" s="508" t="s"/>
      <c r="R219" s="508" t="s"/>
      <c r="S219" s="508" t="s"/>
      <c r="T219" s="508" t="s"/>
      <c r="U219" s="508" t="s"/>
      <c r="V219" s="508" t="s"/>
      <c r="W219" s="508" t="s"/>
      <c r="X219" s="508" t="s"/>
      <c r="Y219" s="508" t="s"/>
    </row>
    <row r="220" spans="1:25">
      <c r="A220" s="680" t="s"/>
      <c r="B220" s="837" t="s"/>
      <c r="C220" s="837" t="s"/>
      <c r="D220" s="838" t="s"/>
      <c r="E220" s="837" t="s"/>
      <c r="F220" s="839" t="s"/>
      <c r="G220" s="839" t="s"/>
      <c r="H220" s="840" t="s"/>
      <c r="I220" s="1341" t="s"/>
      <c r="J220" s="1341" t="s"/>
      <c r="K220" s="1341" t="s"/>
      <c r="L220" s="1341" t="s"/>
      <c r="M220" s="508" t="s"/>
      <c r="N220" s="508" t="s"/>
      <c r="O220" s="508" t="s"/>
      <c r="P220" s="508" t="s"/>
      <c r="Q220" s="508" t="s"/>
      <c r="R220" s="508" t="s"/>
      <c r="S220" s="508" t="s"/>
      <c r="T220" s="508" t="s"/>
      <c r="U220" s="508" t="s"/>
      <c r="V220" s="508" t="s"/>
      <c r="W220" s="508" t="s"/>
      <c r="X220" s="508" t="s"/>
      <c r="Y220" s="508" t="s"/>
    </row>
    <row r="221" spans="1:25">
      <c r="A221" s="680" t="s"/>
      <c r="B221" s="837" t="s"/>
      <c r="C221" s="837" t="s"/>
      <c r="D221" s="838" t="s"/>
      <c r="E221" s="837" t="s"/>
      <c r="F221" s="839" t="s"/>
      <c r="G221" s="839" t="s"/>
      <c r="H221" s="840" t="s"/>
      <c r="I221" s="1341" t="s"/>
      <c r="J221" s="1341" t="s"/>
      <c r="K221" s="1341" t="s"/>
      <c r="L221" s="1341" t="s"/>
      <c r="M221" s="508" t="s"/>
      <c r="N221" s="508" t="s"/>
      <c r="O221" s="508" t="s"/>
      <c r="P221" s="508" t="s"/>
      <c r="Q221" s="508" t="s"/>
      <c r="R221" s="508" t="s"/>
      <c r="S221" s="508" t="s"/>
      <c r="T221" s="508" t="s"/>
      <c r="U221" s="508" t="s"/>
      <c r="V221" s="508" t="s"/>
      <c r="W221" s="508" t="s"/>
      <c r="X221" s="508" t="s"/>
      <c r="Y221" s="508" t="s"/>
    </row>
    <row r="222" spans="1:25">
      <c r="A222" s="680" t="s"/>
      <c r="B222" s="837" t="s"/>
      <c r="C222" s="837" t="s"/>
      <c r="D222" s="838" t="s"/>
      <c r="E222" s="837" t="s"/>
      <c r="F222" s="839" t="s"/>
      <c r="G222" s="839" t="s"/>
      <c r="H222" s="840" t="s"/>
      <c r="I222" s="1341" t="s"/>
      <c r="J222" s="1341" t="s"/>
      <c r="K222" s="1341" t="s"/>
      <c r="L222" s="1341" t="s"/>
      <c r="M222" s="508" t="s"/>
      <c r="N222" s="508" t="s"/>
      <c r="O222" s="508" t="s"/>
      <c r="P222" s="508" t="s"/>
      <c r="Q222" s="508" t="s"/>
      <c r="R222" s="508" t="s"/>
      <c r="S222" s="508" t="s"/>
      <c r="T222" s="508" t="s"/>
      <c r="U222" s="508" t="s"/>
      <c r="V222" s="508" t="s"/>
      <c r="W222" s="508" t="s"/>
      <c r="X222" s="508" t="s"/>
      <c r="Y222" s="508" t="s"/>
    </row>
    <row r="223" spans="1:25">
      <c r="A223" s="680" t="s"/>
      <c r="B223" s="837" t="s"/>
      <c r="C223" s="837" t="s"/>
      <c r="D223" s="838" t="s"/>
      <c r="E223" s="837" t="s"/>
      <c r="F223" s="839" t="s"/>
      <c r="G223" s="839" t="s"/>
      <c r="H223" s="840" t="s"/>
      <c r="I223" s="1341" t="s"/>
      <c r="J223" s="1341" t="s"/>
      <c r="K223" s="1341" t="s"/>
      <c r="L223" s="1341" t="s"/>
      <c r="M223" s="508" t="s"/>
      <c r="N223" s="508" t="s"/>
      <c r="O223" s="508" t="s"/>
      <c r="P223" s="508" t="s"/>
      <c r="Q223" s="508" t="s"/>
      <c r="R223" s="508" t="s"/>
      <c r="S223" s="508" t="s"/>
      <c r="T223" s="508" t="s"/>
      <c r="U223" s="508" t="s"/>
      <c r="V223" s="508" t="s"/>
      <c r="W223" s="508" t="s"/>
      <c r="X223" s="508" t="s"/>
      <c r="Y223" s="508" t="s"/>
    </row>
    <row r="224" spans="1:25">
      <c r="A224" s="680" t="s"/>
      <c r="B224" s="837" t="s"/>
      <c r="C224" s="837" t="s"/>
      <c r="D224" s="838" t="s"/>
      <c r="E224" s="837" t="s"/>
      <c r="F224" s="839" t="s"/>
      <c r="G224" s="839" t="s"/>
      <c r="H224" s="840" t="s"/>
      <c r="I224" s="1341" t="s"/>
      <c r="J224" s="1341" t="s"/>
      <c r="K224" s="1341" t="s"/>
      <c r="L224" s="1341" t="s"/>
      <c r="M224" s="508" t="s"/>
      <c r="N224" s="508" t="s"/>
      <c r="O224" s="508" t="s"/>
      <c r="P224" s="508" t="s"/>
      <c r="Q224" s="508" t="s"/>
      <c r="R224" s="508" t="s"/>
      <c r="S224" s="508" t="s"/>
      <c r="T224" s="508" t="s"/>
      <c r="U224" s="508" t="s"/>
      <c r="V224" s="508" t="s"/>
      <c r="W224" s="508" t="s"/>
      <c r="X224" s="508" t="s"/>
      <c r="Y224" s="508" t="s"/>
    </row>
    <row r="225" spans="1:25">
      <c r="A225" s="680" t="s"/>
      <c r="B225" s="837" t="s"/>
      <c r="C225" s="837" t="s"/>
      <c r="D225" s="838" t="s"/>
      <c r="E225" s="837" t="s"/>
      <c r="F225" s="839" t="s"/>
      <c r="G225" s="839" t="s"/>
      <c r="H225" s="840" t="s"/>
      <c r="I225" s="1341" t="s"/>
      <c r="J225" s="1341" t="s"/>
      <c r="K225" s="1341" t="s"/>
      <c r="L225" s="1341" t="s"/>
      <c r="M225" s="508" t="s"/>
      <c r="N225" s="508" t="s"/>
      <c r="O225" s="508" t="s"/>
      <c r="P225" s="508" t="s"/>
      <c r="Q225" s="508" t="s"/>
      <c r="R225" s="508" t="s"/>
      <c r="S225" s="508" t="s"/>
      <c r="T225" s="508" t="s"/>
      <c r="U225" s="508" t="s"/>
      <c r="V225" s="508" t="s"/>
      <c r="W225" s="508" t="s"/>
      <c r="X225" s="508" t="s"/>
      <c r="Y225" s="508" t="s"/>
    </row>
    <row r="226" spans="1:25">
      <c r="A226" s="680" t="s"/>
      <c r="B226" s="837" t="s"/>
      <c r="C226" s="837" t="s"/>
      <c r="D226" s="838" t="s"/>
      <c r="E226" s="837" t="s"/>
      <c r="F226" s="839" t="s"/>
      <c r="G226" s="839" t="s"/>
      <c r="H226" s="840" t="s"/>
      <c r="I226" s="1341" t="s"/>
      <c r="J226" s="1341" t="s"/>
      <c r="K226" s="1341" t="s"/>
      <c r="L226" s="1341" t="s"/>
      <c r="M226" s="508" t="s"/>
      <c r="N226" s="508" t="s"/>
      <c r="O226" s="508" t="s"/>
      <c r="P226" s="508" t="s"/>
      <c r="Q226" s="508" t="s"/>
      <c r="R226" s="508" t="s"/>
      <c r="S226" s="508" t="s"/>
      <c r="T226" s="508" t="s"/>
      <c r="U226" s="508" t="s"/>
      <c r="V226" s="508" t="s"/>
      <c r="W226" s="508" t="s"/>
      <c r="X226" s="508" t="s"/>
      <c r="Y226" s="508" t="s"/>
    </row>
    <row r="227" spans="1:25">
      <c r="A227" s="680" t="s"/>
      <c r="B227" s="837" t="s"/>
      <c r="C227" s="837" t="s"/>
      <c r="D227" s="838" t="s"/>
      <c r="E227" s="837" t="s"/>
      <c r="F227" s="839" t="s"/>
      <c r="G227" s="839" t="s"/>
      <c r="H227" s="840" t="s"/>
      <c r="I227" s="1341" t="s"/>
      <c r="J227" s="1341" t="s"/>
      <c r="K227" s="1341" t="s"/>
      <c r="L227" s="1341" t="s"/>
      <c r="M227" s="508" t="s"/>
      <c r="N227" s="508" t="s"/>
      <c r="O227" s="508" t="s"/>
      <c r="P227" s="508" t="s"/>
      <c r="Q227" s="508" t="s"/>
      <c r="R227" s="508" t="s"/>
      <c r="S227" s="508" t="s"/>
      <c r="T227" s="508" t="s"/>
      <c r="U227" s="508" t="s"/>
      <c r="V227" s="508" t="s"/>
      <c r="W227" s="508" t="s"/>
      <c r="X227" s="508" t="s"/>
      <c r="Y227" s="508" t="s"/>
    </row>
    <row r="228" spans="1:25">
      <c r="A228" s="680" t="s"/>
      <c r="B228" s="837" t="s"/>
      <c r="C228" s="837" t="s"/>
      <c r="D228" s="680" t="s"/>
      <c r="E228" s="837" t="s"/>
      <c r="F228" s="837" t="s"/>
      <c r="G228" s="680" t="s"/>
      <c r="H228" s="840" t="s"/>
      <c r="I228" s="1341" t="s"/>
      <c r="J228" s="1341" t="s"/>
      <c r="K228" s="1341" t="s"/>
      <c r="L228" s="1341" t="s"/>
      <c r="M228" s="508" t="s"/>
      <c r="N228" s="508" t="s"/>
      <c r="O228" s="508" t="s"/>
      <c r="P228" s="508" t="s"/>
      <c r="Q228" s="508" t="s"/>
      <c r="R228" s="508" t="s"/>
      <c r="S228" s="508" t="s"/>
      <c r="T228" s="508" t="s"/>
      <c r="U228" s="508" t="s"/>
      <c r="V228" s="508" t="s"/>
      <c r="W228" s="508" t="s"/>
      <c r="X228" s="508" t="s"/>
      <c r="Y228" s="508" t="s"/>
    </row>
    <row r="229" spans="1:25">
      <c r="A229" s="680" t="s"/>
      <c r="B229" s="837" t="s"/>
      <c r="C229" s="837" t="s"/>
      <c r="D229" s="680" t="s"/>
      <c r="E229" s="837" t="s"/>
      <c r="F229" s="837" t="s"/>
      <c r="G229" s="680" t="s"/>
      <c r="H229" s="840" t="s"/>
      <c r="I229" s="1341" t="s"/>
      <c r="J229" s="1341" t="s"/>
      <c r="K229" s="1341" t="s"/>
      <c r="L229" s="1341" t="s"/>
      <c r="M229" s="508" t="s"/>
      <c r="N229" s="508" t="s"/>
      <c r="O229" s="508" t="s"/>
      <c r="P229" s="508" t="s"/>
      <c r="Q229" s="508" t="s"/>
      <c r="R229" s="508" t="s"/>
      <c r="S229" s="508" t="s"/>
      <c r="T229" s="508" t="s"/>
      <c r="U229" s="508" t="s"/>
      <c r="V229" s="508" t="s"/>
      <c r="W229" s="508" t="s"/>
      <c r="X229" s="508" t="s"/>
      <c r="Y229" s="508" t="s"/>
    </row>
  </sheetData>
  <autoFilter ref="A3:A41">
    <sortState ref="A4:A41"/>
  </autoFilter>
  <mergeCells count="28">
    <mergeCell ref="A1:H1"/>
    <mergeCell ref="J1:L1"/>
    <mergeCell ref="A2:H2"/>
    <mergeCell ref="I2:L2"/>
    <mergeCell ref="A22:A33"/>
    <mergeCell ref="B22:B33"/>
    <mergeCell ref="C22:C33"/>
    <mergeCell ref="L4:L8"/>
    <mergeCell ref="L22:L33"/>
    <mergeCell ref="A4:A8"/>
    <mergeCell ref="C4:C8"/>
    <mergeCell ref="B4:B8"/>
    <mergeCell ref="A9:A12"/>
    <mergeCell ref="C9:C12"/>
    <mergeCell ref="B9:B12"/>
    <mergeCell ref="L9:L12"/>
    <mergeCell ref="A13:A15"/>
    <mergeCell ref="C13:C15"/>
    <mergeCell ref="B13:B15"/>
    <mergeCell ref="L13:L15"/>
    <mergeCell ref="A16:A20"/>
    <mergeCell ref="C16:C20"/>
    <mergeCell ref="B16:B20"/>
    <mergeCell ref="L16:L20"/>
    <mergeCell ref="B34:B40"/>
    <mergeCell ref="C34:C40"/>
    <mergeCell ref="A34:A40"/>
    <mergeCell ref="L34:L40"/>
  </mergeCells>
  <dataValidations>
    <dataValidation type="list" errorStyle="stop" allowBlank="true" showDropDown="false" showInputMessage="true" showErrorMessage="true" prompt="" sqref="G3:G1048576">
      <formula1>"社招,校招,社招&amp;校招,"</formula1>
    </dataValidation>
    <dataValidation type="list" errorStyle="stop" allowBlank="true" showDropDown="false" showInputMessage="true" showErrorMessage="true" prompt="" sqref="A3:A1048576">
      <formula1>"自孵部,签约部,培训部,外采部,商务部,运营中台,总经办+财务部,财务部,技术部,"</formula1>
    </dataValidation>
    <dataValidation type="list" errorStyle="stop" allowBlank="true" showDropDown="false" showInputMessage="true" showErrorMessage="true" prompt="" sqref="D3:D1048576">
      <formula1>"新增需求,替补需求,储备需求,上个月未交付延期本月,"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2026-07-11T22:01:29Z</dcterms:created>
  <dcterms:modified xsi:type="dcterms:W3CDTF">2026-07-11T22:01:29Z</dcterms:modified>
</cp:coreProperties>
</file>