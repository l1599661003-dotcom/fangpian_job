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activeTab="2"/>
  </bookViews>
  <sheets>
    <sheet name="November" sheetId="1" state="hidden" r:id="rId1"/>
    <sheet name="December" sheetId="2" state="hidden" r:id="rId2"/>
    <sheet name="2026-10" sheetId="3" r:id="rId3"/>
    <sheet name="2026-8" sheetId="5" state="hidden" r:id="rId4"/>
    <sheet name="对比" sheetId="6" state="hidden" r:id="rId5"/>
    <sheet name="2026-7" sheetId="7" state="hidden" r:id="rId6"/>
    <sheet name="2026-6" sheetId="8" state="hidden" r:id="rId7"/>
    <sheet name="2026-5" sheetId="9" state="hidden" r:id="rId8"/>
    <sheet name="2026-4" sheetId="10" state="hidden" r:id="rId9"/>
    <sheet name="2026-3" sheetId="11" state="hidden" r:id="rId10"/>
    <sheet name="周度招聘统计" sheetId="12" state="hidden" r:id="rId11"/>
    <sheet name="招聘进度" sheetId="13" state="hidden" r:id="rId12"/>
    <sheet name="2026-2" sheetId="15" state="hidden" r:id="rId13"/>
    <sheet name="2026-1" sheetId="16" state="hidden" r:id="rId14"/>
  </sheets>
  <definedNames>
    <definedName name="_xlnm._FilterDatabase" localSheetId="7" hidden="1">'2026-5'!$A$3:$J$35</definedName>
    <definedName name="_xlnm._FilterDatabase" localSheetId="8" hidden="1">'2026-4'!$A$3:$L$46</definedName>
    <definedName name="_xlnm._FilterDatabase" localSheetId="9" hidden="1">'2026-3'!$A$3:$L$47</definedName>
    <definedName name="_xlnm._FilterDatabase" localSheetId="12" hidden="1">'2026-2'!$A$3:$L$55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<sst xmlns="http://schemas.openxmlformats.org/spreadsheetml/2006/main" count="3052" uniqueCount="368">
  <si>
    <r>
      <rPr>
        <b/>
        <sz val="10"/>
        <color rgb="FF000000"/>
        <rFont val="Microsoft YaHei"/>
        <charset val="134"/>
      </rPr>
      <t>参考数据：</t>
    </r>
    <r>
      <rPr>
        <b/>
        <sz val="10"/>
        <color rgb="FF000000"/>
        <rFont val="Microsoft YaHei"/>
        <charset val="134"/>
      </rPr>
      <t xml:space="preserve">
2024年营收1.8亿，平均人数194人，平均人效927万</t>
    </r>
    <r>
      <rPr>
        <b/>
        <sz val="10"/>
        <color rgb="FF000000"/>
        <rFont val="Microsoft YaHei"/>
        <charset val="134"/>
      </rPr>
      <t xml:space="preserve">
2025年若营收增长200%，人效增加20%，则2025年编制增长率为1.6，即公司平均人数约为330</t>
    </r>
    <r>
      <rPr>
        <b/>
        <sz val="10"/>
        <color rgb="FF7F7F7F"/>
        <rFont val="Microsoft YaHei"/>
        <charset val="134"/>
      </rPr>
      <t xml:space="preserve">
今年编制增长率=营收目标增长/今年人效</t>
    </r>
  </si>
  <si>
    <r>
      <rPr>
        <b/>
        <sz val="10"/>
        <color rgb="FF000000"/>
        <rFont val="Microsoft YaHei"/>
        <charset val="134"/>
      </rPr>
      <t>提报性质分类：</t>
    </r>
    <r>
      <rPr>
        <sz val="10"/>
        <color rgb="FF000000"/>
        <rFont val="Microsoft YaHei"/>
        <charset val="134"/>
      </rPr>
      <t xml:space="preserve">
新增需求：因业务拓展新增人数，预算增加
替补需求：员工离职缺编补齐或要汰换，预算不变
储备需求：可面试，但不入职、不发薪、不占预算</t>
    </r>
  </si>
  <si>
    <t>11月月度招聘需求提报表</t>
  </si>
  <si>
    <t>11月人员流动数据（人才部填写）</t>
  </si>
  <si>
    <t>部门</t>
  </si>
  <si>
    <t>9月人效</t>
  </si>
  <si>
    <t>在编（10月底团队规模）</t>
  </si>
  <si>
    <t>提报性质</t>
  </si>
  <si>
    <t>需求岗位名称</t>
  </si>
  <si>
    <t>需求数量</t>
  </si>
  <si>
    <t>岗位性质</t>
  </si>
  <si>
    <t>招聘要求</t>
  </si>
  <si>
    <t>offer人数</t>
  </si>
  <si>
    <t>入职人数</t>
  </si>
  <si>
    <t>离职人数</t>
  </si>
  <si>
    <t>11月底团队规模</t>
  </si>
  <si>
    <t>自孵部</t>
  </si>
  <si>
    <t>183.3/56=3.27</t>
  </si>
  <si>
    <t>新增需求</t>
  </si>
  <si>
    <t>编导</t>
  </si>
  <si>
    <t>社招&amp;校招</t>
  </si>
  <si>
    <t>储备需求</t>
  </si>
  <si>
    <t>后期</t>
  </si>
  <si>
    <t>社招</t>
  </si>
  <si>
    <t>达人</t>
  </si>
  <si>
    <t>签约部</t>
  </si>
  <si>
    <t>557.8/30=18.6</t>
  </si>
  <si>
    <t>本部经纪人</t>
  </si>
  <si>
    <t>签约助理</t>
  </si>
  <si>
    <t>校园抖音经纪人</t>
  </si>
  <si>
    <t>校招</t>
  </si>
  <si>
    <t>商务部</t>
  </si>
  <si>
    <t>项目执行</t>
  </si>
  <si>
    <t>商单提报</t>
  </si>
  <si>
    <t>外采部</t>
  </si>
  <si>
    <t>24.6/18=1.37</t>
  </si>
  <si>
    <t>外采执行</t>
  </si>
  <si>
    <t>外采结算</t>
  </si>
  <si>
    <t>实习生</t>
  </si>
  <si>
    <t>外采BP</t>
  </si>
  <si>
    <t>运营中台</t>
  </si>
  <si>
    <t>替补需求</t>
  </si>
  <si>
    <t>结算运营</t>
  </si>
  <si>
    <t>培训部</t>
  </si>
  <si>
    <t>104.8/27=3.88</t>
  </si>
  <si>
    <t>策划专家</t>
  </si>
  <si>
    <t>新媒体方向，创意&amp;传播&amp;social策略</t>
  </si>
  <si>
    <t>文案</t>
  </si>
  <si>
    <t>为IP服务提供文案、脚本、辅助支持</t>
  </si>
  <si>
    <t>总经办+财务部</t>
  </si>
  <si>
    <t>技术部</t>
  </si>
  <si>
    <t>12月月度招聘需求提报表</t>
  </si>
  <si>
    <t>12月人员流动数据（人才部填写）</t>
  </si>
  <si>
    <t>10月人效</t>
  </si>
  <si>
    <t>在编（11月底团队规模)</t>
  </si>
  <si>
    <t>12月底团队规模</t>
  </si>
  <si>
    <t>内容PM</t>
  </si>
  <si>
    <t>校园签约经纪人</t>
  </si>
  <si>
    <t>大二/大三</t>
  </si>
  <si>
    <t>本部签约经纪人</t>
  </si>
  <si>
    <t>签约部HRBP</t>
  </si>
  <si>
    <t>商务提报</t>
  </si>
  <si>
    <t>组内HRBP</t>
  </si>
  <si>
    <t>商务执行</t>
  </si>
  <si>
    <t>Bp</t>
  </si>
  <si>
    <t>11.25提报需求</t>
  </si>
  <si>
    <t>经纪人</t>
  </si>
  <si>
    <t>提报</t>
  </si>
  <si>
    <t>IP编导</t>
  </si>
  <si>
    <t>策划</t>
  </si>
  <si>
    <t>项目经理</t>
  </si>
  <si>
    <t>卡奥斯项目经理汰换</t>
  </si>
  <si>
    <t>上个月未交付延期本月</t>
  </si>
  <si>
    <t>IP摄像</t>
  </si>
  <si>
    <t>kos运营</t>
  </si>
  <si>
    <r>
      <rPr>
        <b/>
        <sz val="10"/>
        <color rgb="FF000000"/>
        <rFont val="Microsoft YaHei"/>
        <charset val="134"/>
      </rPr>
      <t>提报性质分类：</t>
    </r>
    <r>
      <rPr>
        <sz val="10"/>
        <color rgb="FF000000"/>
        <rFont val="Microsoft YaHei"/>
        <charset val="134"/>
      </rPr>
      <t xml:space="preserve">
新增需求：因业务拓展新增人数，预算增加
替补需求：员工离职缺编补齐或要汰换，预算不变
储备需求：可面试，但不入职、不发薪、不占预算
临时新增：月初没有岗位，临时新增需求</t>
    </r>
  </si>
  <si>
    <t>10月月度招聘需求提报表</t>
  </si>
  <si>
    <t>10月人员流动数据（人才部填写）</t>
  </si>
  <si>
    <t>需求类型</t>
  </si>
  <si>
    <t>是否需要内部调岗</t>
  </si>
  <si>
    <t>招聘负责人</t>
  </si>
  <si>
    <t>8月团队规模</t>
  </si>
  <si>
    <t>不需要</t>
  </si>
  <si>
    <t>男性，搞笑经历优先</t>
  </si>
  <si>
    <t>孙凯</t>
  </si>
  <si>
    <t>建联经纪人</t>
  </si>
  <si>
    <t>校招未毕业补充</t>
  </si>
  <si>
    <t>邹馨颖</t>
  </si>
  <si>
    <t>校招未毕业</t>
  </si>
  <si>
    <t>整合营销管培生</t>
  </si>
  <si>
    <t>1.具备很强的学习能力、理解能力、统筹能力，最好能有完整的同类型实习案例；
2.文科专业最佳（文学、工商、艺术等等），会接触到一些策划类的工作；
3.工作内容涉及轮岗，且是储备管理岗，所以要求能接受多线程工作以及跨岗位交流学习，且对自己要求严格、对后续发展规划清洗；</t>
  </si>
  <si>
    <t>黄葳</t>
  </si>
  <si>
    <t>需要</t>
  </si>
  <si>
    <t>1.有对客能力和销售属性，能拆解明白客户需求，擅长excel；</t>
  </si>
  <si>
    <t>AE</t>
  </si>
  <si>
    <t>1.要抗压能力强一点的，灵一点，有解决问题的能力，安抚客户的能力;</t>
  </si>
  <si>
    <t>社群运营</t>
  </si>
  <si>
    <t>有灵性的，本科以上学历，可带教培养，新媒体内容相关专业优先，例如广播电视编导、汉语言文学等</t>
  </si>
  <si>
    <t>王甜雨</t>
  </si>
  <si>
    <t>KOS运营</t>
  </si>
  <si>
    <t>有老板ip/代运营经历，可独立负责选题、策划、脚本、复盘的全流程工作</t>
  </si>
  <si>
    <t>商务中台</t>
  </si>
  <si>
    <t>有对客能力和销售属性，能拆解明白客户需求，擅长excel，可以接受比较优秀的实习生</t>
  </si>
  <si>
    <t>黄小峰</t>
  </si>
  <si>
    <t>要抗压能力强一点的，灵一点，有解决问题的能力，安抚客户的能力</t>
  </si>
  <si>
    <t>后台运营</t>
  </si>
  <si>
    <t>岗位职责：
1、三平台达人邀约管理，负责后台系统中达人账号的邀约录入、解约、状态跟进与签约进度更新
，包括维护达人信息库，确保基础资料完整准确
2、改价/调价/接单操作，根据业务侧提报，在后台完成达人报价、合作价格、商单接收的调整与生效
并定期核对价格数据，确保系统与实际一致
3、数据维护与报表，日常维护平台数据，确保各类工单、流程、信息的准确性
并配合输出周期性运营数据报表
4、投流运营操作及数据整理辅助
任职要求：
1、后台运营/行政/数据录入类工作经验，熟悉小红书/抖音/视频号任一平台，MCN行业优先
2、熟练使用办公软件（Excel/飞书/企微等），打字速度快、准确率高
3、细心耐心，做事有条理，理解能力强，能处理重复性工作不出错
4、有数据敏感度，能主动发现数据异常
5、有责任感，对结果负责</t>
  </si>
  <si>
    <t>于瀚</t>
  </si>
  <si>
    <t>签约剪辑</t>
  </si>
  <si>
    <t>1、有创意/影视剪辑相关专业背景，对影像、视觉有审美和判断
有剪辑经历，自带编导思维，熟悉短视频逻辑，懂流量审美，网感在线
2、擅长构图与人像拍摄，调色自然
3、熟练使用剪映，熟悉PR，FinalCut等主流剪辑软件操作
4、性格通透，抗压力强，擅长沟通，理解能力强
5、最好能懂AI影像创作，会AI视频软件</t>
  </si>
  <si>
    <t>商单运营</t>
  </si>
  <si>
    <t>1.具备较强抗压能力，可接受非工作时段居家线上维护博主相关工作；不考虑过往工作长期过于安逸、无压力的候选人
2.期望薪资诉求合理，过往薪资不建议高于 6000 元
3.优先有服务类、线上对接、互联网运营相关工作经验人选
4.要求在烟台长期稳定居住，本地籍贯 / 已在烟定居半年以上优先；居住地通勤单程尽量不超过 1 小时，距离过远谨慎评估
5.具备基础沟通表达能力，沟通理解存在明显障碍的不予考虑</t>
  </si>
  <si>
    <t>内容中台</t>
  </si>
  <si>
    <t>剪辑</t>
  </si>
  <si>
    <t>赵慧霞</t>
  </si>
  <si>
    <t>技术中台</t>
  </si>
  <si>
    <t>/</t>
  </si>
  <si>
    <t>张杰/张晓霞</t>
  </si>
  <si>
    <t>AI中台</t>
  </si>
  <si>
    <t>招聘专员</t>
  </si>
  <si>
    <t>2-3年工作经验，擅长招聘工作，能独立负责招聘全流程，会入离调转/员工关系模块加分，适应能力强，并且能独立负责工作项目</t>
  </si>
  <si>
    <t>会计</t>
  </si>
  <si>
    <t>独立完成公司财务核算，核算全套会计账务、财务分析、税务筹划、业务决策支持</t>
  </si>
  <si>
    <t>品牌策划</t>
  </si>
  <si>
    <t>脚本撰写、品牌策划，设计or视频</t>
  </si>
  <si>
    <t>合计</t>
  </si>
  <si>
    <t>8月月度招聘需求提报表</t>
  </si>
  <si>
    <t>8月人员流动数据（人才部填写）</t>
  </si>
  <si>
    <t>核心人才招聘</t>
  </si>
  <si>
    <t>7.25团队规模</t>
  </si>
  <si>
    <t>签约经纪人</t>
  </si>
  <si>
    <t>有销售行业经验，社招抗压能力强，能加班</t>
  </si>
  <si>
    <t>签约PM</t>
  </si>
  <si>
    <t>内容运营</t>
  </si>
  <si>
    <t>负责项目全生命周期管理，资深广告行业出身，懂营销、懂内容，有3-5年过往独立带项目及团队经验</t>
  </si>
  <si>
    <t>提炼团队业务内容，撰写策划方案，base青岛/烟台
有传媒、广告乙方公司经验优先</t>
  </si>
  <si>
    <t>有灵性的，好本科以上学历，可带教培养，新媒体内容相关专业优先，例如广播电视编导、汉语言文学等</t>
  </si>
  <si>
    <t>至少有1年相关经验，操盘过抖音/小红书账号</t>
  </si>
  <si>
    <t>外采提报</t>
  </si>
  <si>
    <t>熟练掌握excel,有网感，对新媒体行业有兴趣，学习愿力强</t>
  </si>
  <si>
    <t>外采HRBP</t>
  </si>
  <si>
    <t>责任心强，能接受回家后用手机继续工作，推进博主笔记按时发布，替客户审稿，在客户和博主之间良性沟通</t>
  </si>
  <si>
    <t>外采经纪人</t>
  </si>
  <si>
    <t>良好的沟通能力，思维活跃，对行业有一定了解，能维护好和博主之间的关系</t>
  </si>
  <si>
    <t>商务HRBP</t>
  </si>
  <si>
    <t>商务PM</t>
  </si>
  <si>
    <t>全案策划</t>
  </si>
  <si>
    <t>抗压能力强，有清晰的沟通能力，细心负责</t>
  </si>
  <si>
    <t>有编导相关经验，有灵气、目标感强，学习意愿强烈，接受自己出镜做IP、直播、讲课，考核稳定性。</t>
  </si>
  <si>
    <t>有灵气，有无经验均可，接受实习生。</t>
  </si>
  <si>
    <t>IP拍剪</t>
  </si>
  <si>
    <t>抗压能力强，有良好的沟通能力、一定的文案能力，接受出差，需要看作品集。</t>
  </si>
  <si>
    <t>技术负责人</t>
  </si>
  <si>
    <t>数据中台</t>
  </si>
  <si>
    <t>数据分析专家</t>
  </si>
  <si>
    <t>AI产品经理</t>
  </si>
  <si>
    <t>有丰富的AI Agent产品开发经验，有从0-1的agent开发落地使用经验，热爱AI、积极拥抱AI，学习能力和动手能力强，抗压能力强，延迟满足，对未来AI职业发展规划清晰，入职可以直接上手干活。</t>
  </si>
  <si>
    <t>管理会计</t>
  </si>
  <si>
    <t>核算全套会计账务、财务分析、税务筹划、业务决策支持</t>
  </si>
  <si>
    <t>岗位名称</t>
  </si>
  <si>
    <t>7月月度招聘需求提报表</t>
  </si>
  <si>
    <t>7月人员流动数据（人才部填写）</t>
  </si>
  <si>
    <t>6.27团队规模</t>
  </si>
  <si>
    <t>未毕业的在校学生；刚毕业的大学生</t>
  </si>
  <si>
    <t>有合适的候选人就进</t>
  </si>
  <si>
    <t>理工大二、大三</t>
  </si>
  <si>
    <t>签约HRBP</t>
  </si>
  <si>
    <t>业务支持</t>
  </si>
  <si>
    <t>临时新增</t>
  </si>
  <si>
    <t>新增AIGC的剪辑，往编导培养</t>
  </si>
  <si>
    <t>储备PM</t>
  </si>
  <si>
    <t>优秀人才引进</t>
  </si>
  <si>
    <t>离职补充</t>
  </si>
  <si>
    <t>能出差 有一定的编导能力 有审美 使命必达 抗压</t>
  </si>
  <si>
    <t>3年以上招聘经验或有招聘实习经验应届生</t>
  </si>
  <si>
    <t>行政专员</t>
  </si>
  <si>
    <t>品牌策划专员</t>
  </si>
  <si>
    <t>总计</t>
  </si>
  <si>
    <t>6月月度招聘需求提报表</t>
  </si>
  <si>
    <t>6月人员流动数据（人才部填写）</t>
  </si>
  <si>
    <t>5月底团队规模</t>
  </si>
  <si>
    <t>学校商单运营</t>
  </si>
  <si>
    <t>工作地点在学校提报</t>
  </si>
  <si>
    <t>签约（储备PM)</t>
  </si>
  <si>
    <t>校园经纪人</t>
  </si>
  <si>
    <t>营销策划（新客开发）</t>
  </si>
  <si>
    <t>kos运营专员</t>
  </si>
  <si>
    <t>有灵性的，好本科以上学历，可带教培养</t>
  </si>
  <si>
    <t>有灵性的，好本科以上学历，数据敏感，耐心细心，可带教培养</t>
  </si>
  <si>
    <t>剪辑过小红书视频、会AE的优先考虑。需要有工作经验，熟练剪映</t>
  </si>
  <si>
    <t>商务开发</t>
  </si>
  <si>
    <t>执行BP助理</t>
  </si>
  <si>
    <t>达人运营</t>
  </si>
  <si>
    <t>有网感，有运营能力，看得懂数据，对各平台有了解</t>
  </si>
  <si>
    <t>数据运营</t>
  </si>
  <si>
    <t>1、后台运营/行政/数据录入类工作经验，熟悉小红书/抖音/视频号任一平台，MCN行业优先
2、熟练使用办公软件（Excel/飞书/企微等），打字速度快、准确率高
3、细心耐心，做事有条理，理解能力强，能处理重复性工作不出错
4、有数据敏感度，能主动发现数据异常
5、有责任感，对结果负责</t>
  </si>
  <si>
    <t>营销策划</t>
  </si>
  <si>
    <t>成熟的MCN、传媒、广告、品牌营销相关策划经验，能独立完成整套营销方案撰写，要看作品集</t>
  </si>
  <si>
    <t>优先社招，要求具备优秀的沟通能力、有灵气、有目标感、对业务认同感强，本月到岗，紧急！！！</t>
  </si>
  <si>
    <t>拍剪</t>
  </si>
  <si>
    <t>AI助理</t>
  </si>
  <si>
    <t>3年以上招聘经验</t>
  </si>
  <si>
    <t>行政+采购</t>
  </si>
  <si>
    <t>财务BP</t>
  </si>
  <si>
    <t>数据分析</t>
  </si>
  <si>
    <t>5月月度招聘需求提报表</t>
  </si>
  <si>
    <t>5月人员流动数据（人才部填写）</t>
  </si>
  <si>
    <t>4月底团队规模</t>
  </si>
  <si>
    <t>实习经纪人（文旅）</t>
  </si>
  <si>
    <t>运营专员</t>
  </si>
  <si>
    <t>kos项目经理</t>
  </si>
  <si>
    <t>销售开发、招投标方向</t>
  </si>
  <si>
    <t>6G冲浪 有特点有拼劲，要求全职</t>
  </si>
  <si>
    <t>对客提报</t>
  </si>
  <si>
    <t>情商高，接受销售性质，有赚钱的欲望，抗压能力强，责任心强，能接受下班以后回复客户消息</t>
  </si>
  <si>
    <t>合同结算</t>
  </si>
  <si>
    <t>财务专业，或者对数字敏感，帮助经纪人团队定期催回款，对接经纪人团队对博主侧的合同，文职岗，无提成，耐心好</t>
  </si>
  <si>
    <t>BP助理</t>
  </si>
  <si>
    <t>数据分析专员</t>
  </si>
  <si>
    <t>擅长数据清洗、数据分析和总结</t>
  </si>
  <si>
    <t>1（储备）</t>
  </si>
  <si>
    <t>访谈内容正片或切片剪辑</t>
  </si>
  <si>
    <t>产品经理</t>
  </si>
  <si>
    <t>技术团队负责人</t>
  </si>
  <si>
    <t>AI运营专员</t>
  </si>
  <si>
    <t>经验不限、AI工具基础、网感好、软性素质高</t>
  </si>
  <si>
    <t>品牌剪辑</t>
  </si>
  <si>
    <t>有2年及以上财务分析预算管理或财务BP经验，逻辑思维强，数据敏感度高，抗压力强，接受加班，不要求学历和证书</t>
  </si>
  <si>
    <t>核算会计</t>
  </si>
  <si>
    <t>4月月度招聘需求提报表</t>
  </si>
  <si>
    <t>4月人员流动数据（人才部填写）</t>
  </si>
  <si>
    <t>3月人效</t>
  </si>
  <si>
    <t>在编（3月底团队规模）</t>
  </si>
  <si>
    <t>3月底团队规模</t>
  </si>
  <si>
    <t>有销售经验</t>
  </si>
  <si>
    <t>学校经纪人</t>
  </si>
  <si>
    <t>理工和工商未毕业候选人</t>
  </si>
  <si>
    <t>HRBP</t>
  </si>
  <si>
    <t>1-2年编导经验，可接受服务海尔的乙方广告公司策划（视频执行方向）、代运营、MCN（可以但不优先，贵且抗压一般），可接受写过脚本的文案，可接受灵性好的实习生（孟永哲、周枢）</t>
  </si>
  <si>
    <t>IP剪辑</t>
  </si>
  <si>
    <t>广告公司或乙方，最好有广告片、宣传片、TVC剪辑经验，抗压好，最好会一些平面</t>
  </si>
  <si>
    <t>HRBP助理</t>
  </si>
  <si>
    <t>外采对客提报</t>
  </si>
  <si>
    <t>自孵运营</t>
  </si>
  <si>
    <t>6G冲浪 有特点有拼劲</t>
  </si>
  <si>
    <t>要抗压能力强一点的，灵一点，懂说话的艺术，能拆解清楚客户的需求</t>
  </si>
  <si>
    <t>有全案策划经验的策划，一定要有经验</t>
  </si>
  <si>
    <t>数据投流运营</t>
  </si>
  <si>
    <t>数据分析：有基础的数据分析和数据整合能力，有投流运营的经验。
投流：接受小白，过往有投流经验即可。</t>
  </si>
  <si>
    <t>有网感，有运营能力，对各平台有了解</t>
  </si>
  <si>
    <t>访谈组，1成熟剪辑，2基础</t>
  </si>
  <si>
    <t>ssc专员</t>
  </si>
  <si>
    <t>培训相关经验或者扎实的入离调转经验</t>
  </si>
  <si>
    <t>招聘经验</t>
  </si>
  <si>
    <t>财务分析专员</t>
  </si>
  <si>
    <t>3月月度招聘需求提报表</t>
  </si>
  <si>
    <t>3月人员流动数据（人才部填写）</t>
  </si>
  <si>
    <t>2月人效</t>
  </si>
  <si>
    <t>在编（2月底团队规模）</t>
  </si>
  <si>
    <t>2月底团队规模</t>
  </si>
  <si>
    <t>业务助理</t>
  </si>
  <si>
    <t>策划出身，具有项目经理思维</t>
  </si>
  <si>
    <t>有海尔项目工作经验，可接受服务海尔海信项目经理转岗</t>
  </si>
  <si>
    <t>1-2年编导经验，可接受服务海尔的乙方广告公司策划（视频执行方向）、代运营、MCN（可以但不优先，贵且抗压一般），可接受写过脚本的文案，可接受灵性好的实习生（张猛、孙谦、厨电新账号，年前更新）</t>
  </si>
  <si>
    <t>1-2年编导经验，可接受服务海尔的乙方广告公司策划（视频执行方向）、代运营、MCN（可以但不优先，贵且抗压一般），可接受写过脚本的文案，可接受灵性好的实习生（姜波、张涵年后启动）</t>
  </si>
  <si>
    <t>昆鹏培训项目需求，年后入职</t>
  </si>
  <si>
    <t>至少1年BP工作经验，从事过新媒体行业</t>
  </si>
  <si>
    <t>（最好其中的2人是情侣关系，符合情侣号要求；另外一名是单独的达人）6G冲浪 有特点有拼劲</t>
  </si>
  <si>
    <t>执行</t>
  </si>
  <si>
    <t>商务</t>
  </si>
  <si>
    <t>hrbp</t>
  </si>
  <si>
    <t>临时需求</t>
  </si>
  <si>
    <t>组内hrbp</t>
  </si>
  <si>
    <t>业务BP</t>
  </si>
  <si>
    <t>最好要行业内的，BP或者销售管理</t>
  </si>
  <si>
    <t>1、应变能力、逻辑分析能力
2、有高度的工作责任心和较强的抗压能力
3、思维敏捷，对数据敏感，具备数据处理与分析能力
4、熟练掌握Excel等常用办公软件
5、有短视频或信息流广告相关经验者优先</t>
  </si>
  <si>
    <t>行政前台</t>
  </si>
  <si>
    <t>软性素质好</t>
  </si>
  <si>
    <t>总经理助理</t>
  </si>
  <si>
    <t>保安/门卫</t>
  </si>
  <si>
    <t>长白班</t>
  </si>
  <si>
    <t>保洁</t>
  </si>
  <si>
    <t>概述：
3月份岗位需求数量为94个，总计offer122个，入职108人。
招聘完成率114%，原因为临时岗位新增需求4个、2月份offer人选入职、理工经纪人团队搭建等。</t>
  </si>
  <si>
    <t>5月自然月招聘需求提报表</t>
  </si>
  <si>
    <t>5月进展</t>
  </si>
  <si>
    <t>4月进展</t>
  </si>
  <si>
    <t>招聘类型</t>
  </si>
  <si>
    <t>3月offer</t>
  </si>
  <si>
    <t>3月入职</t>
  </si>
  <si>
    <t>6月进展-6.6</t>
  </si>
  <si>
    <t>前台</t>
  </si>
  <si>
    <t>8月进展-8.9</t>
  </si>
  <si>
    <t>7月进展-7.3</t>
  </si>
  <si>
    <t>上个月未入职</t>
  </si>
  <si>
    <t>策划/文案</t>
  </si>
  <si>
    <t>技术总监</t>
  </si>
  <si>
    <t>数据分析师</t>
  </si>
  <si>
    <t>招聘经理</t>
  </si>
  <si>
    <t>人事专员</t>
  </si>
  <si>
    <t>6月进展-6.13</t>
  </si>
  <si>
    <t>7月进展-7.11</t>
  </si>
  <si>
    <t>品牌专员</t>
  </si>
  <si>
    <t>中台</t>
  </si>
  <si>
    <t>5月进展-5.16</t>
  </si>
  <si>
    <t>后台</t>
  </si>
  <si>
    <t>财务专员</t>
  </si>
  <si>
    <t>7月进展-7.25</t>
  </si>
  <si>
    <t>6月进展-6.18</t>
  </si>
  <si>
    <t>编导助理</t>
  </si>
  <si>
    <r>
      <rPr>
        <b/>
        <sz val="12"/>
        <color rgb="FF000000"/>
        <rFont val="Microsoft YaHei"/>
        <charset val="134"/>
      </rPr>
      <t>概述：</t>
    </r>
    <r>
      <rPr>
        <b/>
        <sz val="12"/>
        <color rgb="FF000000"/>
        <rFont val="Microsoft YaHei"/>
        <charset val="134"/>
      </rPr>
      <t xml:space="preserve">
4月份岗位需求数量为48个，其中需招聘岗位为41个，总计offer61个，入职40人</t>
    </r>
    <r>
      <rPr>
        <b/>
        <sz val="12"/>
        <color rgb="FF000000"/>
        <rFont val="Microsoft YaHei"/>
        <charset val="134"/>
      </rPr>
      <t xml:space="preserve">
招聘完成率97.5%，原因为有8个新增临时需求、入职时间定在5月份等情况</t>
    </r>
  </si>
  <si>
    <t>5月进展-5.23</t>
  </si>
  <si>
    <t>6月进展-6.27</t>
  </si>
  <si>
    <t>7月进展-7.31</t>
  </si>
  <si>
    <t>5月进展-5.30</t>
  </si>
  <si>
    <t>完成数量</t>
  </si>
  <si>
    <t>到岗人员</t>
  </si>
  <si>
    <t>完成情况</t>
  </si>
  <si>
    <t>卡点</t>
  </si>
  <si>
    <t>签约CEO</t>
  </si>
  <si>
    <t>外采hrbp</t>
  </si>
  <si>
    <t>外采媒介</t>
  </si>
  <si>
    <t>商务hrbp</t>
  </si>
  <si>
    <t>ai产品经理</t>
  </si>
  <si>
    <t>标红岗位为核心岗位</t>
  </si>
  <si>
    <t>2月月度招聘需求提报表</t>
  </si>
  <si>
    <t>2月人员流动数据（人才部填写）</t>
  </si>
  <si>
    <t>1月人效</t>
  </si>
  <si>
    <t>在编（1月底团队规模）</t>
  </si>
  <si>
    <t>高潜</t>
  </si>
  <si>
    <t>有相关工作经验</t>
  </si>
  <si>
    <t>不要实习生！！！要抗压能力强一点的，灵一点，懂说话的艺术</t>
  </si>
  <si>
    <t>不要实习生！！！！要有对客能力的，能拆解明白客户需求，擅长excel</t>
  </si>
  <si>
    <t>细心，有耐心，有情商</t>
  </si>
  <si>
    <t>对话有思维逻辑即可</t>
  </si>
  <si>
    <t>1年以上BP经验，最好之前从事过新媒体行业</t>
  </si>
  <si>
    <t>有情商，会聊天</t>
  </si>
  <si>
    <t>结算</t>
  </si>
  <si>
    <t>细心，逻辑性强</t>
  </si>
  <si>
    <t>能够听得懂话，有情商</t>
  </si>
  <si>
    <t>1、文案写作能力强，文字功底强，头脑灵活，能独立创作文案
2、网感好、对热点敏感、善于把握时事热点和段子
3、有趣好玩，脑洞大点子多，性格超E
4、有抖音运营经验、视频创意工作经验者优先</t>
  </si>
  <si>
    <t>投流运营</t>
  </si>
  <si>
    <t>1、具备优秀的沟通技巧、应变能力、逻辑分析能力
2、有高度的工作责任心和较强的抗压能力
3、思维敏捷，对数据敏感，具备数据处理与分析能力
4、熟练掌握Excel等常用办公软件
5、有电商短视频或信息流广告相关经验者优先</t>
  </si>
  <si>
    <t>乙方出身，优先服务海尔的项目经验</t>
  </si>
  <si>
    <t>设计</t>
  </si>
  <si>
    <t>能适应海尔风格，优先线上</t>
  </si>
  <si>
    <t>储备</t>
  </si>
  <si>
    <r>
      <rPr>
        <b/>
        <sz val="12"/>
        <color rgb="FF000000"/>
        <rFont val="Microsoft YaHei"/>
        <charset val="134"/>
      </rPr>
      <t>参考数据：</t>
    </r>
    <r>
      <rPr>
        <b/>
        <sz val="12"/>
        <color rgb="FF000000"/>
        <rFont val="Microsoft YaHei"/>
        <charset val="134"/>
      </rPr>
      <t xml:space="preserve">
2024年营收1.8亿，平均人数194人，平均人效927万</t>
    </r>
    <r>
      <rPr>
        <b/>
        <sz val="12"/>
        <color rgb="FF000000"/>
        <rFont val="Microsoft YaHei"/>
        <charset val="134"/>
      </rPr>
      <t xml:space="preserve">
2025年若营收增长200%，人效增加20%，则2025年编制增长率为1.6，即公司平均人数约为330</t>
    </r>
    <r>
      <rPr>
        <b/>
        <sz val="12"/>
        <color rgb="FF7F7F7F"/>
        <rFont val="Microsoft YaHei"/>
        <charset val="134"/>
      </rPr>
      <t xml:space="preserve">
今年编制增长率=营收目标增长/今年人效</t>
    </r>
  </si>
  <si>
    <r>
      <rPr>
        <b/>
        <sz val="12"/>
        <color rgb="FF000000"/>
        <rFont val="Microsoft YaHei"/>
        <charset val="134"/>
      </rPr>
      <t>提报性质分类：</t>
    </r>
    <r>
      <rPr>
        <b/>
        <sz val="12"/>
        <color rgb="FF000000"/>
        <rFont val="Microsoft YaHei"/>
        <charset val="134"/>
      </rPr>
      <t xml:space="preserve">
新增需求：因业务拓展新增人数，预算增加
替补需求：员工离职缺编补齐或要汰换，预算不变
储备需求：可面试，但不入职、不发薪、不占预算</t>
    </r>
  </si>
  <si>
    <t>1月月度招聘需求提报表</t>
  </si>
  <si>
    <t>1月人员流动数据（人才部填写）</t>
  </si>
  <si>
    <t>12月人效</t>
  </si>
  <si>
    <t>在编（12月底团队规模）</t>
  </si>
  <si>
    <t>1月底团队规模</t>
  </si>
  <si>
    <t>相关专业/自己做过账号且有爆款</t>
  </si>
  <si>
    <t>初级内容专家</t>
  </si>
  <si>
    <t>签约BP</t>
  </si>
  <si>
    <t>能接受休息日及时回复客户消息，抗压能力强一些</t>
  </si>
  <si>
    <t>踏实认真</t>
  </si>
  <si>
    <t>细心，有耐心</t>
  </si>
  <si>
    <t>BP</t>
  </si>
  <si>
    <t>新媒体运营</t>
  </si>
  <si>
    <t>有1-2年新媒体运营工作经验</t>
  </si>
  <si>
    <t>乙方服务公司、海尔甲方、代运营</t>
  </si>
  <si>
    <t>1-2年编导经验，可接受服务海尔的乙方广告公司策划（视频执行方向）、代运营、MCN（可以但不优先，贵且抗压一般），可接受写过脚本的文案，可接受灵性好的实习生</t>
  </si>
  <si>
    <t>鹏哥培训项目需求</t>
  </si>
  <si>
    <t>额外offer</t>
  </si>
  <si>
    <t>招聘</t>
  </si>
  <si>
    <t>两班倒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</si>
</sst>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theme="1"/>
      <name val="等线"/>
      <charset val="134"/>
      <scheme val="minor"/>
    </font>
    <font>
      <sz val="10"/>
      <name val="Microsoft YaHei"/>
      <charset val="134"/>
    </font>
    <font>
      <b/>
      <sz val="10"/>
      <name val="Microsoft YaHei"/>
      <charset val="134"/>
    </font>
    <font>
      <b/>
      <sz val="12"/>
      <name val="Microsoft YaHei"/>
      <charset val="134"/>
    </font>
    <font>
      <b/>
      <sz val="14"/>
      <name val="Microsoft YaHei"/>
      <charset val="134"/>
    </font>
    <font>
      <sz val="9"/>
      <name val="Microsoft YaHei"/>
      <charset val="134"/>
    </font>
    <font>
      <b/>
      <sz val="10"/>
      <color rgb="FFDE3C36"/>
      <name val="Microsoft YaHei"/>
      <charset val="134"/>
    </font>
    <font>
      <sz val="9"/>
      <name val="等线"/>
      <charset val="134"/>
      <scheme val="minor"/>
    </font>
    <font>
      <b/>
      <sz val="12"/>
      <color rgb="FFDE3C36"/>
      <name val="Microsoft YaHei"/>
      <charset val="134"/>
    </font>
    <font>
      <b/>
      <sz val="10"/>
      <name val="等线"/>
      <charset val="134"/>
      <scheme val="minor"/>
    </font>
    <font>
      <b/>
      <sz val="10"/>
      <color rgb="FFDE3C36"/>
      <name val="等线"/>
      <charset val="134"/>
      <scheme val="minor"/>
    </font>
    <font>
      <sz val="10"/>
      <name val="等线"/>
      <charset val="134"/>
      <scheme val="minor"/>
    </font>
    <font>
      <sz val="10"/>
      <color rgb="FFC00000"/>
      <name val="Microsoft YaHei"/>
      <charset val="134"/>
    </font>
    <font>
      <b/>
      <sz val="12"/>
      <name val="等线"/>
      <charset val="134"/>
      <scheme val="minor"/>
    </font>
    <font>
      <sz val="10"/>
      <color rgb="FF000000"/>
      <name val="Microsoft YaHei"/>
      <charset val="134"/>
    </font>
    <font>
      <strike/>
      <sz val="1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Microsoft YaHei"/>
      <charset val="134"/>
    </font>
    <font>
      <b/>
      <sz val="12"/>
      <color rgb="FF7F7F7F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rgb="FF7F7F7F"/>
      <name val="Microsoft YaHei"/>
      <charset val="134"/>
    </font>
  </fonts>
  <fills count="52">
    <fill>
      <patternFill patternType="none"/>
    </fill>
    <fill>
      <patternFill patternType="gray125"/>
    </fill>
    <fill>
      <patternFill patternType="solid">
        <fgColor rgb="FFC7DC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thin">
        <color rgb="FF7F7F7F"/>
      </right>
      <top style="medium">
        <color rgb="FF595959"/>
      </top>
      <bottom style="medium">
        <color rgb="FF595959"/>
      </bottom>
      <diagonal/>
    </border>
    <border>
      <left style="thin">
        <color rgb="FF7F7F7F"/>
      </left>
      <right style="thin">
        <color rgb="FF7F7F7F"/>
      </right>
      <top style="medium">
        <color rgb="FF595959"/>
      </top>
      <bottom style="medium">
        <color rgb="FF595959"/>
      </bottom>
      <diagonal/>
    </border>
    <border>
      <left style="thin">
        <color rgb="FF7F7F7F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595959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595959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7F7F7F"/>
      </left>
      <right style="medium">
        <color rgb="FF595959"/>
      </right>
      <top/>
      <bottom style="thin">
        <color rgb="FF7F7F7F"/>
      </bottom>
      <diagonal/>
    </border>
    <border>
      <left style="thin">
        <color rgb="FF7F7F7F"/>
      </left>
      <right style="medium">
        <color rgb="FF595959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595959"/>
      </right>
      <top style="thin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medium">
        <color rgb="FF595959"/>
      </left>
      <right/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/>
      <right style="medium">
        <color rgb="FF595959"/>
      </right>
      <top style="medium">
        <color rgb="FF595959"/>
      </top>
      <bottom/>
      <diagonal/>
    </border>
    <border>
      <left style="medium">
        <color rgb="FF7F7F7F"/>
      </left>
      <right style="thin">
        <color rgb="FF595959"/>
      </right>
      <top style="medium">
        <color rgb="FF7F7F7F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medium">
        <color rgb="FF7F7F7F"/>
      </top>
      <bottom style="thin">
        <color rgb="FF595959"/>
      </bottom>
      <diagonal/>
    </border>
    <border>
      <left style="thin">
        <color rgb="FF595959"/>
      </left>
      <right style="medium">
        <color rgb="FF7F7F7F"/>
      </right>
      <top style="medium">
        <color rgb="FF7F7F7F"/>
      </top>
      <bottom style="thin">
        <color rgb="FF595959"/>
      </bottom>
      <diagonal/>
    </border>
    <border>
      <left/>
      <right style="thin">
        <color rgb="FF595959"/>
      </right>
      <top style="medium">
        <color rgb="FF7F7F7F"/>
      </top>
      <bottom style="thin">
        <color rgb="FF595959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7F7F7F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medium">
        <color rgb="FF7F7F7F"/>
      </right>
      <top style="thin">
        <color rgb="FF595959"/>
      </top>
      <bottom/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7F7F7F"/>
      </left>
      <right style="thin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/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/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medium">
        <color rgb="FF595959"/>
      </right>
      <top style="thin">
        <color rgb="FF595959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/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/>
      <top style="thin">
        <color rgb="FF595959"/>
      </top>
      <bottom style="medium">
        <color rgb="FF595959"/>
      </bottom>
      <diagonal/>
    </border>
    <border>
      <left style="medium">
        <color rgb="FF595959"/>
      </left>
      <right style="thin">
        <color rgb="FF595959"/>
      </right>
      <top/>
      <bottom style="medium">
        <color rgb="FF595959"/>
      </bottom>
      <diagonal/>
    </border>
    <border>
      <left style="thin">
        <color rgb="FF595959"/>
      </left>
      <right/>
      <top/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thin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595959"/>
      </left>
      <right style="thin">
        <color rgb="FF595959"/>
      </right>
      <top/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/>
      <bottom/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/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595959"/>
      </right>
      <top style="medium">
        <color rgb="FF00000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medium">
        <color rgb="FF000000"/>
      </top>
      <bottom style="thin">
        <color rgb="FF595959"/>
      </bottom>
      <diagonal/>
    </border>
    <border>
      <left style="thin">
        <color rgb="FF595959"/>
      </left>
      <right style="medium">
        <color rgb="FF000000"/>
      </right>
      <top style="medium">
        <color rgb="FF000000"/>
      </top>
      <bottom style="thin">
        <color rgb="FF595959"/>
      </bottom>
      <diagonal/>
    </border>
    <border>
      <left/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00000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000000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000000"/>
      </left>
      <right style="thin">
        <color rgb="FF595959"/>
      </right>
      <top style="thin">
        <color rgb="FF595959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595959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/>
      <right style="medium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000000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medium">
        <color rgb="FF000000"/>
      </right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medium">
        <color rgb="FF000000"/>
      </left>
      <right style="thin">
        <color rgb="FF595959"/>
      </right>
      <top/>
      <bottom style="medium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000000"/>
      </bottom>
      <diagonal/>
    </border>
    <border>
      <left style="thin">
        <color rgb="FF595959"/>
      </left>
      <right style="medium">
        <color rgb="FF000000"/>
      </right>
      <top style="thin">
        <color rgb="FF595959"/>
      </top>
      <bottom style="medium">
        <color rgb="FF000000"/>
      </bottom>
      <diagonal/>
    </border>
    <border>
      <left style="thin">
        <color rgb="FF595959"/>
      </left>
      <right/>
      <top/>
      <bottom style="medium">
        <color rgb="FF000000"/>
      </bottom>
      <diagonal/>
    </border>
    <border>
      <left/>
      <right style="thin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939393"/>
      </left>
      <right style="thin">
        <color rgb="FF939393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939393"/>
      </right>
      <top style="medium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medium">
        <color rgb="FF000000"/>
      </top>
      <bottom style="thin">
        <color rgb="FF939393"/>
      </bottom>
      <diagonal/>
    </border>
    <border>
      <left style="thin">
        <color rgb="FF939393"/>
      </left>
      <right style="medium">
        <color rgb="FF000000"/>
      </right>
      <top style="medium">
        <color rgb="FF000000"/>
      </top>
      <bottom style="thin">
        <color rgb="FF939393"/>
      </bottom>
      <diagonal/>
    </border>
    <border>
      <left style="medium">
        <color rgb="FF000000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medium">
        <color rgb="FF000000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medium">
        <color rgb="FF000000"/>
      </right>
      <top style="thin">
        <color rgb="FF939393"/>
      </top>
      <bottom/>
      <diagonal/>
    </border>
    <border>
      <left style="thin">
        <color rgb="FF939393"/>
      </left>
      <right style="medium">
        <color rgb="FF000000"/>
      </right>
      <top/>
      <bottom/>
      <diagonal/>
    </border>
    <border>
      <left style="thin">
        <color rgb="FF939393"/>
      </left>
      <right style="medium">
        <color rgb="FF000000"/>
      </right>
      <top/>
      <bottom style="thin">
        <color rgb="FF939393"/>
      </bottom>
      <diagonal/>
    </border>
    <border>
      <left style="medium">
        <color rgb="FF000000"/>
      </left>
      <right style="thin">
        <color rgb="FF939393"/>
      </right>
      <top style="thin">
        <color rgb="FF939393"/>
      </top>
      <bottom/>
      <diagonal/>
    </border>
    <border>
      <left style="medium">
        <color rgb="FF000000"/>
      </left>
      <right style="thin">
        <color rgb="FF939393"/>
      </right>
      <top style="thin">
        <color rgb="FF939393"/>
      </top>
      <bottom style="medium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medium">
        <color rgb="FF000000"/>
      </bottom>
      <diagonal/>
    </border>
    <border>
      <left style="thin">
        <color rgb="FF939393"/>
      </left>
      <right style="medium">
        <color rgb="FF000000"/>
      </right>
      <top style="thin">
        <color rgb="FF939393"/>
      </top>
      <bottom style="medium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000000"/>
      </left>
      <right style="thin">
        <color rgb="FF939393"/>
      </right>
      <top/>
      <bottom style="thin">
        <color rgb="FF939393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939393"/>
      </right>
      <top style="medium">
        <color rgb="FF000000"/>
      </top>
      <bottom/>
      <diagonal/>
    </border>
    <border>
      <left style="thin">
        <color rgb="FF939393"/>
      </left>
      <right style="thin">
        <color rgb="FF939393"/>
      </right>
      <top style="medium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939393"/>
      </left>
      <right style="medium">
        <color rgb="FF000000"/>
      </right>
      <top style="medium">
        <color rgb="FF000000"/>
      </top>
      <bottom/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/>
      <diagonal/>
    </border>
    <border>
      <left style="thin">
        <color rgb="FF7F7F7F"/>
      </left>
      <right style="medium">
        <color rgb="FF000000"/>
      </right>
      <top/>
      <bottom/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939393"/>
      </left>
      <right/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thin">
        <color rgb="FF939393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7F7F7F"/>
      </top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 style="thick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1" borderId="18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87" applyNumberFormat="0" applyFill="0" applyAlignment="0" applyProtection="0">
      <alignment vertical="center"/>
    </xf>
    <xf numFmtId="0" fontId="23" fillId="0" borderId="187" applyNumberFormat="0" applyFill="0" applyAlignment="0" applyProtection="0">
      <alignment vertical="center"/>
    </xf>
    <xf numFmtId="0" fontId="24" fillId="0" borderId="18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2" borderId="23" applyNumberFormat="0" applyAlignment="0" applyProtection="0">
      <alignment vertical="center"/>
    </xf>
    <xf numFmtId="0" fontId="26" fillId="23" borderId="189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24" borderId="190" applyNumberFormat="0" applyAlignment="0" applyProtection="0">
      <alignment vertical="center"/>
    </xf>
    <xf numFmtId="0" fontId="29" fillId="0" borderId="191" applyNumberFormat="0" applyFill="0" applyAlignment="0" applyProtection="0">
      <alignment vertical="center"/>
    </xf>
    <xf numFmtId="0" fontId="30" fillId="0" borderId="192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</cellStyleXfs>
  <cellXfs count="91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0" fillId="0" borderId="7" xfId="0" applyFont="1" applyBorder="1">
      <alignment vertical="center"/>
    </xf>
    <xf numFmtId="0" fontId="1" fillId="4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 wrapText="1"/>
    </xf>
    <xf numFmtId="0" fontId="0" fillId="0" borderId="8" xfId="0" applyFont="1" applyBorder="1">
      <alignment vertical="center"/>
    </xf>
    <xf numFmtId="0" fontId="5" fillId="12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13" borderId="0" xfId="0" applyFont="1" applyFill="1" applyAlignment="1">
      <alignment horizontal="left" vertical="center" wrapText="1"/>
    </xf>
    <xf numFmtId="0" fontId="3" fillId="13" borderId="10" xfId="0" applyFont="1" applyFill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2" fillId="14" borderId="0" xfId="0" applyFont="1" applyFill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2" fillId="13" borderId="0" xfId="0" applyFont="1" applyFill="1" applyAlignment="1">
      <alignment horizontal="left" vertical="center" wrapText="1"/>
    </xf>
    <xf numFmtId="0" fontId="2" fillId="13" borderId="10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0" fillId="0" borderId="20" xfId="0" applyFont="1" applyBorder="1">
      <alignment vertical="center"/>
    </xf>
    <xf numFmtId="0" fontId="7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7" borderId="22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0" fillId="4" borderId="23" xfId="0" applyFont="1" applyFill="1" applyBorder="1" applyAlignment="1">
      <alignment horizontal="center" vertical="center"/>
    </xf>
    <xf numFmtId="0" fontId="0" fillId="7" borderId="23" xfId="0" applyFont="1" applyFill="1" applyBorder="1" applyAlignment="1">
      <alignment horizontal="center" vertical="center"/>
    </xf>
    <xf numFmtId="0" fontId="0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4" xfId="0" applyFont="1" applyBorder="1">
      <alignment vertical="center"/>
    </xf>
    <xf numFmtId="0" fontId="7" fillId="7" borderId="24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0" fillId="6" borderId="23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0" fillId="8" borderId="23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0" fillId="12" borderId="23" xfId="0" applyFont="1" applyFill="1" applyBorder="1" applyAlignment="1">
      <alignment horizontal="center" vertical="center"/>
    </xf>
    <xf numFmtId="0" fontId="7" fillId="15" borderId="24" xfId="0" applyFont="1" applyFill="1" applyBorder="1" applyAlignment="1">
      <alignment horizontal="center" vertical="center"/>
    </xf>
    <xf numFmtId="0" fontId="9" fillId="15" borderId="23" xfId="0" applyFont="1" applyFill="1" applyBorder="1" applyAlignment="1">
      <alignment horizontal="center" vertical="center"/>
    </xf>
    <xf numFmtId="0" fontId="0" fillId="15" borderId="23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0" fillId="11" borderId="23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>
      <alignment vertical="center"/>
    </xf>
    <xf numFmtId="0" fontId="0" fillId="0" borderId="27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28" xfId="0" applyFont="1" applyBorder="1">
      <alignment vertical="center"/>
    </xf>
    <xf numFmtId="0" fontId="0" fillId="0" borderId="22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5" borderId="30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15" borderId="32" xfId="0" applyFont="1" applyFill="1" applyBorder="1" applyAlignment="1">
      <alignment horizontal="center" vertical="center"/>
    </xf>
    <xf numFmtId="0" fontId="0" fillId="0" borderId="33" xfId="0" applyFont="1" applyBorder="1">
      <alignment vertical="center"/>
    </xf>
    <xf numFmtId="0" fontId="0" fillId="0" borderId="34" xfId="0" applyFont="1" applyBorder="1">
      <alignment vertical="center"/>
    </xf>
    <xf numFmtId="0" fontId="0" fillId="0" borderId="35" xfId="0" applyFont="1" applyBorder="1">
      <alignment vertical="center"/>
    </xf>
    <xf numFmtId="0" fontId="0" fillId="0" borderId="33" xfId="0" applyFont="1" applyBorder="1" applyAlignment="1">
      <alignment vertical="center" wrapText="1"/>
    </xf>
    <xf numFmtId="0" fontId="0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11" fillId="0" borderId="36" xfId="0" applyFont="1" applyFill="1" applyBorder="1">
      <alignment vertical="center"/>
    </xf>
    <xf numFmtId="0" fontId="11" fillId="0" borderId="38" xfId="0" applyFont="1" applyFill="1" applyBorder="1">
      <alignment vertical="center"/>
    </xf>
    <xf numFmtId="0" fontId="5" fillId="0" borderId="0" xfId="0" applyFont="1" applyFill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0" fillId="0" borderId="40" xfId="0" applyFont="1" applyBorder="1">
      <alignment vertical="center"/>
    </xf>
    <xf numFmtId="0" fontId="11" fillId="0" borderId="40" xfId="0" applyFont="1" applyBorder="1">
      <alignment vertical="center"/>
    </xf>
    <xf numFmtId="0" fontId="11" fillId="0" borderId="41" xfId="0" applyFont="1" applyBorder="1">
      <alignment vertical="center"/>
    </xf>
    <xf numFmtId="0" fontId="3" fillId="1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14" borderId="46" xfId="0" applyFont="1" applyFill="1" applyBorder="1" applyAlignment="1">
      <alignment horizontal="center" vertical="center" wrapText="1"/>
    </xf>
    <xf numFmtId="0" fontId="9" fillId="14" borderId="47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0" fillId="14" borderId="33" xfId="0" applyFont="1" applyFill="1" applyBorder="1" applyAlignment="1">
      <alignment horizontal="center" vertical="center"/>
    </xf>
    <xf numFmtId="0" fontId="0" fillId="14" borderId="48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0" fillId="0" borderId="50" xfId="0" applyFont="1" applyBorder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51" xfId="0" applyFont="1" applyBorder="1">
      <alignment vertical="center"/>
    </xf>
    <xf numFmtId="0" fontId="5" fillId="7" borderId="49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7" fillId="0" borderId="50" xfId="0" applyFont="1" applyBorder="1">
      <alignment vertical="center"/>
    </xf>
    <xf numFmtId="0" fontId="1" fillId="7" borderId="44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7" fillId="0" borderId="43" xfId="0" applyFont="1" applyBorder="1">
      <alignment vertical="center"/>
    </xf>
    <xf numFmtId="0" fontId="0" fillId="0" borderId="0" xfId="0" applyFont="1" applyFill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48" xfId="0" applyFont="1" applyFill="1" applyBorder="1" applyAlignment="1">
      <alignment horizontal="center" vertical="center"/>
    </xf>
    <xf numFmtId="0" fontId="5" fillId="12" borderId="49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2" borderId="48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15" borderId="43" xfId="0" applyFont="1" applyFill="1" applyBorder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15" borderId="48" xfId="0" applyFont="1" applyFill="1" applyBorder="1" applyAlignment="1">
      <alignment horizontal="center" vertical="center"/>
    </xf>
    <xf numFmtId="0" fontId="5" fillId="11" borderId="49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1" borderId="48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53" xfId="0" applyFont="1" applyFill="1" applyBorder="1" applyAlignment="1">
      <alignment horizontal="center" vertical="center"/>
    </xf>
    <xf numFmtId="0" fontId="0" fillId="14" borderId="34" xfId="0" applyFont="1" applyFill="1" applyBorder="1" applyAlignment="1">
      <alignment horizontal="center" vertical="center"/>
    </xf>
    <xf numFmtId="0" fontId="0" fillId="14" borderId="53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0" borderId="58" xfId="0" applyFont="1" applyBorder="1">
      <alignment vertical="center"/>
    </xf>
    <xf numFmtId="0" fontId="11" fillId="0" borderId="58" xfId="0" applyFont="1" applyBorder="1">
      <alignment vertical="center"/>
    </xf>
    <xf numFmtId="0" fontId="11" fillId="0" borderId="59" xfId="0" applyFont="1" applyBorder="1">
      <alignment vertical="center"/>
    </xf>
    <xf numFmtId="0" fontId="3" fillId="13" borderId="57" xfId="0" applyFont="1" applyFill="1" applyBorder="1" applyAlignment="1">
      <alignment horizontal="center" vertical="center"/>
    </xf>
    <xf numFmtId="0" fontId="11" fillId="0" borderId="60" xfId="0" applyFont="1" applyBorder="1">
      <alignment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14" borderId="63" xfId="0" applyFont="1" applyFill="1" applyBorder="1" applyAlignment="1">
      <alignment horizontal="center" vertical="center" wrapText="1"/>
    </xf>
    <xf numFmtId="0" fontId="9" fillId="14" borderId="64" xfId="0" applyFont="1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1" fillId="14" borderId="66" xfId="0" applyFont="1" applyFill="1" applyBorder="1" applyAlignment="1">
      <alignment horizontal="center" vertical="center"/>
    </xf>
    <xf numFmtId="0" fontId="1" fillId="9" borderId="61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9" borderId="61" xfId="0" applyFont="1" applyFill="1" applyBorder="1">
      <alignment vertical="center"/>
    </xf>
    <xf numFmtId="0" fontId="1" fillId="4" borderId="61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1" fillId="4" borderId="65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/>
    </xf>
    <xf numFmtId="0" fontId="1" fillId="6" borderId="61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5" fillId="6" borderId="61" xfId="0" applyFont="1" applyFill="1" applyBorder="1" applyAlignment="1">
      <alignment horizontal="center" vertical="center"/>
    </xf>
    <xf numFmtId="0" fontId="7" fillId="0" borderId="61" xfId="0" applyFont="1" applyBorder="1">
      <alignment vertical="center"/>
    </xf>
    <xf numFmtId="0" fontId="1" fillId="8" borderId="61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1" fillId="8" borderId="65" xfId="0" applyFont="1" applyFill="1" applyBorder="1" applyAlignment="1">
      <alignment horizontal="center" vertical="center"/>
    </xf>
    <xf numFmtId="0" fontId="1" fillId="12" borderId="61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1" fillId="12" borderId="65" xfId="0" applyFont="1" applyFill="1" applyBorder="1" applyAlignment="1">
      <alignment horizontal="center" vertical="center"/>
    </xf>
    <xf numFmtId="0" fontId="1" fillId="15" borderId="61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1" fillId="15" borderId="65" xfId="0" applyFont="1" applyFill="1" applyBorder="1" applyAlignment="1">
      <alignment horizontal="center" vertical="center"/>
    </xf>
    <xf numFmtId="0" fontId="5" fillId="14" borderId="67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14" borderId="65" xfId="0" applyFont="1" applyFill="1" applyBorder="1" applyAlignment="1">
      <alignment horizontal="center" vertical="center"/>
    </xf>
    <xf numFmtId="0" fontId="1" fillId="11" borderId="61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1" fillId="11" borderId="65" xfId="0" applyFont="1" applyFill="1" applyBorder="1" applyAlignment="1">
      <alignment horizontal="center" vertical="center"/>
    </xf>
    <xf numFmtId="0" fontId="5" fillId="14" borderId="66" xfId="0" applyFont="1" applyFill="1" applyBorder="1" applyAlignment="1">
      <alignment horizontal="center" vertical="center"/>
    </xf>
    <xf numFmtId="0" fontId="5" fillId="11" borderId="68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5" fillId="14" borderId="70" xfId="0" applyFont="1" applyFill="1" applyBorder="1" applyAlignment="1">
      <alignment horizontal="center" vertical="center"/>
    </xf>
    <xf numFmtId="0" fontId="11" fillId="14" borderId="70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0" fontId="11" fillId="0" borderId="72" xfId="0" applyFont="1" applyFill="1" applyBorder="1" applyAlignment="1">
      <alignment horizontal="center" vertical="center"/>
    </xf>
    <xf numFmtId="0" fontId="0" fillId="0" borderId="59" xfId="0" applyFont="1" applyBorder="1">
      <alignment vertical="center"/>
    </xf>
    <xf numFmtId="0" fontId="0" fillId="0" borderId="60" xfId="0" applyFont="1" applyBorder="1">
      <alignment vertical="center"/>
    </xf>
    <xf numFmtId="0" fontId="1" fillId="5" borderId="68" xfId="0" applyFont="1" applyFill="1" applyBorder="1" applyAlignment="1">
      <alignment horizontal="center" vertical="center"/>
    </xf>
    <xf numFmtId="0" fontId="0" fillId="0" borderId="73" xfId="0" applyFont="1" applyBorder="1">
      <alignment vertical="center"/>
    </xf>
    <xf numFmtId="0" fontId="0" fillId="14" borderId="66" xfId="0" applyFont="1" applyFill="1" applyBorder="1" applyAlignment="1">
      <alignment horizontal="center" vertical="center"/>
    </xf>
    <xf numFmtId="0" fontId="0" fillId="0" borderId="74" xfId="0" applyFont="1" applyBorder="1">
      <alignment vertical="center"/>
    </xf>
    <xf numFmtId="0" fontId="1" fillId="11" borderId="68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 vertical="center"/>
    </xf>
    <xf numFmtId="0" fontId="1" fillId="6" borderId="68" xfId="0" applyFont="1" applyFill="1" applyBorder="1" applyAlignment="1">
      <alignment horizontal="center" vertical="center"/>
    </xf>
    <xf numFmtId="0" fontId="11" fillId="0" borderId="73" xfId="0" applyFont="1" applyBorder="1">
      <alignment vertical="center"/>
    </xf>
    <xf numFmtId="0" fontId="11" fillId="0" borderId="74" xfId="0" applyFont="1" applyBorder="1">
      <alignment vertical="center"/>
    </xf>
    <xf numFmtId="0" fontId="5" fillId="3" borderId="75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2" fillId="14" borderId="75" xfId="0" applyFont="1" applyFill="1" applyBorder="1" applyAlignment="1">
      <alignment horizontal="center" vertical="center" wrapText="1"/>
    </xf>
    <xf numFmtId="0" fontId="9" fillId="14" borderId="76" xfId="0" applyFont="1" applyFill="1" applyBorder="1" applyAlignment="1">
      <alignment horizontal="center" vertical="center"/>
    </xf>
    <xf numFmtId="0" fontId="5" fillId="5" borderId="75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62" xfId="0" applyFont="1" applyFill="1" applyBorder="1" applyAlignment="1">
      <alignment horizontal="center" vertical="center"/>
    </xf>
    <xf numFmtId="0" fontId="11" fillId="0" borderId="75" xfId="0" applyFont="1" applyFill="1" applyBorder="1" applyAlignment="1">
      <alignment horizontal="center" vertical="center"/>
    </xf>
    <xf numFmtId="0" fontId="11" fillId="0" borderId="76" xfId="0" applyFont="1" applyFill="1" applyBorder="1" applyAlignment="1">
      <alignment horizontal="center" vertical="center"/>
    </xf>
    <xf numFmtId="0" fontId="5" fillId="9" borderId="75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9" borderId="62" xfId="0" applyFont="1" applyFill="1" applyBorder="1" applyAlignment="1">
      <alignment horizontal="center" vertical="center"/>
    </xf>
    <xf numFmtId="0" fontId="5" fillId="4" borderId="75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1" fillId="4" borderId="75" xfId="0" applyFont="1" applyFill="1" applyBorder="1" applyAlignment="1">
      <alignment horizontal="center" vertical="center"/>
    </xf>
    <xf numFmtId="0" fontId="1" fillId="7" borderId="75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1" fillId="7" borderId="62" xfId="0" applyFont="1" applyFill="1" applyBorder="1" applyAlignment="1">
      <alignment horizontal="center" vertical="center"/>
    </xf>
    <xf numFmtId="0" fontId="5" fillId="6" borderId="75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62" xfId="0" applyFont="1" applyFill="1" applyBorder="1" applyAlignment="1">
      <alignment horizontal="center" vertical="center"/>
    </xf>
    <xf numFmtId="0" fontId="0" fillId="0" borderId="75" xfId="0" applyFont="1" applyFill="1" applyBorder="1" applyAlignment="1">
      <alignment horizontal="center" vertical="center"/>
    </xf>
    <xf numFmtId="0" fontId="0" fillId="0" borderId="76" xfId="0" applyFont="1" applyFill="1" applyBorder="1" applyAlignment="1">
      <alignment horizontal="center" vertical="center"/>
    </xf>
    <xf numFmtId="0" fontId="1" fillId="6" borderId="75" xfId="0" applyFont="1" applyFill="1" applyBorder="1" applyAlignment="1">
      <alignment horizontal="center" vertical="center"/>
    </xf>
    <xf numFmtId="0" fontId="5" fillId="8" borderId="75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8" borderId="62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5" fillId="12" borderId="75" xfId="0" applyFont="1" applyFill="1" applyBorder="1" applyAlignment="1">
      <alignment horizontal="center" vertical="center"/>
    </xf>
    <xf numFmtId="0" fontId="5" fillId="12" borderId="44" xfId="0" applyFont="1" applyFill="1" applyBorder="1" applyAlignment="1">
      <alignment horizontal="center" vertical="center"/>
    </xf>
    <xf numFmtId="0" fontId="1" fillId="12" borderId="44" xfId="0" applyFont="1" applyFill="1" applyBorder="1" applyAlignment="1">
      <alignment horizontal="center" vertical="center"/>
    </xf>
    <xf numFmtId="0" fontId="1" fillId="12" borderId="62" xfId="0" applyFont="1" applyFill="1" applyBorder="1" applyAlignment="1">
      <alignment horizontal="center" vertical="center"/>
    </xf>
    <xf numFmtId="0" fontId="5" fillId="15" borderId="75" xfId="0" applyFont="1" applyFill="1" applyBorder="1" applyAlignment="1">
      <alignment horizontal="center" vertical="center"/>
    </xf>
    <xf numFmtId="0" fontId="5" fillId="15" borderId="44" xfId="0" applyFont="1" applyFill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1" fillId="15" borderId="62" xfId="0" applyFont="1" applyFill="1" applyBorder="1" applyAlignment="1">
      <alignment horizontal="center" vertical="center"/>
    </xf>
    <xf numFmtId="0" fontId="5" fillId="11" borderId="75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1" fillId="11" borderId="62" xfId="0" applyFont="1" applyFill="1" applyBorder="1" applyAlignment="1">
      <alignment horizontal="center" vertical="center"/>
    </xf>
    <xf numFmtId="0" fontId="5" fillId="11" borderId="77" xfId="0" applyFont="1" applyFill="1" applyBorder="1" applyAlignment="1">
      <alignment horizontal="center" vertical="center"/>
    </xf>
    <xf numFmtId="0" fontId="5" fillId="11" borderId="78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11" fillId="0" borderId="63" xfId="0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/>
    </xf>
    <xf numFmtId="0" fontId="9" fillId="0" borderId="80" xfId="0" applyFont="1" applyFill="1" applyBorder="1" applyAlignment="1">
      <alignment horizontal="center" vertical="center"/>
    </xf>
    <xf numFmtId="0" fontId="9" fillId="0" borderId="81" xfId="0" applyFont="1" applyFill="1" applyBorder="1" applyAlignment="1">
      <alignment horizontal="center" vertical="center"/>
    </xf>
    <xf numFmtId="0" fontId="0" fillId="0" borderId="82" xfId="0" applyFont="1" applyBorder="1">
      <alignment vertical="center"/>
    </xf>
    <xf numFmtId="0" fontId="0" fillId="0" borderId="83" xfId="0" applyFont="1" applyBorder="1">
      <alignment vertical="center"/>
    </xf>
    <xf numFmtId="0" fontId="9" fillId="0" borderId="84" xfId="0" applyFont="1" applyFill="1" applyBorder="1" applyAlignment="1">
      <alignment horizontal="center" vertical="center"/>
    </xf>
    <xf numFmtId="0" fontId="9" fillId="0" borderId="85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5" fillId="5" borderId="86" xfId="0" applyFont="1" applyFill="1" applyBorder="1" applyAlignment="1">
      <alignment horizontal="center" vertical="center"/>
    </xf>
    <xf numFmtId="0" fontId="1" fillId="5" borderId="70" xfId="0" applyFont="1" applyFill="1" applyBorder="1" applyAlignment="1">
      <alignment horizontal="center" vertical="center"/>
    </xf>
    <xf numFmtId="0" fontId="0" fillId="0" borderId="87" xfId="0" applyFont="1" applyBorder="1">
      <alignment vertical="center"/>
    </xf>
    <xf numFmtId="0" fontId="5" fillId="4" borderId="63" xfId="0" applyFont="1" applyFill="1" applyBorder="1" applyAlignment="1">
      <alignment horizontal="center" vertical="center"/>
    </xf>
    <xf numFmtId="0" fontId="0" fillId="0" borderId="88" xfId="0" applyFont="1" applyBorder="1">
      <alignment vertical="center"/>
    </xf>
    <xf numFmtId="0" fontId="1" fillId="7" borderId="63" xfId="0" applyFont="1" applyFill="1" applyBorder="1" applyAlignment="1">
      <alignment horizontal="center" vertical="center"/>
    </xf>
    <xf numFmtId="0" fontId="5" fillId="6" borderId="63" xfId="0" applyFont="1" applyFill="1" applyBorder="1" applyAlignment="1">
      <alignment horizontal="center" vertical="center"/>
    </xf>
    <xf numFmtId="0" fontId="11" fillId="0" borderId="87" xfId="0" applyFont="1" applyBorder="1">
      <alignment vertical="center"/>
    </xf>
    <xf numFmtId="0" fontId="5" fillId="8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0" fillId="0" borderId="80" xfId="0" applyFont="1" applyBorder="1">
      <alignment vertical="center"/>
    </xf>
    <xf numFmtId="0" fontId="11" fillId="0" borderId="82" xfId="0" applyFont="1" applyBorder="1">
      <alignment vertical="center"/>
    </xf>
    <xf numFmtId="0" fontId="11" fillId="0" borderId="83" xfId="0" applyFont="1" applyBorder="1">
      <alignment vertical="center"/>
    </xf>
    <xf numFmtId="0" fontId="11" fillId="0" borderId="88" xfId="0" applyFont="1" applyBorder="1">
      <alignment vertical="center"/>
    </xf>
    <xf numFmtId="0" fontId="3" fillId="2" borderId="89" xfId="0" applyFont="1" applyFill="1" applyBorder="1" applyAlignment="1">
      <alignment horizontal="center" vertical="center"/>
    </xf>
    <xf numFmtId="0" fontId="0" fillId="0" borderId="90" xfId="0" applyFont="1" applyBorder="1">
      <alignment vertical="center"/>
    </xf>
    <xf numFmtId="0" fontId="0" fillId="0" borderId="91" xfId="0" applyFont="1" applyBorder="1">
      <alignment vertical="center"/>
    </xf>
    <xf numFmtId="0" fontId="3" fillId="13" borderId="92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14" borderId="33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 wrapText="1"/>
    </xf>
    <xf numFmtId="0" fontId="0" fillId="0" borderId="93" xfId="0" applyFont="1" applyBorder="1">
      <alignment vertical="center"/>
    </xf>
    <xf numFmtId="0" fontId="5" fillId="9" borderId="49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5" fillId="9" borderId="93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 wrapText="1"/>
    </xf>
    <xf numFmtId="0" fontId="1" fillId="7" borderId="48" xfId="0" applyFont="1" applyFill="1" applyBorder="1" applyAlignment="1">
      <alignment horizontal="center" vertical="center" wrapText="1"/>
    </xf>
    <xf numFmtId="0" fontId="11" fillId="0" borderId="43" xfId="0" applyFont="1" applyBorder="1">
      <alignment vertical="center"/>
    </xf>
    <xf numFmtId="0" fontId="5" fillId="6" borderId="49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 wrapText="1"/>
    </xf>
    <xf numFmtId="0" fontId="1" fillId="8" borderId="48" xfId="0" applyFont="1" applyFill="1" applyBorder="1" applyAlignment="1">
      <alignment horizontal="center" vertical="center" wrapText="1"/>
    </xf>
    <xf numFmtId="0" fontId="5" fillId="12" borderId="43" xfId="0" applyFont="1" applyFill="1" applyBorder="1" applyAlignment="1">
      <alignment horizontal="center" vertical="center"/>
    </xf>
    <xf numFmtId="0" fontId="1" fillId="12" borderId="33" xfId="0" applyFont="1" applyFill="1" applyBorder="1" applyAlignment="1">
      <alignment horizontal="center" vertical="center" wrapText="1"/>
    </xf>
    <xf numFmtId="0" fontId="1" fillId="12" borderId="48" xfId="0" applyFont="1" applyFill="1" applyBorder="1" applyAlignment="1">
      <alignment horizontal="center" vertical="center" wrapText="1"/>
    </xf>
    <xf numFmtId="0" fontId="1" fillId="15" borderId="33" xfId="0" applyFont="1" applyFill="1" applyBorder="1" applyAlignment="1">
      <alignment horizontal="center" vertical="center" wrapText="1"/>
    </xf>
    <xf numFmtId="0" fontId="1" fillId="15" borderId="48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1" fillId="0" borderId="50" xfId="0" applyFont="1" applyBorder="1">
      <alignment vertical="center"/>
    </xf>
    <xf numFmtId="0" fontId="11" fillId="0" borderId="94" xfId="0" applyFont="1" applyBorder="1">
      <alignment vertical="center"/>
    </xf>
    <xf numFmtId="0" fontId="5" fillId="11" borderId="95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 wrapText="1"/>
    </xf>
    <xf numFmtId="0" fontId="1" fillId="11" borderId="53" xfId="0" applyFont="1" applyFill="1" applyBorder="1" applyAlignment="1">
      <alignment horizontal="center" vertical="center" wrapText="1"/>
    </xf>
    <xf numFmtId="0" fontId="9" fillId="0" borderId="97" xfId="0" applyFont="1" applyFill="1" applyBorder="1" applyAlignment="1">
      <alignment horizontal="center" vertical="center"/>
    </xf>
    <xf numFmtId="0" fontId="9" fillId="0" borderId="98" xfId="0" applyFont="1" applyFill="1" applyBorder="1" applyAlignment="1">
      <alignment horizontal="center" vertical="center"/>
    </xf>
    <xf numFmtId="0" fontId="11" fillId="0" borderId="98" xfId="0" applyFont="1" applyBorder="1">
      <alignment vertical="center"/>
    </xf>
    <xf numFmtId="0" fontId="9" fillId="0" borderId="99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11" fillId="0" borderId="93" xfId="0" applyFont="1" applyBorder="1">
      <alignment vertical="center"/>
    </xf>
    <xf numFmtId="0" fontId="1" fillId="7" borderId="51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/>
    </xf>
    <xf numFmtId="0" fontId="0" fillId="0" borderId="100" xfId="0" applyFont="1" applyBorder="1">
      <alignment vertical="center"/>
    </xf>
    <xf numFmtId="0" fontId="3" fillId="13" borderId="89" xfId="0" applyFont="1" applyFill="1" applyBorder="1" applyAlignment="1">
      <alignment horizontal="center" vertical="center"/>
    </xf>
    <xf numFmtId="0" fontId="2" fillId="3" borderId="65" xfId="0" applyFont="1" applyFill="1" applyBorder="1" applyAlignment="1">
      <alignment horizontal="center" vertical="center"/>
    </xf>
    <xf numFmtId="0" fontId="1" fillId="14" borderId="43" xfId="0" applyFont="1" applyFill="1" applyBorder="1" applyAlignment="1">
      <alignment horizontal="center" vertical="center"/>
    </xf>
    <xf numFmtId="0" fontId="1" fillId="14" borderId="48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6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5" fillId="9" borderId="65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0" fillId="0" borderId="43" xfId="0" applyFont="1" applyBorder="1">
      <alignment vertical="center"/>
    </xf>
    <xf numFmtId="0" fontId="5" fillId="4" borderId="65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5" fillId="6" borderId="65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5" fillId="8" borderId="65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5" fillId="12" borderId="65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5" fillId="11" borderId="43" xfId="0" applyFont="1" applyFill="1" applyBorder="1" applyAlignment="1">
      <alignment horizontal="center" vertical="center"/>
    </xf>
    <xf numFmtId="0" fontId="5" fillId="11" borderId="65" xfId="0" applyFont="1" applyFill="1" applyBorder="1" applyAlignment="1">
      <alignment horizontal="center" vertical="center"/>
    </xf>
    <xf numFmtId="0" fontId="1" fillId="11" borderId="43" xfId="0" applyFont="1" applyFill="1" applyBorder="1" applyAlignment="1">
      <alignment horizontal="center" vertical="center"/>
    </xf>
    <xf numFmtId="0" fontId="7" fillId="0" borderId="49" xfId="0" applyFont="1" applyBorder="1">
      <alignment vertical="center"/>
    </xf>
    <xf numFmtId="0" fontId="5" fillId="11" borderId="69" xfId="0" applyFont="1" applyFill="1" applyBorder="1" applyAlignment="1">
      <alignment horizontal="center" vertical="center"/>
    </xf>
    <xf numFmtId="0" fontId="1" fillId="11" borderId="49" xfId="0" applyFont="1" applyFill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0" fillId="0" borderId="72" xfId="0" applyFont="1" applyBorder="1">
      <alignment vertical="center"/>
    </xf>
    <xf numFmtId="0" fontId="0" fillId="0" borderId="72" xfId="0" applyFont="1" applyBorder="1" applyAlignment="1">
      <alignment horizontal="center" vertical="center"/>
    </xf>
    <xf numFmtId="0" fontId="0" fillId="0" borderId="101" xfId="0" applyFont="1" applyBorder="1" applyAlignment="1">
      <alignment horizontal="center" vertical="center"/>
    </xf>
    <xf numFmtId="0" fontId="3" fillId="13" borderId="102" xfId="0" applyFont="1" applyFill="1" applyBorder="1" applyAlignment="1">
      <alignment horizontal="center" vertical="center"/>
    </xf>
    <xf numFmtId="0" fontId="0" fillId="0" borderId="103" xfId="0" applyFont="1" applyBorder="1">
      <alignment vertical="center"/>
    </xf>
    <xf numFmtId="0" fontId="1" fillId="14" borderId="67" xfId="0" applyFont="1" applyFill="1" applyBorder="1" applyAlignment="1">
      <alignment horizontal="center" vertical="center"/>
    </xf>
    <xf numFmtId="0" fontId="1" fillId="14" borderId="104" xfId="0" applyFont="1" applyFill="1" applyBorder="1" applyAlignment="1">
      <alignment horizontal="center" vertical="center"/>
    </xf>
    <xf numFmtId="0" fontId="1" fillId="5" borderId="67" xfId="0" applyFont="1" applyFill="1" applyBorder="1" applyAlignment="1">
      <alignment horizontal="center" vertical="center"/>
    </xf>
    <xf numFmtId="0" fontId="1" fillId="5" borderId="104" xfId="0" applyFont="1" applyFill="1" applyBorder="1" applyAlignment="1">
      <alignment horizontal="center" vertical="center"/>
    </xf>
    <xf numFmtId="0" fontId="1" fillId="9" borderId="67" xfId="0" applyFont="1" applyFill="1" applyBorder="1" applyAlignment="1">
      <alignment horizontal="center" vertical="center"/>
    </xf>
    <xf numFmtId="0" fontId="1" fillId="9" borderId="104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4" borderId="104" xfId="0" applyFont="1" applyFill="1" applyBorder="1" applyAlignment="1">
      <alignment horizontal="center" vertical="center"/>
    </xf>
    <xf numFmtId="0" fontId="5" fillId="7" borderId="105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104" xfId="0" applyFont="1" applyFill="1" applyBorder="1" applyAlignment="1">
      <alignment horizontal="center" vertical="center"/>
    </xf>
    <xf numFmtId="0" fontId="0" fillId="0" borderId="108" xfId="0" applyFont="1" applyBorder="1">
      <alignment vertical="center"/>
    </xf>
    <xf numFmtId="0" fontId="1" fillId="6" borderId="67" xfId="0" applyFont="1" applyFill="1" applyBorder="1" applyAlignment="1">
      <alignment horizontal="center" vertical="center"/>
    </xf>
    <xf numFmtId="0" fontId="1" fillId="6" borderId="104" xfId="0" applyFont="1" applyFill="1" applyBorder="1" applyAlignment="1">
      <alignment horizontal="center" vertical="center"/>
    </xf>
    <xf numFmtId="0" fontId="1" fillId="8" borderId="67" xfId="0" applyFont="1" applyFill="1" applyBorder="1" applyAlignment="1">
      <alignment horizontal="center" vertical="center"/>
    </xf>
    <xf numFmtId="0" fontId="1" fillId="8" borderId="104" xfId="0" applyFont="1" applyFill="1" applyBorder="1" applyAlignment="1">
      <alignment horizontal="center" vertical="center"/>
    </xf>
    <xf numFmtId="0" fontId="1" fillId="12" borderId="67" xfId="0" applyFont="1" applyFill="1" applyBorder="1" applyAlignment="1">
      <alignment horizontal="center" vertical="center"/>
    </xf>
    <xf numFmtId="0" fontId="1" fillId="12" borderId="104" xfId="0" applyFont="1" applyFill="1" applyBorder="1" applyAlignment="1">
      <alignment horizontal="center" vertical="center"/>
    </xf>
    <xf numFmtId="0" fontId="1" fillId="11" borderId="67" xfId="0" applyFont="1" applyFill="1" applyBorder="1" applyAlignment="1">
      <alignment horizontal="center" vertical="center"/>
    </xf>
    <xf numFmtId="0" fontId="1" fillId="11" borderId="104" xfId="0" applyFont="1" applyFill="1" applyBorder="1" applyAlignment="1">
      <alignment horizontal="center" vertical="center"/>
    </xf>
    <xf numFmtId="0" fontId="0" fillId="0" borderId="109" xfId="0" applyFont="1" applyBorder="1">
      <alignment vertical="center"/>
    </xf>
    <xf numFmtId="0" fontId="0" fillId="0" borderId="110" xfId="0" applyFont="1" applyBorder="1" applyAlignment="1">
      <alignment horizontal="center" vertical="center"/>
    </xf>
    <xf numFmtId="0" fontId="0" fillId="0" borderId="111" xfId="0" applyFont="1" applyBorder="1" applyAlignment="1">
      <alignment horizontal="center" vertical="center"/>
    </xf>
    <xf numFmtId="0" fontId="11" fillId="12" borderId="66" xfId="0" applyFont="1" applyFill="1" applyBorder="1" applyAlignment="1">
      <alignment vertical="center" wrapText="1"/>
    </xf>
    <xf numFmtId="0" fontId="0" fillId="0" borderId="66" xfId="0" applyFont="1" applyBorder="1">
      <alignment vertical="center"/>
    </xf>
    <xf numFmtId="0" fontId="2" fillId="3" borderId="86" xfId="0" applyFont="1" applyFill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5" borderId="52" xfId="0" applyFont="1" applyFill="1" applyBorder="1" applyAlignment="1">
      <alignment horizontal="center" vertical="center"/>
    </xf>
    <xf numFmtId="0" fontId="0" fillId="5" borderId="66" xfId="0" applyFont="1" applyFill="1" applyBorder="1" applyAlignment="1">
      <alignment horizontal="center" vertical="center"/>
    </xf>
    <xf numFmtId="0" fontId="5" fillId="5" borderId="66" xfId="0" applyFont="1" applyFill="1" applyBorder="1" applyAlignment="1">
      <alignment horizontal="center" vertical="center"/>
    </xf>
    <xf numFmtId="0" fontId="1" fillId="5" borderId="66" xfId="0" applyFont="1" applyFill="1" applyBorder="1" applyAlignment="1">
      <alignment horizontal="center" vertical="center"/>
    </xf>
    <xf numFmtId="0" fontId="0" fillId="0" borderId="52" xfId="0" applyFont="1" applyBorder="1">
      <alignment vertical="center"/>
    </xf>
    <xf numFmtId="0" fontId="0" fillId="16" borderId="52" xfId="0" applyFont="1" applyFill="1" applyBorder="1" applyAlignment="1">
      <alignment horizontal="center" vertical="center"/>
    </xf>
    <xf numFmtId="0" fontId="0" fillId="16" borderId="66" xfId="0" applyFont="1" applyFill="1" applyBorder="1" applyAlignment="1">
      <alignment horizontal="center" vertical="center"/>
    </xf>
    <xf numFmtId="0" fontId="5" fillId="9" borderId="66" xfId="0" applyFont="1" applyFill="1" applyBorder="1" applyAlignment="1">
      <alignment horizontal="center" vertical="center"/>
    </xf>
    <xf numFmtId="0" fontId="1" fillId="9" borderId="66" xfId="0" applyFont="1" applyFill="1" applyBorder="1" applyAlignment="1">
      <alignment horizontal="center" vertical="center"/>
    </xf>
    <xf numFmtId="0" fontId="0" fillId="4" borderId="52" xfId="0" applyFont="1" applyFill="1" applyBorder="1" applyAlignment="1">
      <alignment horizontal="center" vertical="center"/>
    </xf>
    <xf numFmtId="0" fontId="0" fillId="4" borderId="66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0" fillId="7" borderId="52" xfId="0" applyFont="1" applyFill="1" applyBorder="1" applyAlignment="1">
      <alignment horizontal="center" vertical="center"/>
    </xf>
    <xf numFmtId="0" fontId="0" fillId="7" borderId="66" xfId="0" applyFont="1" applyFill="1" applyBorder="1" applyAlignment="1">
      <alignment horizontal="center" vertical="center"/>
    </xf>
    <xf numFmtId="0" fontId="5" fillId="7" borderId="66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0" fillId="6" borderId="52" xfId="0" applyFont="1" applyFill="1" applyBorder="1" applyAlignment="1">
      <alignment horizontal="center" vertical="center"/>
    </xf>
    <xf numFmtId="0" fontId="0" fillId="6" borderId="66" xfId="0" applyFont="1" applyFill="1" applyBorder="1" applyAlignment="1">
      <alignment horizontal="center" vertical="center"/>
    </xf>
    <xf numFmtId="0" fontId="5" fillId="6" borderId="66" xfId="0" applyFont="1" applyFill="1" applyBorder="1" applyAlignment="1">
      <alignment horizontal="center" vertical="center"/>
    </xf>
    <xf numFmtId="0" fontId="1" fillId="6" borderId="66" xfId="0" applyFont="1" applyFill="1" applyBorder="1" applyAlignment="1">
      <alignment horizontal="center" vertical="center"/>
    </xf>
    <xf numFmtId="0" fontId="12" fillId="6" borderId="66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horizontal="center" vertical="center"/>
    </xf>
    <xf numFmtId="0" fontId="0" fillId="8" borderId="66" xfId="0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11" borderId="112" xfId="0" applyFont="1" applyFill="1" applyBorder="1" applyAlignment="1">
      <alignment horizontal="center" vertical="center"/>
    </xf>
    <xf numFmtId="0" fontId="0" fillId="11" borderId="70" xfId="0" applyFont="1" applyFill="1" applyBorder="1" applyAlignment="1">
      <alignment horizontal="center" vertical="center"/>
    </xf>
    <xf numFmtId="0" fontId="5" fillId="11" borderId="66" xfId="0" applyFont="1" applyFill="1" applyBorder="1" applyAlignment="1">
      <alignment horizontal="center" vertical="center"/>
    </xf>
    <xf numFmtId="0" fontId="1" fillId="11" borderId="66" xfId="0" applyFont="1" applyFill="1" applyBorder="1" applyAlignment="1">
      <alignment horizontal="center" vertical="center"/>
    </xf>
    <xf numFmtId="0" fontId="0" fillId="0" borderId="70" xfId="0" applyFont="1" applyBorder="1">
      <alignment vertical="center"/>
    </xf>
    <xf numFmtId="0" fontId="0" fillId="0" borderId="112" xfId="0" applyFont="1" applyBorder="1">
      <alignment vertical="center"/>
    </xf>
    <xf numFmtId="0" fontId="12" fillId="11" borderId="66" xfId="0" applyFont="1" applyFill="1" applyBorder="1" applyAlignment="1">
      <alignment horizontal="center" vertical="center"/>
    </xf>
    <xf numFmtId="0" fontId="5" fillId="11" borderId="70" xfId="0" applyFont="1" applyFill="1" applyBorder="1" applyAlignment="1">
      <alignment horizontal="center" vertical="center"/>
    </xf>
    <xf numFmtId="0" fontId="1" fillId="11" borderId="70" xfId="0" applyFont="1" applyFill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2" fillId="3" borderId="113" xfId="0" applyFont="1" applyFill="1" applyBorder="1" applyAlignment="1">
      <alignment horizontal="center" vertical="center"/>
    </xf>
    <xf numFmtId="0" fontId="5" fillId="5" borderId="114" xfId="0" applyFont="1" applyFill="1" applyBorder="1" applyAlignment="1">
      <alignment horizontal="center" vertical="center"/>
    </xf>
    <xf numFmtId="0" fontId="5" fillId="9" borderId="114" xfId="0" applyFont="1" applyFill="1" applyBorder="1" applyAlignment="1">
      <alignment horizontal="center" vertical="center"/>
    </xf>
    <xf numFmtId="0" fontId="5" fillId="4" borderId="114" xfId="0" applyFont="1" applyFill="1" applyBorder="1" applyAlignment="1">
      <alignment horizontal="center" vertical="center"/>
    </xf>
    <xf numFmtId="0" fontId="5" fillId="7" borderId="114" xfId="0" applyFont="1" applyFill="1" applyBorder="1" applyAlignment="1">
      <alignment horizontal="center" vertical="center"/>
    </xf>
    <xf numFmtId="0" fontId="5" fillId="6" borderId="114" xfId="0" applyFont="1" applyFill="1" applyBorder="1" applyAlignment="1">
      <alignment horizontal="center" vertical="center"/>
    </xf>
    <xf numFmtId="0" fontId="5" fillId="8" borderId="114" xfId="0" applyFont="1" applyFill="1" applyBorder="1" applyAlignment="1">
      <alignment horizontal="center" vertical="center"/>
    </xf>
    <xf numFmtId="0" fontId="5" fillId="11" borderId="114" xfId="0" applyFont="1" applyFill="1" applyBorder="1" applyAlignment="1">
      <alignment horizontal="center" vertical="center"/>
    </xf>
    <xf numFmtId="0" fontId="0" fillId="11" borderId="66" xfId="0" applyFont="1" applyFill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/>
    </xf>
    <xf numFmtId="0" fontId="11" fillId="0" borderId="80" xfId="0" applyFont="1" applyBorder="1">
      <alignment vertical="center"/>
    </xf>
    <xf numFmtId="0" fontId="3" fillId="2" borderId="116" xfId="0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/>
    </xf>
    <xf numFmtId="0" fontId="11" fillId="0" borderId="117" xfId="0" applyFont="1" applyBorder="1">
      <alignment vertical="center"/>
    </xf>
    <xf numFmtId="0" fontId="11" fillId="0" borderId="118" xfId="0" applyFont="1" applyBorder="1">
      <alignment vertical="center"/>
    </xf>
    <xf numFmtId="0" fontId="3" fillId="13" borderId="119" xfId="0" applyFont="1" applyFill="1" applyBorder="1" applyAlignment="1">
      <alignment horizontal="center" vertical="center"/>
    </xf>
    <xf numFmtId="0" fontId="5" fillId="3" borderId="120" xfId="0" applyFont="1" applyFill="1" applyBorder="1" applyAlignment="1">
      <alignment horizontal="center" vertical="center"/>
    </xf>
    <xf numFmtId="0" fontId="2" fillId="3" borderId="121" xfId="0" applyFont="1" applyFill="1" applyBorder="1" applyAlignment="1">
      <alignment horizontal="center" vertical="center"/>
    </xf>
    <xf numFmtId="0" fontId="2" fillId="14" borderId="122" xfId="0" applyFont="1" applyFill="1" applyBorder="1" applyAlignment="1">
      <alignment horizontal="center" vertical="center" wrapText="1"/>
    </xf>
    <xf numFmtId="0" fontId="5" fillId="5" borderId="123" xfId="0" applyFont="1" applyFill="1" applyBorder="1" applyAlignment="1">
      <alignment horizontal="center" vertical="center"/>
    </xf>
    <xf numFmtId="0" fontId="1" fillId="5" borderId="124" xfId="0" applyFont="1" applyFill="1" applyBorder="1" applyAlignment="1">
      <alignment horizontal="center" vertical="center"/>
    </xf>
    <xf numFmtId="0" fontId="11" fillId="0" borderId="122" xfId="0" applyFont="1" applyFill="1" applyBorder="1" applyAlignment="1">
      <alignment horizontal="center" vertical="center"/>
    </xf>
    <xf numFmtId="0" fontId="0" fillId="0" borderId="125" xfId="0" applyFont="1" applyBorder="1">
      <alignment vertical="center"/>
    </xf>
    <xf numFmtId="0" fontId="0" fillId="0" borderId="126" xfId="0" applyFont="1" applyBorder="1">
      <alignment vertical="center"/>
    </xf>
    <xf numFmtId="0" fontId="0" fillId="0" borderId="122" xfId="0" applyFont="1" applyFill="1" applyBorder="1" applyAlignment="1">
      <alignment horizontal="center" vertical="center"/>
    </xf>
    <xf numFmtId="0" fontId="5" fillId="9" borderId="120" xfId="0" applyFont="1" applyFill="1" applyBorder="1" applyAlignment="1">
      <alignment horizontal="center" vertical="center"/>
    </xf>
    <xf numFmtId="0" fontId="1" fillId="9" borderId="121" xfId="0" applyFont="1" applyFill="1" applyBorder="1" applyAlignment="1">
      <alignment horizontal="center" vertical="center"/>
    </xf>
    <xf numFmtId="0" fontId="5" fillId="4" borderId="123" xfId="0" applyFont="1" applyFill="1" applyBorder="1" applyAlignment="1">
      <alignment horizontal="center" vertical="center"/>
    </xf>
    <xf numFmtId="0" fontId="1" fillId="4" borderId="121" xfId="0" applyFont="1" applyFill="1" applyBorder="1" applyAlignment="1">
      <alignment horizontal="center" vertical="center"/>
    </xf>
    <xf numFmtId="0" fontId="1" fillId="7" borderId="123" xfId="0" applyFont="1" applyFill="1" applyBorder="1" applyAlignment="1">
      <alignment horizontal="center" vertical="center"/>
    </xf>
    <xf numFmtId="0" fontId="1" fillId="7" borderId="121" xfId="0" applyFont="1" applyFill="1" applyBorder="1" applyAlignment="1">
      <alignment horizontal="center" vertical="center"/>
    </xf>
    <xf numFmtId="0" fontId="5" fillId="6" borderId="123" xfId="0" applyFont="1" applyFill="1" applyBorder="1" applyAlignment="1">
      <alignment horizontal="center" vertical="center"/>
    </xf>
    <xf numFmtId="0" fontId="1" fillId="6" borderId="121" xfId="0" applyFont="1" applyFill="1" applyBorder="1" applyAlignment="1">
      <alignment horizontal="center" vertical="center"/>
    </xf>
    <xf numFmtId="0" fontId="5" fillId="8" borderId="123" xfId="0" applyFont="1" applyFill="1" applyBorder="1" applyAlignment="1">
      <alignment horizontal="center" vertical="center"/>
    </xf>
    <xf numFmtId="0" fontId="1" fillId="8" borderId="121" xfId="0" applyFont="1" applyFill="1" applyBorder="1" applyAlignment="1">
      <alignment horizontal="center" vertical="center"/>
    </xf>
    <xf numFmtId="0" fontId="5" fillId="12" borderId="123" xfId="0" applyFont="1" applyFill="1" applyBorder="1" applyAlignment="1">
      <alignment horizontal="center" vertical="center"/>
    </xf>
    <xf numFmtId="0" fontId="5" fillId="12" borderId="127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11" fillId="14" borderId="104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0" fillId="0" borderId="128" xfId="0" applyFont="1" applyFill="1" applyBorder="1" applyAlignment="1">
      <alignment horizontal="center" vertical="center"/>
    </xf>
    <xf numFmtId="0" fontId="5" fillId="15" borderId="129" xfId="0" applyFont="1" applyFill="1" applyBorder="1" applyAlignment="1">
      <alignment horizontal="center" vertical="center"/>
    </xf>
    <xf numFmtId="0" fontId="5" fillId="15" borderId="130" xfId="0" applyFont="1" applyFill="1" applyBorder="1" applyAlignment="1">
      <alignment horizontal="center" vertical="center"/>
    </xf>
    <xf numFmtId="0" fontId="1" fillId="15" borderId="130" xfId="0" applyFont="1" applyFill="1" applyBorder="1" applyAlignment="1">
      <alignment horizontal="center" vertical="center"/>
    </xf>
    <xf numFmtId="0" fontId="1" fillId="15" borderId="131" xfId="0" applyFont="1" applyFill="1" applyBorder="1" applyAlignment="1">
      <alignment horizontal="center" vertical="center"/>
    </xf>
    <xf numFmtId="0" fontId="0" fillId="0" borderId="132" xfId="0" applyFont="1" applyFill="1" applyBorder="1" applyAlignment="1">
      <alignment horizontal="center" vertical="center"/>
    </xf>
    <xf numFmtId="0" fontId="5" fillId="11" borderId="123" xfId="0" applyFont="1" applyFill="1" applyBorder="1" applyAlignment="1">
      <alignment horizontal="center" vertical="center"/>
    </xf>
    <xf numFmtId="0" fontId="1" fillId="11" borderId="121" xfId="0" applyFont="1" applyFill="1" applyBorder="1" applyAlignment="1">
      <alignment horizontal="center" vertical="center"/>
    </xf>
    <xf numFmtId="0" fontId="0" fillId="0" borderId="133" xfId="0" applyFont="1" applyBorder="1">
      <alignment vertical="center"/>
    </xf>
    <xf numFmtId="0" fontId="5" fillId="11" borderId="134" xfId="0" applyFont="1" applyFill="1" applyBorder="1" applyAlignment="1">
      <alignment horizontal="center" vertical="center"/>
    </xf>
    <xf numFmtId="0" fontId="1" fillId="11" borderId="134" xfId="0" applyFont="1" applyFill="1" applyBorder="1" applyAlignment="1">
      <alignment horizontal="center" vertical="center"/>
    </xf>
    <xf numFmtId="0" fontId="1" fillId="11" borderId="135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9" fillId="0" borderId="133" xfId="0" applyFont="1" applyFill="1" applyBorder="1" applyAlignment="1">
      <alignment horizontal="center" vertical="center"/>
    </xf>
    <xf numFmtId="0" fontId="9" fillId="0" borderId="136" xfId="0" applyFont="1" applyFill="1" applyBorder="1" applyAlignment="1">
      <alignment horizontal="center" vertical="center"/>
    </xf>
    <xf numFmtId="0" fontId="0" fillId="0" borderId="15" xfId="0" applyFont="1" applyBorder="1">
      <alignment vertical="center"/>
    </xf>
    <xf numFmtId="0" fontId="0" fillId="0" borderId="16" xfId="0" applyFont="1" applyBorder="1">
      <alignment vertical="center"/>
    </xf>
    <xf numFmtId="0" fontId="9" fillId="0" borderId="137" xfId="0" applyFont="1" applyFill="1" applyBorder="1" applyAlignment="1">
      <alignment horizontal="center" vertical="center"/>
    </xf>
    <xf numFmtId="0" fontId="11" fillId="0" borderId="51" xfId="0" applyFont="1" applyBorder="1">
      <alignment vertical="center"/>
    </xf>
    <xf numFmtId="0" fontId="0" fillId="0" borderId="94" xfId="0" applyFont="1" applyBorder="1">
      <alignment vertical="center"/>
    </xf>
    <xf numFmtId="0" fontId="0" fillId="0" borderId="98" xfId="0" applyFont="1" applyBorder="1">
      <alignment vertical="center"/>
    </xf>
    <xf numFmtId="0" fontId="5" fillId="7" borderId="138" xfId="0" applyFont="1" applyFill="1" applyBorder="1" applyAlignment="1">
      <alignment horizontal="center" vertical="center"/>
    </xf>
    <xf numFmtId="0" fontId="5" fillId="15" borderId="65" xfId="0" applyFont="1" applyFill="1" applyBorder="1" applyAlignment="1">
      <alignment horizontal="center" vertical="center"/>
    </xf>
    <xf numFmtId="0" fontId="1" fillId="15" borderId="67" xfId="0" applyFont="1" applyFill="1" applyBorder="1" applyAlignment="1">
      <alignment horizontal="center" vertical="center"/>
    </xf>
    <xf numFmtId="0" fontId="1" fillId="15" borderId="10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3" borderId="139" xfId="0" applyFont="1" applyFill="1" applyBorder="1" applyAlignment="1">
      <alignment horizontal="center" vertical="center" wrapText="1"/>
    </xf>
    <xf numFmtId="0" fontId="5" fillId="5" borderId="106" xfId="0" applyFont="1" applyFill="1" applyBorder="1" applyAlignment="1">
      <alignment horizontal="center" vertical="center"/>
    </xf>
    <xf numFmtId="0" fontId="1" fillId="5" borderId="106" xfId="0" applyFont="1" applyFill="1" applyBorder="1" applyAlignment="1">
      <alignment horizontal="center" vertical="center"/>
    </xf>
    <xf numFmtId="0" fontId="1" fillId="5" borderId="107" xfId="0" applyFont="1" applyFill="1" applyBorder="1" applyAlignment="1">
      <alignment horizontal="center" vertical="center" wrapText="1"/>
    </xf>
    <xf numFmtId="0" fontId="11" fillId="0" borderId="106" xfId="0" applyFont="1" applyBorder="1">
      <alignment vertical="center"/>
    </xf>
    <xf numFmtId="0" fontId="5" fillId="9" borderId="106" xfId="0" applyFont="1" applyFill="1" applyBorder="1" applyAlignment="1">
      <alignment horizontal="center" vertical="center"/>
    </xf>
    <xf numFmtId="0" fontId="1" fillId="9" borderId="106" xfId="0" applyFont="1" applyFill="1" applyBorder="1" applyAlignment="1">
      <alignment horizontal="center" vertical="center"/>
    </xf>
    <xf numFmtId="0" fontId="1" fillId="9" borderId="107" xfId="0" applyFont="1" applyFill="1" applyBorder="1" applyAlignment="1">
      <alignment horizontal="center" vertical="center" wrapText="1"/>
    </xf>
    <xf numFmtId="0" fontId="5" fillId="4" borderId="106" xfId="0" applyFont="1" applyFill="1" applyBorder="1" applyAlignment="1">
      <alignment horizontal="center" vertical="center"/>
    </xf>
    <xf numFmtId="0" fontId="1" fillId="4" borderId="106" xfId="0" applyFont="1" applyFill="1" applyBorder="1" applyAlignment="1">
      <alignment horizontal="center" vertical="center"/>
    </xf>
    <xf numFmtId="0" fontId="1" fillId="4" borderId="107" xfId="0" applyFont="1" applyFill="1" applyBorder="1" applyAlignment="1">
      <alignment horizontal="center" vertical="center" wrapText="1"/>
    </xf>
    <xf numFmtId="0" fontId="1" fillId="7" borderId="106" xfId="0" applyFont="1" applyFill="1" applyBorder="1" applyAlignment="1">
      <alignment horizontal="center" vertical="center"/>
    </xf>
    <xf numFmtId="0" fontId="1" fillId="7" borderId="107" xfId="0" applyFont="1" applyFill="1" applyBorder="1" applyAlignment="1">
      <alignment horizontal="center" vertical="center" wrapText="1"/>
    </xf>
    <xf numFmtId="0" fontId="5" fillId="6" borderId="106" xfId="0" applyFont="1" applyFill="1" applyBorder="1" applyAlignment="1">
      <alignment horizontal="center" vertical="center"/>
    </xf>
    <xf numFmtId="0" fontId="1" fillId="6" borderId="106" xfId="0" applyFont="1" applyFill="1" applyBorder="1" applyAlignment="1">
      <alignment horizontal="center" vertical="center"/>
    </xf>
    <xf numFmtId="0" fontId="1" fillId="6" borderId="107" xfId="0" applyFont="1" applyFill="1" applyBorder="1" applyAlignment="1">
      <alignment horizontal="center" vertical="center" wrapText="1"/>
    </xf>
    <xf numFmtId="0" fontId="12" fillId="6" borderId="106" xfId="0" applyFont="1" applyFill="1" applyBorder="1" applyAlignment="1">
      <alignment horizontal="center" vertical="center"/>
    </xf>
    <xf numFmtId="0" fontId="1" fillId="12" borderId="140" xfId="0" applyFont="1" applyFill="1" applyBorder="1" applyAlignment="1">
      <alignment horizontal="center" vertical="center" wrapText="1"/>
    </xf>
    <xf numFmtId="0" fontId="5" fillId="8" borderId="106" xfId="0" applyFont="1" applyFill="1" applyBorder="1" applyAlignment="1">
      <alignment horizontal="center" vertical="center"/>
    </xf>
    <xf numFmtId="0" fontId="1" fillId="8" borderId="106" xfId="0" applyFont="1" applyFill="1" applyBorder="1" applyAlignment="1">
      <alignment horizontal="center" vertical="center"/>
    </xf>
    <xf numFmtId="0" fontId="1" fillId="8" borderId="107" xfId="0" applyFont="1" applyFill="1" applyBorder="1" applyAlignment="1">
      <alignment horizontal="center" vertical="center" wrapText="1"/>
    </xf>
    <xf numFmtId="0" fontId="5" fillId="11" borderId="106" xfId="0" applyFont="1" applyFill="1" applyBorder="1" applyAlignment="1">
      <alignment horizontal="center" vertical="center"/>
    </xf>
    <xf numFmtId="0" fontId="1" fillId="11" borderId="106" xfId="0" applyFont="1" applyFill="1" applyBorder="1" applyAlignment="1">
      <alignment horizontal="center" vertical="center"/>
    </xf>
    <xf numFmtId="0" fontId="1" fillId="11" borderId="107" xfId="0" applyFont="1" applyFill="1" applyBorder="1" applyAlignment="1">
      <alignment horizontal="center" vertical="center" wrapText="1"/>
    </xf>
    <xf numFmtId="0" fontId="12" fillId="11" borderId="106" xfId="0" applyFont="1" applyFill="1" applyBorder="1" applyAlignment="1">
      <alignment horizontal="center" vertical="center"/>
    </xf>
    <xf numFmtId="0" fontId="2" fillId="13" borderId="102" xfId="0" applyFont="1" applyFill="1" applyBorder="1" applyAlignment="1">
      <alignment horizontal="center" vertical="center"/>
    </xf>
    <xf numFmtId="0" fontId="0" fillId="0" borderId="141" xfId="0" applyFont="1" applyBorder="1">
      <alignment vertical="center"/>
    </xf>
    <xf numFmtId="0" fontId="1" fillId="14" borderId="66" xfId="0" applyFont="1" applyFill="1" applyBorder="1" applyAlignment="1">
      <alignment horizontal="center" vertical="center"/>
    </xf>
    <xf numFmtId="0" fontId="11" fillId="5" borderId="67" xfId="0" applyFont="1" applyFill="1" applyBorder="1" applyAlignment="1">
      <alignment horizontal="center" vertical="center"/>
    </xf>
    <xf numFmtId="0" fontId="11" fillId="5" borderId="66" xfId="0" applyFont="1" applyFill="1" applyBorder="1" applyAlignment="1">
      <alignment horizontal="center" vertical="center"/>
    </xf>
    <xf numFmtId="0" fontId="11" fillId="0" borderId="66" xfId="0" applyFont="1" applyBorder="1">
      <alignment vertical="center"/>
    </xf>
    <xf numFmtId="0" fontId="11" fillId="0" borderId="104" xfId="0" applyFont="1" applyBorder="1">
      <alignment vertical="center"/>
    </xf>
    <xf numFmtId="0" fontId="11" fillId="16" borderId="67" xfId="0" applyFont="1" applyFill="1" applyBorder="1" applyAlignment="1">
      <alignment horizontal="center" vertical="center"/>
    </xf>
    <xf numFmtId="0" fontId="11" fillId="16" borderId="66" xfId="0" applyFont="1" applyFill="1" applyBorder="1" applyAlignment="1">
      <alignment horizontal="center" vertical="center"/>
    </xf>
    <xf numFmtId="0" fontId="0" fillId="0" borderId="104" xfId="0" applyFont="1" applyBorder="1">
      <alignment vertical="center"/>
    </xf>
    <xf numFmtId="0" fontId="11" fillId="4" borderId="67" xfId="0" applyFont="1" applyFill="1" applyBorder="1" applyAlignment="1">
      <alignment horizontal="center" vertical="center"/>
    </xf>
    <xf numFmtId="0" fontId="11" fillId="4" borderId="66" xfId="0" applyFont="1" applyFill="1" applyBorder="1" applyAlignment="1">
      <alignment horizontal="center" vertical="center"/>
    </xf>
    <xf numFmtId="0" fontId="11" fillId="7" borderId="67" xfId="0" applyFont="1" applyFill="1" applyBorder="1" applyAlignment="1">
      <alignment horizontal="center" vertical="center"/>
    </xf>
    <xf numFmtId="0" fontId="11" fillId="7" borderId="66" xfId="0" applyFont="1" applyFill="1" applyBorder="1" applyAlignment="1">
      <alignment horizontal="center" vertical="center"/>
    </xf>
    <xf numFmtId="0" fontId="1" fillId="7" borderId="104" xfId="0" applyFont="1" applyFill="1" applyBorder="1" applyAlignment="1">
      <alignment horizontal="center" vertical="center"/>
    </xf>
    <xf numFmtId="0" fontId="11" fillId="6" borderId="67" xfId="0" applyFont="1" applyFill="1" applyBorder="1" applyAlignment="1">
      <alignment horizontal="center" vertical="center"/>
    </xf>
    <xf numFmtId="0" fontId="11" fillId="6" borderId="66" xfId="0" applyFont="1" applyFill="1" applyBorder="1" applyAlignment="1">
      <alignment horizontal="center" vertical="center"/>
    </xf>
    <xf numFmtId="0" fontId="1" fillId="12" borderId="66" xfId="0" applyFont="1" applyFill="1" applyBorder="1" applyAlignment="1">
      <alignment horizontal="center" vertical="center"/>
    </xf>
    <xf numFmtId="0" fontId="11" fillId="8" borderId="67" xfId="0" applyFont="1" applyFill="1" applyBorder="1" applyAlignment="1">
      <alignment horizontal="center" vertical="center"/>
    </xf>
    <xf numFmtId="0" fontId="11" fillId="8" borderId="66" xfId="0" applyFont="1" applyFill="1" applyBorder="1" applyAlignment="1">
      <alignment horizontal="center" vertical="center"/>
    </xf>
    <xf numFmtId="0" fontId="11" fillId="11" borderId="67" xfId="0" applyFont="1" applyFill="1" applyBorder="1" applyAlignment="1">
      <alignment horizontal="center" vertical="center"/>
    </xf>
    <xf numFmtId="0" fontId="11" fillId="11" borderId="66" xfId="0" applyFont="1" applyFill="1" applyBorder="1" applyAlignment="1">
      <alignment horizontal="center" vertical="center"/>
    </xf>
    <xf numFmtId="0" fontId="1" fillId="11" borderId="110" xfId="0" applyFont="1" applyFill="1" applyBorder="1" applyAlignment="1">
      <alignment horizontal="center" vertical="center"/>
    </xf>
    <xf numFmtId="0" fontId="1" fillId="11" borderId="142" xfId="0" applyFont="1" applyFill="1" applyBorder="1" applyAlignment="1">
      <alignment horizontal="center" vertical="center"/>
    </xf>
    <xf numFmtId="0" fontId="11" fillId="0" borderId="142" xfId="0" applyFont="1" applyBorder="1">
      <alignment vertical="center"/>
    </xf>
    <xf numFmtId="0" fontId="0" fillId="0" borderId="111" xfId="0" applyFont="1" applyBorder="1">
      <alignment vertical="center"/>
    </xf>
    <xf numFmtId="0" fontId="2" fillId="3" borderId="140" xfId="0" applyFont="1" applyFill="1" applyBorder="1" applyAlignment="1">
      <alignment horizontal="center" vertical="center" wrapText="1"/>
    </xf>
    <xf numFmtId="0" fontId="1" fillId="5" borderId="140" xfId="0" applyFont="1" applyFill="1" applyBorder="1" applyAlignment="1">
      <alignment horizontal="center" vertical="center" wrapText="1"/>
    </xf>
    <xf numFmtId="0" fontId="1" fillId="9" borderId="140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5" fillId="9" borderId="0" xfId="0" applyFont="1" applyFill="1" applyAlignment="1">
      <alignment horizontal="center" vertical="center"/>
    </xf>
    <xf numFmtId="0" fontId="1" fillId="4" borderId="140" xfId="0" applyFont="1" applyFill="1" applyBorder="1" applyAlignment="1">
      <alignment horizontal="center" vertical="center" wrapText="1"/>
    </xf>
    <xf numFmtId="0" fontId="5" fillId="7" borderId="140" xfId="0" applyFont="1" applyFill="1" applyBorder="1" applyAlignment="1">
      <alignment horizontal="center" vertical="center"/>
    </xf>
    <xf numFmtId="0" fontId="1" fillId="7" borderId="140" xfId="0" applyFont="1" applyFill="1" applyBorder="1" applyAlignment="1">
      <alignment horizontal="center" vertical="center" wrapText="1"/>
    </xf>
    <xf numFmtId="0" fontId="1" fillId="6" borderId="140" xfId="0" applyFont="1" applyFill="1" applyBorder="1" applyAlignment="1">
      <alignment horizontal="center" vertical="center" wrapText="1"/>
    </xf>
    <xf numFmtId="0" fontId="7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1" fillId="8" borderId="140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140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140" xfId="0" applyFont="1" applyFill="1" applyBorder="1" applyAlignment="1">
      <alignment horizontal="center" vertical="center" wrapText="1"/>
    </xf>
    <xf numFmtId="0" fontId="1" fillId="11" borderId="140" xfId="0" applyFont="1" applyFill="1" applyBorder="1" applyAlignment="1">
      <alignment horizontal="center" vertical="center" wrapText="1"/>
    </xf>
    <xf numFmtId="0" fontId="1" fillId="11" borderId="139" xfId="0" applyFont="1" applyFill="1" applyBorder="1" applyAlignment="1">
      <alignment horizontal="center" vertical="center" wrapText="1"/>
    </xf>
    <xf numFmtId="0" fontId="1" fillId="0" borderId="143" xfId="0" applyFont="1" applyBorder="1" applyAlignment="1">
      <alignment horizontal="center" vertical="center" wrapText="1"/>
    </xf>
    <xf numFmtId="0" fontId="2" fillId="13" borderId="144" xfId="0" applyFont="1" applyFill="1" applyBorder="1" applyAlignment="1">
      <alignment horizontal="center" vertical="center"/>
    </xf>
    <xf numFmtId="0" fontId="0" fillId="0" borderId="145" xfId="0" applyFont="1" applyBorder="1">
      <alignment vertical="center"/>
    </xf>
    <xf numFmtId="0" fontId="0" fillId="0" borderId="146" xfId="0" applyFont="1" applyBorder="1">
      <alignment vertical="center"/>
    </xf>
    <xf numFmtId="0" fontId="1" fillId="14" borderId="147" xfId="0" applyFont="1" applyFill="1" applyBorder="1" applyAlignment="1">
      <alignment horizontal="center" vertical="center"/>
    </xf>
    <xf numFmtId="0" fontId="1" fillId="14" borderId="106" xfId="0" applyFont="1" applyFill="1" applyBorder="1" applyAlignment="1">
      <alignment horizontal="center" vertical="center"/>
    </xf>
    <xf numFmtId="0" fontId="1" fillId="14" borderId="148" xfId="0" applyFont="1" applyFill="1" applyBorder="1" applyAlignment="1">
      <alignment horizontal="center" vertical="center"/>
    </xf>
    <xf numFmtId="0" fontId="1" fillId="5" borderId="147" xfId="0" applyFont="1" applyFill="1" applyBorder="1" applyAlignment="1">
      <alignment horizontal="center" vertical="center"/>
    </xf>
    <xf numFmtId="0" fontId="1" fillId="5" borderId="149" xfId="0" applyFont="1" applyFill="1" applyBorder="1" applyAlignment="1">
      <alignment horizontal="center" vertical="center"/>
    </xf>
    <xf numFmtId="0" fontId="0" fillId="0" borderId="150" xfId="0" applyFont="1" applyBorder="1">
      <alignment vertical="center"/>
    </xf>
    <xf numFmtId="0" fontId="1" fillId="9" borderId="147" xfId="0" applyFont="1" applyFill="1" applyBorder="1" applyAlignment="1">
      <alignment horizontal="center" vertical="center"/>
    </xf>
    <xf numFmtId="0" fontId="0" fillId="0" borderId="151" xfId="0" applyFont="1" applyBorder="1">
      <alignment vertical="center"/>
    </xf>
    <xf numFmtId="0" fontId="1" fillId="9" borderId="148" xfId="0" applyFont="1" applyFill="1" applyBorder="1" applyAlignment="1">
      <alignment horizontal="center" vertical="center"/>
    </xf>
    <xf numFmtId="0" fontId="11" fillId="0" borderId="148" xfId="0" applyFont="1" applyBorder="1">
      <alignment vertical="center"/>
    </xf>
    <xf numFmtId="0" fontId="1" fillId="9" borderId="149" xfId="0" applyFont="1" applyFill="1" applyBorder="1" applyAlignment="1">
      <alignment horizontal="center" vertical="center"/>
    </xf>
    <xf numFmtId="0" fontId="1" fillId="4" borderId="147" xfId="0" applyFont="1" applyFill="1" applyBorder="1" applyAlignment="1">
      <alignment horizontal="center" vertical="center"/>
    </xf>
    <xf numFmtId="0" fontId="1" fillId="4" borderId="148" xfId="0" applyFont="1" applyFill="1" applyBorder="1" applyAlignment="1">
      <alignment horizontal="center" vertical="center"/>
    </xf>
    <xf numFmtId="0" fontId="0" fillId="0" borderId="148" xfId="0" applyFont="1" applyBorder="1">
      <alignment vertical="center"/>
    </xf>
    <xf numFmtId="0" fontId="1" fillId="7" borderId="147" xfId="0" applyFont="1" applyFill="1" applyBorder="1" applyAlignment="1">
      <alignment horizontal="center" vertical="center"/>
    </xf>
    <xf numFmtId="0" fontId="1" fillId="7" borderId="148" xfId="0" applyFont="1" applyFill="1" applyBorder="1" applyAlignment="1">
      <alignment horizontal="center" vertical="center"/>
    </xf>
    <xf numFmtId="0" fontId="1" fillId="8" borderId="147" xfId="0" applyFont="1" applyFill="1" applyBorder="1" applyAlignment="1">
      <alignment horizontal="center" vertical="center"/>
    </xf>
    <xf numFmtId="0" fontId="1" fillId="6" borderId="147" xfId="0" applyFont="1" applyFill="1" applyBorder="1" applyAlignment="1">
      <alignment horizontal="center" vertical="center"/>
    </xf>
    <xf numFmtId="0" fontId="1" fillId="6" borderId="148" xfId="0" applyFont="1" applyFill="1" applyBorder="1" applyAlignment="1">
      <alignment horizontal="center" vertical="center"/>
    </xf>
    <xf numFmtId="0" fontId="1" fillId="8" borderId="148" xfId="0" applyFont="1" applyFill="1" applyBorder="1" applyAlignment="1">
      <alignment horizontal="center" vertical="center"/>
    </xf>
    <xf numFmtId="0" fontId="1" fillId="12" borderId="147" xfId="0" applyFont="1" applyFill="1" applyBorder="1" applyAlignment="1">
      <alignment horizontal="center" vertical="center"/>
    </xf>
    <xf numFmtId="0" fontId="1" fillId="12" borderId="106" xfId="0" applyFont="1" applyFill="1" applyBorder="1" applyAlignment="1">
      <alignment horizontal="center" vertical="center"/>
    </xf>
    <xf numFmtId="0" fontId="1" fillId="12" borderId="148" xfId="0" applyFont="1" applyFill="1" applyBorder="1" applyAlignment="1">
      <alignment horizontal="center" vertical="center"/>
    </xf>
    <xf numFmtId="0" fontId="1" fillId="17" borderId="147" xfId="0" applyFont="1" applyFill="1" applyBorder="1" applyAlignment="1">
      <alignment horizontal="center" vertical="center"/>
    </xf>
    <xf numFmtId="0" fontId="1" fillId="17" borderId="106" xfId="0" applyFont="1" applyFill="1" applyBorder="1" applyAlignment="1">
      <alignment horizontal="center" vertical="center"/>
    </xf>
    <xf numFmtId="0" fontId="1" fillId="17" borderId="148" xfId="0" applyFont="1" applyFill="1" applyBorder="1" applyAlignment="1">
      <alignment horizontal="center" vertical="center"/>
    </xf>
    <xf numFmtId="0" fontId="1" fillId="11" borderId="147" xfId="0" applyFont="1" applyFill="1" applyBorder="1" applyAlignment="1">
      <alignment horizontal="center" vertical="center"/>
    </xf>
    <xf numFmtId="0" fontId="1" fillId="11" borderId="149" xfId="0" applyFont="1" applyFill="1" applyBorder="1" applyAlignment="1">
      <alignment horizontal="center" vertical="center"/>
    </xf>
    <xf numFmtId="0" fontId="1" fillId="11" borderId="152" xfId="0" applyFont="1" applyFill="1" applyBorder="1" applyAlignment="1">
      <alignment horizontal="center" vertical="center"/>
    </xf>
    <xf numFmtId="0" fontId="1" fillId="11" borderId="105" xfId="0" applyFont="1" applyFill="1" applyBorder="1" applyAlignment="1">
      <alignment horizontal="center" vertical="center"/>
    </xf>
    <xf numFmtId="0" fontId="1" fillId="0" borderId="153" xfId="0" applyFont="1" applyBorder="1" applyAlignment="1">
      <alignment horizontal="center" vertical="center"/>
    </xf>
    <xf numFmtId="0" fontId="1" fillId="0" borderId="154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 wrapText="1"/>
    </xf>
    <xf numFmtId="0" fontId="1" fillId="4" borderId="156" xfId="0" applyFont="1" applyFill="1" applyBorder="1" applyAlignment="1">
      <alignment horizontal="center" vertical="center"/>
    </xf>
    <xf numFmtId="0" fontId="1" fillId="7" borderId="105" xfId="0" applyFont="1" applyFill="1" applyBorder="1" applyAlignment="1">
      <alignment horizontal="center" vertical="center"/>
    </xf>
    <xf numFmtId="0" fontId="1" fillId="7" borderId="157" xfId="0" applyFont="1" applyFill="1" applyBorder="1" applyAlignment="1">
      <alignment horizontal="center" vertical="center" wrapText="1"/>
    </xf>
    <xf numFmtId="0" fontId="11" fillId="7" borderId="158" xfId="0" applyFont="1" applyFill="1" applyBorder="1" applyAlignment="1">
      <alignment horizontal="center" vertical="center"/>
    </xf>
    <xf numFmtId="0" fontId="11" fillId="7" borderId="70" xfId="0" applyFon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 wrapText="1"/>
    </xf>
    <xf numFmtId="0" fontId="11" fillId="7" borderId="5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59" xfId="0" applyFont="1" applyFill="1" applyBorder="1" applyAlignment="1">
      <alignment horizontal="center" vertical="center" wrapText="1"/>
    </xf>
    <xf numFmtId="0" fontId="1" fillId="6" borderId="160" xfId="0" applyFont="1" applyFill="1" applyBorder="1" applyAlignment="1">
      <alignment horizontal="center" vertical="center"/>
    </xf>
    <xf numFmtId="0" fontId="1" fillId="6" borderId="108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140" xfId="0" applyFont="1" applyFill="1" applyBorder="1" applyAlignment="1">
      <alignment horizontal="center" vertical="center" wrapText="1"/>
    </xf>
    <xf numFmtId="0" fontId="1" fillId="15" borderId="147" xfId="0" applyFont="1" applyFill="1" applyBorder="1" applyAlignment="1">
      <alignment horizontal="center" vertical="center"/>
    </xf>
    <xf numFmtId="0" fontId="1" fillId="15" borderId="106" xfId="0" applyFont="1" applyFill="1" applyBorder="1" applyAlignment="1">
      <alignment horizontal="center" vertical="center"/>
    </xf>
    <xf numFmtId="0" fontId="1" fillId="7" borderId="124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0" fillId="0" borderId="161" xfId="0" applyFont="1" applyBorder="1">
      <alignment vertical="center"/>
    </xf>
    <xf numFmtId="0" fontId="1" fillId="8" borderId="149" xfId="0" applyFont="1" applyFill="1" applyBorder="1" applyAlignment="1">
      <alignment horizontal="center" vertical="center"/>
    </xf>
    <xf numFmtId="0" fontId="1" fillId="12" borderId="149" xfId="0" applyFont="1" applyFill="1" applyBorder="1" applyAlignment="1">
      <alignment horizontal="center" vertical="center"/>
    </xf>
    <xf numFmtId="0" fontId="1" fillId="15" borderId="149" xfId="0" applyFont="1" applyFill="1" applyBorder="1" applyAlignment="1">
      <alignment horizontal="center" vertical="center"/>
    </xf>
    <xf numFmtId="0" fontId="1" fillId="11" borderId="148" xfId="0" applyFont="1" applyFill="1" applyBorder="1" applyAlignment="1">
      <alignment horizontal="center" vertical="center"/>
    </xf>
    <xf numFmtId="0" fontId="3" fillId="2" borderId="16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13" borderId="163" xfId="0" applyFont="1" applyFill="1" applyBorder="1" applyAlignment="1">
      <alignment horizontal="center" vertical="center"/>
    </xf>
    <xf numFmtId="0" fontId="0" fillId="0" borderId="164" xfId="0" applyFont="1" applyBorder="1">
      <alignment vertical="center"/>
    </xf>
    <xf numFmtId="0" fontId="2" fillId="3" borderId="65" xfId="0" applyFont="1" applyFill="1" applyBorder="1" applyAlignment="1">
      <alignment horizontal="center" vertical="center" wrapText="1"/>
    </xf>
    <xf numFmtId="0" fontId="1" fillId="14" borderId="61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 wrapText="1"/>
    </xf>
    <xf numFmtId="0" fontId="1" fillId="5" borderId="86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 wrapText="1"/>
    </xf>
    <xf numFmtId="0" fontId="0" fillId="0" borderId="23" xfId="0" applyFont="1" applyBorder="1">
      <alignment vertical="center"/>
    </xf>
    <xf numFmtId="0" fontId="1" fillId="4" borderId="65" xfId="0" applyFont="1" applyFill="1" applyBorder="1" applyAlignment="1">
      <alignment horizontal="center" vertical="center" wrapText="1"/>
    </xf>
    <xf numFmtId="0" fontId="11" fillId="7" borderId="61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7" fillId="0" borderId="23" xfId="0" applyFont="1" applyBorder="1">
      <alignment vertical="center"/>
    </xf>
    <xf numFmtId="0" fontId="1" fillId="8" borderId="65" xfId="0" applyFont="1" applyFill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center" vertical="center" wrapText="1"/>
    </xf>
    <xf numFmtId="0" fontId="11" fillId="0" borderId="52" xfId="0" applyFont="1" applyFill="1" applyBorder="1" applyAlignment="1">
      <alignment horizontal="center" vertical="center"/>
    </xf>
    <xf numFmtId="0" fontId="1" fillId="11" borderId="65" xfId="0" applyFont="1" applyFill="1" applyBorder="1" applyAlignment="1">
      <alignment horizontal="center" vertical="center" wrapText="1"/>
    </xf>
    <xf numFmtId="0" fontId="1" fillId="11" borderId="165" xfId="0" applyFont="1" applyFill="1" applyBorder="1" applyAlignment="1">
      <alignment horizontal="center" vertical="center"/>
    </xf>
    <xf numFmtId="0" fontId="1" fillId="11" borderId="166" xfId="0" applyFont="1" applyFill="1" applyBorder="1" applyAlignment="1">
      <alignment horizontal="center" vertical="center"/>
    </xf>
    <xf numFmtId="0" fontId="1" fillId="11" borderId="23" xfId="0" applyFont="1" applyFill="1" applyBorder="1">
      <alignment vertical="center"/>
    </xf>
    <xf numFmtId="0" fontId="0" fillId="0" borderId="167" xfId="0" applyFont="1" applyBorder="1">
      <alignment vertical="center"/>
    </xf>
    <xf numFmtId="0" fontId="1" fillId="14" borderId="168" xfId="0" applyFont="1" applyFill="1" applyBorder="1" applyAlignment="1">
      <alignment horizontal="center" vertical="center"/>
    </xf>
    <xf numFmtId="0" fontId="1" fillId="5" borderId="168" xfId="0" applyFont="1" applyFill="1" applyBorder="1" applyAlignment="1">
      <alignment horizontal="center" vertical="center"/>
    </xf>
    <xf numFmtId="0" fontId="1" fillId="9" borderId="168" xfId="0" applyFont="1" applyFill="1" applyBorder="1" applyAlignment="1">
      <alignment horizontal="center" vertical="center"/>
    </xf>
    <xf numFmtId="0" fontId="1" fillId="4" borderId="168" xfId="0" applyFont="1" applyFill="1" applyBorder="1" applyAlignment="1">
      <alignment horizontal="center" vertical="center"/>
    </xf>
    <xf numFmtId="0" fontId="11" fillId="0" borderId="168" xfId="0" applyFont="1" applyBorder="1">
      <alignment vertical="center"/>
    </xf>
    <xf numFmtId="0" fontId="1" fillId="7" borderId="168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6" borderId="168" xfId="0" applyFont="1" applyFill="1" applyBorder="1" applyAlignment="1">
      <alignment horizontal="center" vertical="center"/>
    </xf>
    <xf numFmtId="0" fontId="0" fillId="0" borderId="168" xfId="0" applyFont="1" applyBorder="1">
      <alignment vertical="center"/>
    </xf>
    <xf numFmtId="0" fontId="1" fillId="8" borderId="168" xfId="0" applyFont="1" applyFill="1" applyBorder="1" applyAlignment="1">
      <alignment horizontal="center" vertical="center"/>
    </xf>
    <xf numFmtId="0" fontId="1" fillId="12" borderId="168" xfId="0" applyFont="1" applyFill="1" applyBorder="1" applyAlignment="1">
      <alignment horizontal="center" vertical="center"/>
    </xf>
    <xf numFmtId="0" fontId="1" fillId="15" borderId="168" xfId="0" applyFont="1" applyFill="1" applyBorder="1" applyAlignment="1">
      <alignment horizontal="center" vertical="center"/>
    </xf>
    <xf numFmtId="0" fontId="1" fillId="11" borderId="168" xfId="0" applyFont="1" applyFill="1" applyBorder="1" applyAlignment="1">
      <alignment horizontal="center" vertical="center"/>
    </xf>
    <xf numFmtId="0" fontId="1" fillId="11" borderId="169" xfId="0" applyFont="1" applyFill="1" applyBorder="1" applyAlignment="1">
      <alignment horizontal="center" vertical="center"/>
    </xf>
    <xf numFmtId="0" fontId="5" fillId="5" borderId="61" xfId="0" applyFont="1" applyFill="1" applyBorder="1" applyAlignment="1">
      <alignment horizontal="center" vertical="center"/>
    </xf>
    <xf numFmtId="0" fontId="5" fillId="9" borderId="61" xfId="0" applyFont="1" applyFill="1" applyBorder="1" applyAlignment="1">
      <alignment horizontal="center" vertical="center"/>
    </xf>
    <xf numFmtId="0" fontId="5" fillId="4" borderId="61" xfId="0" applyFont="1" applyFill="1" applyBorder="1" applyAlignment="1">
      <alignment horizontal="center" vertical="center"/>
    </xf>
    <xf numFmtId="0" fontId="5" fillId="7" borderId="61" xfId="0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horizontal="center" vertical="center"/>
    </xf>
    <xf numFmtId="0" fontId="5" fillId="12" borderId="61" xfId="0" applyFont="1" applyFill="1" applyBorder="1" applyAlignment="1">
      <alignment horizontal="center" vertical="center"/>
    </xf>
    <xf numFmtId="0" fontId="5" fillId="15" borderId="61" xfId="0" applyFont="1" applyFill="1" applyBorder="1" applyAlignment="1">
      <alignment horizontal="center" vertical="center"/>
    </xf>
    <xf numFmtId="0" fontId="1" fillId="15" borderId="65" xfId="0" applyFont="1" applyFill="1" applyBorder="1" applyAlignment="1">
      <alignment horizontal="center" vertical="center" wrapText="1"/>
    </xf>
    <xf numFmtId="0" fontId="5" fillId="11" borderId="61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 wrapText="1"/>
    </xf>
    <xf numFmtId="0" fontId="7" fillId="0" borderId="170" xfId="0" applyFont="1" applyBorder="1" applyAlignment="1">
      <alignment horizontal="center" vertical="center"/>
    </xf>
    <xf numFmtId="0" fontId="0" fillId="0" borderId="171" xfId="0" applyFont="1" applyBorder="1" applyAlignment="1">
      <alignment horizontal="center" vertical="center"/>
    </xf>
    <xf numFmtId="0" fontId="0" fillId="0" borderId="172" xfId="0" applyFont="1" applyBorder="1" applyAlignment="1">
      <alignment horizontal="center" vertical="center"/>
    </xf>
    <xf numFmtId="0" fontId="0" fillId="0" borderId="170" xfId="0" applyFont="1" applyBorder="1" applyAlignment="1">
      <alignment horizontal="center" vertical="center"/>
    </xf>
    <xf numFmtId="0" fontId="1" fillId="5" borderId="173" xfId="0" applyFont="1" applyFill="1" applyBorder="1" applyAlignment="1">
      <alignment horizontal="center" vertical="center"/>
    </xf>
    <xf numFmtId="0" fontId="0" fillId="0" borderId="174" xfId="0" applyFont="1" applyBorder="1">
      <alignment vertical="center"/>
    </xf>
    <xf numFmtId="0" fontId="0" fillId="0" borderId="175" xfId="0" applyFont="1" applyBorder="1">
      <alignment vertical="center"/>
    </xf>
    <xf numFmtId="0" fontId="1" fillId="9" borderId="173" xfId="0" applyFont="1" applyFill="1" applyBorder="1" applyAlignment="1">
      <alignment horizontal="center" vertical="center"/>
    </xf>
    <xf numFmtId="0" fontId="1" fillId="4" borderId="173" xfId="0" applyFont="1" applyFill="1" applyBorder="1" applyAlignment="1">
      <alignment horizontal="center" vertical="center"/>
    </xf>
    <xf numFmtId="0" fontId="1" fillId="12" borderId="173" xfId="0" applyFont="1" applyFill="1" applyBorder="1" applyAlignment="1">
      <alignment horizontal="center" vertical="center"/>
    </xf>
    <xf numFmtId="0" fontId="1" fillId="7" borderId="173" xfId="0" applyFont="1" applyFill="1" applyBorder="1" applyAlignment="1">
      <alignment horizontal="center" vertical="center"/>
    </xf>
    <xf numFmtId="0" fontId="1" fillId="11" borderId="173" xfId="0" applyFont="1" applyFill="1" applyBorder="1" applyAlignment="1">
      <alignment horizontal="center" vertical="center"/>
    </xf>
    <xf numFmtId="0" fontId="0" fillId="18" borderId="0" xfId="0" applyFont="1" applyFill="1">
      <alignment vertical="center"/>
    </xf>
    <xf numFmtId="0" fontId="5" fillId="5" borderId="68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0" fillId="7" borderId="61" xfId="0" applyFont="1" applyFill="1" applyBorder="1" applyAlignment="1">
      <alignment horizontal="center" vertical="center"/>
    </xf>
    <xf numFmtId="0" fontId="7" fillId="0" borderId="73" xfId="0" applyFont="1" applyBorder="1">
      <alignment vertical="center"/>
    </xf>
    <xf numFmtId="0" fontId="7" fillId="0" borderId="74" xfId="0" applyFont="1" applyBorder="1">
      <alignment vertical="center"/>
    </xf>
    <xf numFmtId="0" fontId="1" fillId="9" borderId="0" xfId="0" applyFont="1" applyFill="1" applyAlignment="1">
      <alignment horizontal="center" vertical="center" wrapText="1"/>
    </xf>
    <xf numFmtId="0" fontId="5" fillId="12" borderId="68" xfId="0" applyFont="1" applyFill="1" applyBorder="1" applyAlignment="1">
      <alignment horizontal="center" vertical="center"/>
    </xf>
    <xf numFmtId="0" fontId="0" fillId="0" borderId="176" xfId="0" applyFont="1" applyBorder="1">
      <alignment vertical="center"/>
    </xf>
    <xf numFmtId="0" fontId="13" fillId="3" borderId="23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" fillId="6" borderId="65" xfId="0" applyFont="1" applyFill="1" applyBorder="1">
      <alignment vertical="center"/>
    </xf>
    <xf numFmtId="0" fontId="7" fillId="9" borderId="61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65" xfId="0" applyFont="1" applyFill="1" applyBorder="1" applyAlignment="1">
      <alignment horizontal="center" vertical="center" wrapText="1"/>
    </xf>
    <xf numFmtId="0" fontId="11" fillId="0" borderId="61" xfId="0" applyFont="1" applyBorder="1">
      <alignment vertical="center"/>
    </xf>
    <xf numFmtId="0" fontId="11" fillId="9" borderId="0" xfId="0" applyFont="1" applyFill="1" applyAlignment="1">
      <alignment horizontal="center" vertical="center" wrapText="1"/>
    </xf>
    <xf numFmtId="0" fontId="11" fillId="9" borderId="140" xfId="0" applyFont="1" applyFill="1" applyBorder="1" applyAlignment="1">
      <alignment horizontal="center" vertical="center" wrapText="1"/>
    </xf>
    <xf numFmtId="0" fontId="7" fillId="12" borderId="61" xfId="0" applyFont="1" applyFill="1" applyBorder="1" applyAlignment="1">
      <alignment horizontal="center" vertical="center"/>
    </xf>
    <xf numFmtId="0" fontId="11" fillId="12" borderId="65" xfId="0" applyFont="1" applyFill="1" applyBorder="1" applyAlignment="1">
      <alignment horizontal="center" vertical="center" wrapText="1"/>
    </xf>
    <xf numFmtId="0" fontId="0" fillId="0" borderId="61" xfId="0" applyFont="1" applyBorder="1">
      <alignment vertical="center"/>
    </xf>
    <xf numFmtId="0" fontId="0" fillId="3" borderId="23" xfId="0" applyFont="1" applyFill="1" applyBorder="1" applyAlignment="1">
      <alignment horizontal="center" vertical="center"/>
    </xf>
    <xf numFmtId="0" fontId="11" fillId="0" borderId="23" xfId="0" applyFont="1" applyBorder="1">
      <alignment vertical="center"/>
    </xf>
    <xf numFmtId="0" fontId="0" fillId="0" borderId="177" xfId="0" applyFont="1" applyBorder="1">
      <alignment vertical="center"/>
    </xf>
    <xf numFmtId="0" fontId="0" fillId="0" borderId="22" xfId="0" applyFont="1" applyBorder="1">
      <alignment vertical="center"/>
    </xf>
    <xf numFmtId="0" fontId="2" fillId="18" borderId="0" xfId="0" applyFont="1" applyFill="1" applyAlignment="1">
      <alignment horizontal="left" vertical="center" wrapText="1"/>
    </xf>
    <xf numFmtId="0" fontId="3" fillId="18" borderId="0" xfId="0" applyFont="1" applyFill="1" applyAlignment="1">
      <alignment horizontal="center" vertical="center"/>
    </xf>
    <xf numFmtId="0" fontId="2" fillId="3" borderId="69" xfId="0" applyFont="1" applyFill="1" applyBorder="1" applyAlignment="1">
      <alignment horizontal="center" vertical="center" wrapText="1"/>
    </xf>
    <xf numFmtId="0" fontId="5" fillId="4" borderId="68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5" fillId="19" borderId="2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left" vertical="center" wrapText="1"/>
    </xf>
    <xf numFmtId="0" fontId="5" fillId="9" borderId="68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left" vertical="center" wrapText="1"/>
    </xf>
    <xf numFmtId="0" fontId="5" fillId="6" borderId="6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left" vertical="center" wrapText="1"/>
    </xf>
    <xf numFmtId="0" fontId="5" fillId="8" borderId="68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left" vertical="center" wrapText="1"/>
    </xf>
    <xf numFmtId="0" fontId="1" fillId="12" borderId="23" xfId="0" applyFont="1" applyFill="1" applyBorder="1" applyAlignment="1">
      <alignment horizontal="left" vertical="center" wrapText="1"/>
    </xf>
    <xf numFmtId="0" fontId="1" fillId="15" borderId="23" xfId="0" applyFont="1" applyFill="1" applyBorder="1" applyAlignment="1">
      <alignment horizontal="left" vertical="center" wrapText="1"/>
    </xf>
    <xf numFmtId="0" fontId="14" fillId="7" borderId="23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left" vertical="center" wrapText="1"/>
    </xf>
    <xf numFmtId="0" fontId="5" fillId="11" borderId="73" xfId="0" applyFont="1" applyFill="1" applyBorder="1" applyAlignment="1">
      <alignment horizontal="center" vertical="center"/>
    </xf>
    <xf numFmtId="0" fontId="5" fillId="19" borderId="26" xfId="0" applyFont="1" applyFill="1" applyBorder="1" applyAlignment="1">
      <alignment horizontal="center" vertical="center"/>
    </xf>
    <xf numFmtId="0" fontId="7" fillId="0" borderId="178" xfId="0" applyFont="1" applyBorder="1">
      <alignment vertical="center"/>
    </xf>
    <xf numFmtId="0" fontId="5" fillId="19" borderId="166" xfId="0" applyFont="1" applyFill="1" applyBorder="1" applyAlignment="1">
      <alignment horizontal="center" vertical="center"/>
    </xf>
    <xf numFmtId="0" fontId="1" fillId="11" borderId="179" xfId="0" applyFont="1" applyFill="1" applyBorder="1" applyAlignment="1">
      <alignment horizontal="center" vertical="center"/>
    </xf>
    <xf numFmtId="0" fontId="1" fillId="11" borderId="166" xfId="0" applyFont="1" applyFill="1" applyBorder="1" applyAlignment="1">
      <alignment horizontal="left" vertical="center" wrapText="1"/>
    </xf>
    <xf numFmtId="0" fontId="0" fillId="0" borderId="94" xfId="0" applyFont="1" applyBorder="1" applyAlignment="1">
      <alignment horizontal="center" vertical="center"/>
    </xf>
    <xf numFmtId="0" fontId="0" fillId="0" borderId="180" xfId="0" applyFont="1" applyBorder="1" applyAlignment="1">
      <alignment horizontal="center" vertical="center"/>
    </xf>
    <xf numFmtId="0" fontId="7" fillId="0" borderId="180" xfId="0" applyFont="1" applyBorder="1" applyAlignment="1">
      <alignment horizontal="center" vertical="center"/>
    </xf>
    <xf numFmtId="0" fontId="0" fillId="0" borderId="181" xfId="0" applyFont="1" applyBorder="1" applyAlignment="1">
      <alignment horizontal="center" vertical="center"/>
    </xf>
    <xf numFmtId="0" fontId="2" fillId="13" borderId="182" xfId="0" applyFont="1" applyFill="1" applyBorder="1" applyAlignment="1">
      <alignment horizontal="center" vertical="center"/>
    </xf>
    <xf numFmtId="0" fontId="2" fillId="3" borderId="183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/>
    </xf>
    <xf numFmtId="0" fontId="1" fillId="4" borderId="168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/>
    </xf>
    <xf numFmtId="0" fontId="1" fillId="5" borderId="168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" fillId="7" borderId="168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/>
    </xf>
    <xf numFmtId="0" fontId="5" fillId="7" borderId="73" xfId="0" applyFont="1" applyFill="1" applyBorder="1" applyAlignment="1">
      <alignment horizontal="center" vertical="center"/>
    </xf>
    <xf numFmtId="0" fontId="1" fillId="9" borderId="168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/>
    </xf>
    <xf numFmtId="0" fontId="1" fillId="6" borderId="168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/>
    </xf>
    <xf numFmtId="0" fontId="1" fillId="8" borderId="168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/>
    </xf>
    <xf numFmtId="0" fontId="5" fillId="8" borderId="73" xfId="0" applyFont="1" applyFill="1" applyBorder="1" applyAlignment="1">
      <alignment horizontal="center" vertical="center"/>
    </xf>
    <xf numFmtId="0" fontId="1" fillId="12" borderId="168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/>
    </xf>
    <xf numFmtId="0" fontId="1" fillId="15" borderId="168" xfId="0" applyFont="1" applyFill="1" applyBorder="1" applyAlignment="1">
      <alignment horizontal="center" vertical="center" wrapText="1"/>
    </xf>
    <xf numFmtId="0" fontId="1" fillId="15" borderId="3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11" borderId="168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/>
    </xf>
    <xf numFmtId="0" fontId="1" fillId="11" borderId="169" xfId="0" applyFont="1" applyFill="1" applyBorder="1" applyAlignment="1">
      <alignment horizontal="center" vertical="center" wrapText="1"/>
    </xf>
    <xf numFmtId="0" fontId="0" fillId="0" borderId="18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4" borderId="185" xfId="0" applyFont="1" applyFill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November"/>
  <dimension ref="A1:L211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H1"/>
    </sheetView>
  </sheetViews>
  <sheetFormatPr defaultColWidth="14" defaultRowHeight="18" customHeight="1"/>
  <cols>
    <col min="1" max="1" width="13.0857142857143" style="1" customWidth="1"/>
    <col min="2" max="2" width="19.4190476190476" style="1" customWidth="1"/>
    <col min="3" max="3" width="24.0095238095238" style="1" customWidth="1"/>
    <col min="4" max="4" width="11.8666666666667" style="1" customWidth="1"/>
    <col min="5" max="5" width="12.4095238095238" style="1" customWidth="1"/>
    <col min="6" max="6" width="8.62857142857143" style="1" customWidth="1"/>
    <col min="7" max="7" width="10.9238095238095" style="1" customWidth="1"/>
    <col min="8" max="8" width="22.3904761904762" style="1" customWidth="1"/>
    <col min="9" max="9" width="9.84761904761905" style="4" customWidth="1"/>
    <col min="10" max="10" width="9.30476190476191" style="4" customWidth="1"/>
    <col min="11" max="11" width="9.43809523809524" style="4" customWidth="1"/>
    <col min="12" max="12" width="15.3714285714286" style="4" customWidth="1"/>
    <col min="13" max="25" width="13.6761904761905" style="4"/>
  </cols>
  <sheetData>
    <row r="1" ht="61.5" customHeight="1" spans="1:10">
      <c r="A1" s="6" t="s">
        <v>0</v>
      </c>
      <c r="B1" s="6"/>
      <c r="I1" s="109"/>
      <c r="J1" s="109" t="s">
        <v>1</v>
      </c>
    </row>
    <row r="2" ht="25.5" customHeight="1" spans="1:12">
      <c r="A2" s="95" t="s">
        <v>2</v>
      </c>
      <c r="B2" s="8"/>
      <c r="C2" s="8"/>
      <c r="D2" s="8"/>
      <c r="E2" s="9"/>
      <c r="F2" s="9"/>
      <c r="G2" s="9"/>
      <c r="H2" s="10"/>
      <c r="I2" s="110"/>
      <c r="J2" s="110" t="s">
        <v>3</v>
      </c>
      <c r="K2" s="69"/>
      <c r="L2" s="70"/>
    </row>
    <row r="3" ht="19.5" customHeight="1" spans="1:12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886" t="s">
        <v>11</v>
      </c>
      <c r="I3" s="111" t="s">
        <v>12</v>
      </c>
      <c r="J3" s="111" t="s">
        <v>13</v>
      </c>
      <c r="K3" s="111" t="s">
        <v>14</v>
      </c>
      <c r="L3" s="112" t="s">
        <v>15</v>
      </c>
    </row>
    <row r="4" ht="16.5" spans="1:12">
      <c r="A4" s="40" t="s">
        <v>16</v>
      </c>
      <c r="B4" s="41" t="s">
        <v>17</v>
      </c>
      <c r="C4" s="41">
        <v>53</v>
      </c>
      <c r="D4" s="42" t="s">
        <v>18</v>
      </c>
      <c r="E4" s="43" t="s">
        <v>19</v>
      </c>
      <c r="F4" s="42">
        <v>1</v>
      </c>
      <c r="G4" s="42" t="s">
        <v>20</v>
      </c>
      <c r="H4" s="896"/>
      <c r="I4" s="118">
        <v>0</v>
      </c>
      <c r="J4" s="118">
        <v>0</v>
      </c>
      <c r="K4" s="118">
        <v>0</v>
      </c>
      <c r="L4" s="119">
        <v>54</v>
      </c>
    </row>
    <row r="5" ht="16.5" spans="1:12">
      <c r="A5" s="19"/>
      <c r="B5" s="19"/>
      <c r="C5" s="19"/>
      <c r="D5" s="42" t="s">
        <v>21</v>
      </c>
      <c r="E5" s="43" t="s">
        <v>19</v>
      </c>
      <c r="F5" s="118">
        <v>1</v>
      </c>
      <c r="G5" s="42" t="s">
        <v>20</v>
      </c>
      <c r="H5" s="896"/>
      <c r="I5" s="118">
        <v>0</v>
      </c>
      <c r="J5" s="118">
        <v>0</v>
      </c>
      <c r="K5" s="118">
        <v>0</v>
      </c>
      <c r="L5" s="75"/>
    </row>
    <row r="6" ht="16.5" spans="1:12">
      <c r="A6" s="19"/>
      <c r="B6" s="19"/>
      <c r="C6" s="19"/>
      <c r="D6" s="42" t="s">
        <v>18</v>
      </c>
      <c r="E6" s="43" t="s">
        <v>22</v>
      </c>
      <c r="F6" s="118">
        <v>1</v>
      </c>
      <c r="G6" s="42" t="s">
        <v>23</v>
      </c>
      <c r="H6" s="896"/>
      <c r="I6" s="118">
        <v>2</v>
      </c>
      <c r="J6" s="118">
        <v>2</v>
      </c>
      <c r="K6" s="118">
        <v>1</v>
      </c>
      <c r="L6" s="75"/>
    </row>
    <row r="7" ht="16.5" spans="1:12">
      <c r="A7" s="57"/>
      <c r="B7" s="57"/>
      <c r="C7" s="57"/>
      <c r="D7" s="42" t="s">
        <v>21</v>
      </c>
      <c r="E7" s="43" t="s">
        <v>24</v>
      </c>
      <c r="F7" s="42">
        <v>3</v>
      </c>
      <c r="G7" s="42" t="s">
        <v>20</v>
      </c>
      <c r="H7" s="896"/>
      <c r="I7" s="118">
        <v>2</v>
      </c>
      <c r="J7" s="118">
        <v>2</v>
      </c>
      <c r="K7" s="118">
        <v>2</v>
      </c>
      <c r="L7" s="75"/>
    </row>
    <row r="8" ht="16.5" spans="1:12">
      <c r="A8" s="33" t="s">
        <v>25</v>
      </c>
      <c r="B8" s="34" t="s">
        <v>26</v>
      </c>
      <c r="C8" s="34">
        <v>65</v>
      </c>
      <c r="D8" s="35" t="s">
        <v>21</v>
      </c>
      <c r="E8" s="36" t="s">
        <v>27</v>
      </c>
      <c r="F8" s="35">
        <v>2</v>
      </c>
      <c r="G8" s="35" t="s">
        <v>23</v>
      </c>
      <c r="H8" s="895"/>
      <c r="I8" s="117">
        <v>8</v>
      </c>
      <c r="J8" s="117">
        <v>6</v>
      </c>
      <c r="K8" s="117">
        <v>1</v>
      </c>
      <c r="L8" s="83">
        <v>74</v>
      </c>
    </row>
    <row r="9" ht="16.5" spans="1:12">
      <c r="A9" s="19"/>
      <c r="B9" s="19"/>
      <c r="C9" s="19"/>
      <c r="D9" s="35" t="s">
        <v>21</v>
      </c>
      <c r="E9" s="36" t="s">
        <v>28</v>
      </c>
      <c r="F9" s="35">
        <v>1</v>
      </c>
      <c r="G9" s="35" t="s">
        <v>23</v>
      </c>
      <c r="H9" s="895"/>
      <c r="I9" s="117">
        <v>3</v>
      </c>
      <c r="J9" s="117">
        <v>3</v>
      </c>
      <c r="K9" s="117">
        <v>1</v>
      </c>
      <c r="L9" s="75"/>
    </row>
    <row r="10" ht="16.5" spans="1:12">
      <c r="A10" s="19"/>
      <c r="B10" s="19"/>
      <c r="C10" s="19"/>
      <c r="D10" s="35" t="s">
        <v>18</v>
      </c>
      <c r="E10" s="36" t="s">
        <v>29</v>
      </c>
      <c r="F10" s="35">
        <v>7</v>
      </c>
      <c r="G10" s="35" t="s">
        <v>30</v>
      </c>
      <c r="H10" s="895"/>
      <c r="I10" s="117">
        <v>16</v>
      </c>
      <c r="J10" s="117">
        <v>15</v>
      </c>
      <c r="K10" s="117">
        <v>3</v>
      </c>
      <c r="L10" s="75"/>
    </row>
    <row r="11" ht="16.5" spans="1:12">
      <c r="A11" s="28" t="s">
        <v>31</v>
      </c>
      <c r="B11" s="29">
        <v>83</v>
      </c>
      <c r="C11" s="29">
        <v>89</v>
      </c>
      <c r="D11" s="30" t="s">
        <v>18</v>
      </c>
      <c r="E11" s="31" t="s">
        <v>32</v>
      </c>
      <c r="F11" s="30"/>
      <c r="G11" s="30" t="s">
        <v>20</v>
      </c>
      <c r="H11" s="894"/>
      <c r="I11" s="115">
        <v>2</v>
      </c>
      <c r="J11" s="115">
        <v>2</v>
      </c>
      <c r="K11" s="115">
        <v>2</v>
      </c>
      <c r="L11" s="116">
        <v>88</v>
      </c>
    </row>
    <row r="12" ht="16.5" spans="1:12">
      <c r="A12" s="19"/>
      <c r="B12" s="19"/>
      <c r="C12" s="19"/>
      <c r="D12" s="30" t="s">
        <v>18</v>
      </c>
      <c r="E12" s="31" t="s">
        <v>33</v>
      </c>
      <c r="F12" s="30">
        <v>2</v>
      </c>
      <c r="G12" s="30" t="s">
        <v>20</v>
      </c>
      <c r="H12" s="894"/>
      <c r="I12" s="115">
        <v>2</v>
      </c>
      <c r="J12" s="115">
        <v>2</v>
      </c>
      <c r="K12" s="115">
        <v>3</v>
      </c>
      <c r="L12" s="75"/>
    </row>
    <row r="13" ht="16.5" spans="1:12">
      <c r="A13" s="19"/>
      <c r="B13" s="19"/>
      <c r="C13" s="19"/>
      <c r="D13" s="30" t="s">
        <v>21</v>
      </c>
      <c r="E13" s="31" t="s">
        <v>33</v>
      </c>
      <c r="F13" s="30">
        <v>1</v>
      </c>
      <c r="G13" s="30" t="s">
        <v>20</v>
      </c>
      <c r="H13" s="894"/>
      <c r="I13" s="115">
        <v>2</v>
      </c>
      <c r="J13" s="115">
        <v>2</v>
      </c>
      <c r="K13" s="115">
        <v>0</v>
      </c>
      <c r="L13" s="75"/>
    </row>
    <row r="14" ht="16.5" spans="1:12">
      <c r="A14" s="19"/>
      <c r="B14" s="19"/>
      <c r="C14" s="19"/>
      <c r="D14" s="30" t="s">
        <v>21</v>
      </c>
      <c r="E14" s="31" t="s">
        <v>32</v>
      </c>
      <c r="F14" s="30"/>
      <c r="G14" s="30" t="s">
        <v>20</v>
      </c>
      <c r="H14" s="894"/>
      <c r="I14" s="115">
        <v>0</v>
      </c>
      <c r="J14" s="115">
        <v>0</v>
      </c>
      <c r="K14" s="115">
        <v>0</v>
      </c>
      <c r="L14" s="75"/>
    </row>
    <row r="15" ht="16.5" spans="1:12">
      <c r="A15" s="891" t="s">
        <v>34</v>
      </c>
      <c r="B15" s="892" t="s">
        <v>35</v>
      </c>
      <c r="C15" s="892">
        <v>22</v>
      </c>
      <c r="D15" s="902" t="s">
        <v>18</v>
      </c>
      <c r="E15" s="111" t="s">
        <v>36</v>
      </c>
      <c r="F15" s="111">
        <v>3</v>
      </c>
      <c r="G15" s="676" t="s">
        <v>23</v>
      </c>
      <c r="H15" s="893"/>
      <c r="I15" s="906">
        <v>1</v>
      </c>
      <c r="J15" s="111">
        <v>1</v>
      </c>
      <c r="K15" s="111">
        <v>0</v>
      </c>
      <c r="L15" s="112">
        <v>20</v>
      </c>
    </row>
    <row r="16" ht="16.5" spans="1:12">
      <c r="A16" s="19"/>
      <c r="B16" s="19"/>
      <c r="C16" s="19"/>
      <c r="D16" s="902" t="s">
        <v>18</v>
      </c>
      <c r="E16" s="902" t="s">
        <v>37</v>
      </c>
      <c r="F16" s="902">
        <v>1</v>
      </c>
      <c r="G16" s="676" t="s">
        <v>23</v>
      </c>
      <c r="H16" s="903"/>
      <c r="I16" s="111"/>
      <c r="J16" s="111"/>
      <c r="K16" s="111"/>
      <c r="L16" s="75"/>
    </row>
    <row r="17" ht="16.5" spans="1:12">
      <c r="A17" s="19"/>
      <c r="B17" s="19"/>
      <c r="C17" s="19"/>
      <c r="D17" s="902" t="s">
        <v>18</v>
      </c>
      <c r="E17" s="111" t="s">
        <v>38</v>
      </c>
      <c r="F17" s="111">
        <v>4</v>
      </c>
      <c r="G17" s="30" t="s">
        <v>20</v>
      </c>
      <c r="H17" s="893"/>
      <c r="I17" s="111"/>
      <c r="J17" s="111"/>
      <c r="K17" s="111"/>
      <c r="L17" s="75"/>
    </row>
    <row r="18" ht="16.5" spans="1:12">
      <c r="A18" s="19"/>
      <c r="B18" s="19"/>
      <c r="C18" s="19"/>
      <c r="D18" s="902" t="s">
        <v>18</v>
      </c>
      <c r="E18" s="111" t="s">
        <v>39</v>
      </c>
      <c r="F18" s="111">
        <v>1</v>
      </c>
      <c r="G18" s="676" t="s">
        <v>23</v>
      </c>
      <c r="H18" s="893"/>
      <c r="I18" s="111"/>
      <c r="J18" s="111"/>
      <c r="K18" s="111"/>
      <c r="L18" s="75"/>
    </row>
    <row r="19" ht="16.5" spans="1:12">
      <c r="A19" s="21" t="s">
        <v>40</v>
      </c>
      <c r="B19" s="22">
        <v>7</v>
      </c>
      <c r="C19" s="22">
        <v>12</v>
      </c>
      <c r="D19" s="23" t="s">
        <v>41</v>
      </c>
      <c r="E19" s="24" t="s">
        <v>42</v>
      </c>
      <c r="F19" s="23">
        <v>1</v>
      </c>
      <c r="G19" s="23" t="s">
        <v>23</v>
      </c>
      <c r="H19" s="890"/>
      <c r="I19" s="114">
        <v>1</v>
      </c>
      <c r="J19" s="114">
        <v>1</v>
      </c>
      <c r="K19" s="114">
        <v>0</v>
      </c>
      <c r="L19" s="78">
        <v>10</v>
      </c>
    </row>
    <row r="20" ht="16.5" spans="1:12">
      <c r="A20" s="14" t="s">
        <v>43</v>
      </c>
      <c r="B20" s="15" t="s">
        <v>44</v>
      </c>
      <c r="C20" s="15">
        <v>30</v>
      </c>
      <c r="D20" s="16" t="s">
        <v>18</v>
      </c>
      <c r="E20" s="17" t="s">
        <v>45</v>
      </c>
      <c r="F20" s="16">
        <v>1</v>
      </c>
      <c r="G20" s="16" t="s">
        <v>23</v>
      </c>
      <c r="H20" s="887" t="s">
        <v>46</v>
      </c>
      <c r="I20" s="20">
        <v>2</v>
      </c>
      <c r="J20" s="20">
        <v>1</v>
      </c>
      <c r="K20" s="20">
        <v>0</v>
      </c>
      <c r="L20" s="113">
        <v>33</v>
      </c>
    </row>
    <row r="21" ht="16.5" spans="1:12">
      <c r="A21" s="19"/>
      <c r="B21" s="19"/>
      <c r="C21" s="19"/>
      <c r="D21" s="16" t="s">
        <v>18</v>
      </c>
      <c r="E21" s="17" t="s">
        <v>47</v>
      </c>
      <c r="F21" s="16">
        <v>2</v>
      </c>
      <c r="G21" s="16" t="s">
        <v>20</v>
      </c>
      <c r="H21" s="887" t="s">
        <v>48</v>
      </c>
      <c r="I21" s="907">
        <v>1</v>
      </c>
      <c r="J21" s="20">
        <v>0</v>
      </c>
      <c r="K21" s="20">
        <v>0</v>
      </c>
      <c r="L21" s="75"/>
    </row>
    <row r="22" ht="16.5" spans="1:12">
      <c r="A22" s="904" t="s">
        <v>49</v>
      </c>
      <c r="B22" s="905">
        <v>17</v>
      </c>
      <c r="C22" s="905">
        <v>23</v>
      </c>
      <c r="D22" s="897"/>
      <c r="E22" s="898"/>
      <c r="F22" s="897"/>
      <c r="G22" s="897"/>
      <c r="H22" s="899"/>
      <c r="I22" s="4"/>
      <c r="J22" s="4"/>
      <c r="K22" s="4"/>
      <c r="L22" s="901">
        <v>23</v>
      </c>
    </row>
    <row r="23" ht="16.5" spans="1:12">
      <c r="A23" s="904" t="s">
        <v>50</v>
      </c>
      <c r="B23" s="905">
        <v>6</v>
      </c>
      <c r="C23" s="905">
        <v>6</v>
      </c>
      <c r="D23" s="897"/>
      <c r="E23" s="898"/>
      <c r="F23" s="897"/>
      <c r="G23" s="897"/>
      <c r="H23" s="899"/>
      <c r="I23" s="4"/>
      <c r="J23" s="4"/>
      <c r="K23" s="4"/>
      <c r="L23" s="901">
        <v>7</v>
      </c>
    </row>
    <row r="24" ht="17.25" spans="1:12">
      <c r="A24" s="106"/>
      <c r="B24" s="107"/>
      <c r="C24" s="107">
        <v>300</v>
      </c>
      <c r="D24" s="106"/>
      <c r="E24" s="107"/>
      <c r="F24" s="106"/>
      <c r="G24" s="106"/>
      <c r="H24" s="900"/>
      <c r="I24" s="908"/>
      <c r="J24" s="908"/>
      <c r="K24" s="908"/>
      <c r="L24" s="909"/>
    </row>
    <row r="25" ht="16.5" spans="1:7">
      <c r="A25" s="65"/>
      <c r="B25" s="1"/>
      <c r="C25" s="1"/>
      <c r="D25" s="66"/>
      <c r="E25" s="1"/>
      <c r="F25" s="66"/>
      <c r="G25" s="66"/>
    </row>
    <row r="26" ht="16.5" spans="1:7">
      <c r="A26" s="65"/>
      <c r="B26" s="1"/>
      <c r="C26" s="1"/>
      <c r="D26" s="66"/>
      <c r="E26" s="1"/>
      <c r="F26" s="66"/>
      <c r="G26" s="66"/>
    </row>
    <row r="27" ht="16.5" spans="1:7">
      <c r="A27" s="65"/>
      <c r="B27" s="1"/>
      <c r="C27" s="1"/>
      <c r="D27" s="66"/>
      <c r="E27" s="1"/>
      <c r="F27" s="66"/>
      <c r="G27" s="66"/>
    </row>
    <row r="28" ht="16.5" spans="1:7">
      <c r="A28" s="65"/>
      <c r="B28" s="1"/>
      <c r="C28" s="1"/>
      <c r="D28" s="66"/>
      <c r="E28" s="1"/>
      <c r="F28" s="66"/>
      <c r="G28" s="66"/>
    </row>
    <row r="29" ht="16.5" spans="1:7">
      <c r="A29" s="65"/>
      <c r="B29" s="1"/>
      <c r="C29" s="1"/>
      <c r="D29" s="66"/>
      <c r="E29" s="1"/>
      <c r="F29" s="66"/>
      <c r="G29" s="66"/>
    </row>
    <row r="30" ht="16.5" spans="1:7">
      <c r="A30" s="65"/>
      <c r="B30" s="1"/>
      <c r="C30" s="1"/>
      <c r="D30" s="66"/>
      <c r="E30" s="1"/>
      <c r="F30" s="66"/>
      <c r="G30" s="66"/>
    </row>
    <row r="31" ht="16.5" spans="1:7">
      <c r="A31" s="65"/>
      <c r="B31" s="1"/>
      <c r="C31" s="1"/>
      <c r="D31" s="66"/>
      <c r="E31" s="1"/>
      <c r="F31" s="66"/>
      <c r="G31" s="66"/>
    </row>
    <row r="32" ht="16.5" spans="1:7">
      <c r="A32" s="65"/>
      <c r="B32" s="1"/>
      <c r="C32" s="1"/>
      <c r="D32" s="66"/>
      <c r="E32" s="1"/>
      <c r="F32" s="66"/>
      <c r="G32" s="66"/>
    </row>
    <row r="33" ht="16.5" spans="1:7">
      <c r="A33" s="65"/>
      <c r="B33" s="1"/>
      <c r="C33" s="1"/>
      <c r="D33" s="66"/>
      <c r="E33" s="1"/>
      <c r="F33" s="66"/>
      <c r="G33" s="66"/>
    </row>
    <row r="34" ht="16.5" spans="1:7">
      <c r="A34" s="65"/>
      <c r="B34" s="1"/>
      <c r="C34" s="1"/>
      <c r="D34" s="66"/>
      <c r="E34" s="1"/>
      <c r="F34" s="66"/>
      <c r="G34" s="66"/>
    </row>
    <row r="35" ht="16.5" spans="1:7">
      <c r="A35" s="65"/>
      <c r="B35" s="1"/>
      <c r="C35" s="1"/>
      <c r="D35" s="66"/>
      <c r="E35" s="1"/>
      <c r="F35" s="66"/>
      <c r="G35" s="66"/>
    </row>
    <row r="36" ht="16.5" spans="1:7">
      <c r="A36" s="65"/>
      <c r="B36" s="1"/>
      <c r="C36" s="1"/>
      <c r="D36" s="66"/>
      <c r="E36" s="1"/>
      <c r="F36" s="66"/>
      <c r="G36" s="66"/>
    </row>
    <row r="37" ht="16.5" spans="1:7">
      <c r="A37" s="65"/>
      <c r="B37" s="1"/>
      <c r="C37" s="1"/>
      <c r="D37" s="66"/>
      <c r="E37" s="1"/>
      <c r="F37" s="66"/>
      <c r="G37" s="66"/>
    </row>
    <row r="38" ht="16.5" spans="1:7">
      <c r="A38" s="65"/>
      <c r="B38" s="1"/>
      <c r="C38" s="1"/>
      <c r="D38" s="66"/>
      <c r="E38" s="1"/>
      <c r="F38" s="66"/>
      <c r="G38" s="66"/>
    </row>
    <row r="39" ht="16.5" spans="1:7">
      <c r="A39" s="65"/>
      <c r="B39" s="1"/>
      <c r="C39" s="1"/>
      <c r="D39" s="66"/>
      <c r="E39" s="1"/>
      <c r="F39" s="66"/>
      <c r="G39" s="66"/>
    </row>
    <row r="40" ht="16.5" spans="1:7">
      <c r="A40" s="65"/>
      <c r="B40" s="1"/>
      <c r="C40" s="1"/>
      <c r="D40" s="66"/>
      <c r="E40" s="1"/>
      <c r="F40" s="66"/>
      <c r="G40" s="66"/>
    </row>
    <row r="41" ht="16.5" spans="1:7">
      <c r="A41" s="65"/>
      <c r="B41" s="1"/>
      <c r="C41" s="1"/>
      <c r="D41" s="66"/>
      <c r="E41" s="1"/>
      <c r="F41" s="66"/>
      <c r="G41" s="66"/>
    </row>
    <row r="42" ht="16.5" spans="1:7">
      <c r="A42" s="65"/>
      <c r="B42" s="1"/>
      <c r="C42" s="1"/>
      <c r="D42" s="66"/>
      <c r="E42" s="1"/>
      <c r="F42" s="66"/>
      <c r="G42" s="66"/>
    </row>
    <row r="43" ht="16.5" spans="1:7">
      <c r="A43" s="65"/>
      <c r="B43" s="1"/>
      <c r="C43" s="1"/>
      <c r="D43" s="66"/>
      <c r="E43" s="1"/>
      <c r="F43" s="66"/>
      <c r="G43" s="66"/>
    </row>
    <row r="44" ht="16.5" spans="1:7">
      <c r="A44" s="65"/>
      <c r="B44" s="1"/>
      <c r="C44" s="1"/>
      <c r="D44" s="66"/>
      <c r="E44" s="1"/>
      <c r="F44" s="66"/>
      <c r="G44" s="66"/>
    </row>
    <row r="45" ht="16.5" spans="1:7">
      <c r="A45" s="65"/>
      <c r="B45" s="1"/>
      <c r="C45" s="1"/>
      <c r="D45" s="66"/>
      <c r="E45" s="1"/>
      <c r="F45" s="66"/>
      <c r="G45" s="66"/>
    </row>
    <row r="46" ht="16.5" spans="1:7">
      <c r="A46" s="65"/>
      <c r="B46" s="1"/>
      <c r="C46" s="1"/>
      <c r="D46" s="66"/>
      <c r="E46" s="1"/>
      <c r="F46" s="66"/>
      <c r="G46" s="66"/>
    </row>
    <row r="47" ht="16.5" spans="1:7">
      <c r="A47" s="65"/>
      <c r="B47" s="1"/>
      <c r="C47" s="1"/>
      <c r="D47" s="66"/>
      <c r="E47" s="1"/>
      <c r="F47" s="66"/>
      <c r="G47" s="66"/>
    </row>
    <row r="48" ht="16.5" spans="1:7">
      <c r="A48" s="65"/>
      <c r="B48" s="1"/>
      <c r="C48" s="1"/>
      <c r="D48" s="66"/>
      <c r="E48" s="1"/>
      <c r="F48" s="66"/>
      <c r="G48" s="66"/>
    </row>
    <row r="49" ht="16.5" spans="1:7">
      <c r="A49" s="65"/>
      <c r="B49" s="1"/>
      <c r="C49" s="1"/>
      <c r="D49" s="66"/>
      <c r="E49" s="1"/>
      <c r="F49" s="66"/>
      <c r="G49" s="66"/>
    </row>
    <row r="50" ht="16.5" spans="1:7">
      <c r="A50" s="65"/>
      <c r="B50" s="1"/>
      <c r="C50" s="1"/>
      <c r="D50" s="66"/>
      <c r="E50" s="1"/>
      <c r="F50" s="66"/>
      <c r="G50" s="66"/>
    </row>
    <row r="51" ht="16.5" spans="1:7">
      <c r="A51" s="65"/>
      <c r="B51" s="1"/>
      <c r="C51" s="1"/>
      <c r="D51" s="66"/>
      <c r="E51" s="1"/>
      <c r="F51" s="66"/>
      <c r="G51" s="66"/>
    </row>
    <row r="52" ht="16.5" spans="1:7">
      <c r="A52" s="65"/>
      <c r="B52" s="1"/>
      <c r="C52" s="1"/>
      <c r="D52" s="66"/>
      <c r="E52" s="1"/>
      <c r="F52" s="66"/>
      <c r="G52" s="66"/>
    </row>
    <row r="53" ht="16.5" spans="1:7">
      <c r="A53" s="65"/>
      <c r="B53" s="1"/>
      <c r="C53" s="1"/>
      <c r="D53" s="66"/>
      <c r="E53" s="1"/>
      <c r="F53" s="66"/>
      <c r="G53" s="66"/>
    </row>
    <row r="54" ht="16.5" spans="1:7">
      <c r="A54" s="65"/>
      <c r="B54" s="1"/>
      <c r="C54" s="1"/>
      <c r="D54" s="66"/>
      <c r="E54" s="1"/>
      <c r="F54" s="66"/>
      <c r="G54" s="66"/>
    </row>
    <row r="55" ht="16.5" spans="1:7">
      <c r="A55" s="65"/>
      <c r="B55" s="1"/>
      <c r="C55" s="1"/>
      <c r="D55" s="66"/>
      <c r="E55" s="1"/>
      <c r="F55" s="66"/>
      <c r="G55" s="66"/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1:7">
      <c r="A63" s="65"/>
      <c r="B63" s="1"/>
      <c r="C63" s="1"/>
      <c r="D63" s="66"/>
      <c r="E63" s="1"/>
      <c r="F63" s="66"/>
      <c r="G63" s="66"/>
    </row>
    <row r="64" ht="16.5" spans="1:7">
      <c r="A64" s="65"/>
      <c r="B64" s="1"/>
      <c r="C64" s="1"/>
      <c r="D64" s="66"/>
      <c r="E64" s="1"/>
      <c r="F64" s="66"/>
      <c r="G64" s="66"/>
    </row>
    <row r="65" ht="16.5" spans="1:7">
      <c r="A65" s="65"/>
      <c r="B65" s="1"/>
      <c r="C65" s="1"/>
      <c r="D65" s="66"/>
      <c r="E65" s="1"/>
      <c r="F65" s="66"/>
      <c r="G65" s="66"/>
    </row>
    <row r="66" ht="16.5" spans="1:7">
      <c r="A66" s="65"/>
      <c r="B66" s="1"/>
      <c r="C66" s="1"/>
      <c r="D66" s="66"/>
      <c r="E66" s="1"/>
      <c r="F66" s="66"/>
      <c r="G66" s="66"/>
    </row>
    <row r="67" ht="16.5" spans="1:7">
      <c r="A67" s="65"/>
      <c r="B67" s="1"/>
      <c r="C67" s="1"/>
      <c r="D67" s="66"/>
      <c r="E67" s="1"/>
      <c r="F67" s="66"/>
      <c r="G67" s="66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6"/>
      <c r="E208" s="1"/>
      <c r="F208" s="66"/>
      <c r="G208" s="66"/>
    </row>
    <row r="209" ht="16.5" spans="1:7">
      <c r="A209" s="65"/>
      <c r="B209" s="1"/>
      <c r="C209" s="1"/>
      <c r="D209" s="66"/>
      <c r="E209" s="1"/>
      <c r="F209" s="66"/>
      <c r="G209" s="66"/>
    </row>
    <row r="210" ht="12.75" spans="1:7">
      <c r="A210" s="65"/>
      <c r="D210" s="65"/>
      <c r="G210" s="65"/>
    </row>
    <row r="211" ht="12.75" spans="1:7">
      <c r="A211" s="65"/>
      <c r="D211" s="65"/>
      <c r="G211" s="65"/>
    </row>
  </sheetData>
  <mergeCells count="24">
    <mergeCell ref="A1:H1"/>
    <mergeCell ref="J1:L1"/>
    <mergeCell ref="A2:H2"/>
    <mergeCell ref="J2:L2"/>
    <mergeCell ref="A4:A7"/>
    <mergeCell ref="A8:A10"/>
    <mergeCell ref="A11:A14"/>
    <mergeCell ref="A15:A18"/>
    <mergeCell ref="A20:A21"/>
    <mergeCell ref="B4:B7"/>
    <mergeCell ref="B8:B10"/>
    <mergeCell ref="B11:B14"/>
    <mergeCell ref="B15:B18"/>
    <mergeCell ref="B20:B21"/>
    <mergeCell ref="C4:C7"/>
    <mergeCell ref="C8:C10"/>
    <mergeCell ref="C11:C14"/>
    <mergeCell ref="C15:C18"/>
    <mergeCell ref="C20:C21"/>
    <mergeCell ref="L4:L7"/>
    <mergeCell ref="L8:L10"/>
    <mergeCell ref="L11:L14"/>
    <mergeCell ref="L15:L18"/>
    <mergeCell ref="L20:L21"/>
  </mergeCells>
  <dataValidations count="3">
    <dataValidation type="list" allowBlank="1" showInputMessage="1" showErrorMessage="1" sqref="A3:A1048576">
      <formula1>"自孵部,签约部,培训部,外采部,商务部,运营中台,总经办+财务部,财务部,技术部,"</formula1>
    </dataValidation>
    <dataValidation type="list" allowBlank="1" showInputMessage="1" showErrorMessage="1" sqref="D3:D1048576">
      <formula1>"新增需求,替补需求,储备需求,"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ecember"/>
  <dimension ref="A1:L218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14" defaultRowHeight="18" customHeight="1"/>
  <cols>
    <col min="1" max="1" width="16.7238095238095" style="1" customWidth="1"/>
    <col min="2" max="3" width="24.0095238095238" style="1" customWidth="1"/>
    <col min="4" max="5" width="13.8952380952381" style="1" customWidth="1"/>
    <col min="6" max="7" width="10.9238095238095" style="1" customWidth="1"/>
    <col min="8" max="8" width="31.2952380952381" style="1" customWidth="1"/>
    <col min="9" max="11" width="13.6761904761905" style="4"/>
    <col min="12" max="12" width="15.3714285714286" style="4" customWidth="1"/>
    <col min="13" max="25" width="13.6761904761905" style="4"/>
  </cols>
  <sheetData>
    <row r="1" ht="61.5" customHeight="1" spans="1:10">
      <c r="A1" s="6" t="s">
        <v>0</v>
      </c>
      <c r="B1" s="6"/>
      <c r="I1" s="109"/>
      <c r="J1" s="109" t="s">
        <v>1</v>
      </c>
    </row>
    <row r="2" ht="25.5" customHeight="1" spans="1:12">
      <c r="A2" s="95" t="s">
        <v>51</v>
      </c>
      <c r="B2" s="8"/>
      <c r="C2" s="8"/>
      <c r="D2" s="8"/>
      <c r="E2" s="9"/>
      <c r="F2" s="9"/>
      <c r="G2" s="9"/>
      <c r="H2" s="10"/>
      <c r="I2" s="110"/>
      <c r="J2" s="110" t="s">
        <v>52</v>
      </c>
      <c r="K2" s="69"/>
      <c r="L2" s="70"/>
    </row>
    <row r="3" ht="19.5" customHeight="1" spans="1:12">
      <c r="A3" s="11" t="s">
        <v>4</v>
      </c>
      <c r="B3" s="11" t="s">
        <v>53</v>
      </c>
      <c r="C3" s="11" t="s">
        <v>54</v>
      </c>
      <c r="D3" s="12"/>
      <c r="E3" s="11" t="s">
        <v>8</v>
      </c>
      <c r="F3" s="11" t="s">
        <v>9</v>
      </c>
      <c r="G3" s="11" t="s">
        <v>10</v>
      </c>
      <c r="H3" s="886" t="s">
        <v>11</v>
      </c>
      <c r="I3" s="111" t="s">
        <v>12</v>
      </c>
      <c r="J3" s="111" t="s">
        <v>13</v>
      </c>
      <c r="K3" s="111" t="s">
        <v>14</v>
      </c>
      <c r="L3" s="112" t="s">
        <v>55</v>
      </c>
    </row>
    <row r="4" ht="16.5" spans="1:12">
      <c r="A4" s="14" t="s">
        <v>16</v>
      </c>
      <c r="B4" s="15" t="s">
        <v>17</v>
      </c>
      <c r="C4" s="15">
        <v>54</v>
      </c>
      <c r="D4" s="16" t="s">
        <v>18</v>
      </c>
      <c r="E4" s="17" t="s">
        <v>19</v>
      </c>
      <c r="F4" s="16">
        <v>3</v>
      </c>
      <c r="G4" s="16" t="s">
        <v>20</v>
      </c>
      <c r="H4" s="887"/>
      <c r="I4" s="20">
        <v>3</v>
      </c>
      <c r="J4" s="20">
        <v>1</v>
      </c>
      <c r="K4" s="20">
        <v>0</v>
      </c>
      <c r="L4" s="113">
        <v>57</v>
      </c>
    </row>
    <row r="5" ht="16.5" spans="1:12">
      <c r="A5" s="888"/>
      <c r="B5" s="889"/>
      <c r="C5" s="889"/>
      <c r="D5" s="16" t="s">
        <v>18</v>
      </c>
      <c r="E5" s="17" t="s">
        <v>56</v>
      </c>
      <c r="F5" s="20">
        <v>2</v>
      </c>
      <c r="G5" s="16" t="s">
        <v>23</v>
      </c>
      <c r="H5" s="887"/>
      <c r="I5" s="20">
        <v>2</v>
      </c>
      <c r="J5" s="20">
        <v>2</v>
      </c>
      <c r="K5" s="20">
        <v>0</v>
      </c>
      <c r="L5" s="901"/>
    </row>
    <row r="6" ht="16.5" spans="1:12">
      <c r="A6" s="19"/>
      <c r="B6" s="19"/>
      <c r="C6" s="19"/>
      <c r="D6" s="16" t="s">
        <v>21</v>
      </c>
      <c r="E6" s="17" t="s">
        <v>19</v>
      </c>
      <c r="F6" s="20">
        <v>1</v>
      </c>
      <c r="G6" s="16" t="s">
        <v>20</v>
      </c>
      <c r="H6" s="887"/>
      <c r="I6" s="20">
        <v>0</v>
      </c>
      <c r="J6" s="20">
        <v>0</v>
      </c>
      <c r="K6" s="20">
        <v>0</v>
      </c>
      <c r="L6" s="75"/>
    </row>
    <row r="7" ht="16.5" spans="1:12">
      <c r="A7" s="19"/>
      <c r="B7" s="19"/>
      <c r="C7" s="19"/>
      <c r="D7" s="16" t="s">
        <v>21</v>
      </c>
      <c r="E7" s="17" t="s">
        <v>22</v>
      </c>
      <c r="F7" s="20">
        <v>1</v>
      </c>
      <c r="G7" s="16" t="s">
        <v>23</v>
      </c>
      <c r="H7" s="887"/>
      <c r="I7" s="20">
        <v>0</v>
      </c>
      <c r="J7" s="20">
        <v>0</v>
      </c>
      <c r="K7" s="20">
        <v>0</v>
      </c>
      <c r="L7" s="75"/>
    </row>
    <row r="8" ht="16.5" spans="1:12">
      <c r="A8" s="19"/>
      <c r="B8" s="19"/>
      <c r="C8" s="19"/>
      <c r="D8" s="16" t="s">
        <v>21</v>
      </c>
      <c r="E8" s="17" t="s">
        <v>24</v>
      </c>
      <c r="F8" s="16">
        <v>3</v>
      </c>
      <c r="G8" s="16" t="s">
        <v>20</v>
      </c>
      <c r="H8" s="887"/>
      <c r="I8" s="20">
        <v>0</v>
      </c>
      <c r="J8" s="20">
        <v>0</v>
      </c>
      <c r="K8" s="20">
        <v>0</v>
      </c>
      <c r="L8" s="75"/>
    </row>
    <row r="9" ht="16.5" spans="1:12">
      <c r="A9" s="21" t="s">
        <v>25</v>
      </c>
      <c r="B9" s="22" t="s">
        <v>26</v>
      </c>
      <c r="C9" s="22">
        <v>74</v>
      </c>
      <c r="D9" s="23" t="s">
        <v>18</v>
      </c>
      <c r="E9" s="24" t="s">
        <v>57</v>
      </c>
      <c r="F9" s="23">
        <v>10</v>
      </c>
      <c r="G9" s="23" t="s">
        <v>30</v>
      </c>
      <c r="H9" s="890" t="s">
        <v>58</v>
      </c>
      <c r="I9" s="114">
        <v>20</v>
      </c>
      <c r="J9" s="114">
        <v>17</v>
      </c>
      <c r="K9" s="114">
        <v>12</v>
      </c>
      <c r="L9" s="78">
        <v>66</v>
      </c>
    </row>
    <row r="10" ht="16.5" spans="1:12">
      <c r="A10" s="19"/>
      <c r="B10" s="19"/>
      <c r="C10" s="19"/>
      <c r="D10" s="23" t="s">
        <v>18</v>
      </c>
      <c r="E10" s="24" t="s">
        <v>59</v>
      </c>
      <c r="F10" s="23">
        <v>5</v>
      </c>
      <c r="G10" s="23" t="s">
        <v>20</v>
      </c>
      <c r="H10" s="890"/>
      <c r="I10" s="114">
        <v>13</v>
      </c>
      <c r="J10" s="114">
        <v>11</v>
      </c>
      <c r="K10" s="114">
        <v>7</v>
      </c>
      <c r="L10" s="75"/>
    </row>
    <row r="11" ht="16.5" spans="1:12">
      <c r="A11" s="19"/>
      <c r="B11" s="19"/>
      <c r="C11" s="19"/>
      <c r="D11" s="23" t="s">
        <v>41</v>
      </c>
      <c r="E11" s="24" t="s">
        <v>60</v>
      </c>
      <c r="F11" s="23">
        <v>1</v>
      </c>
      <c r="G11" s="23" t="s">
        <v>23</v>
      </c>
      <c r="H11" s="890"/>
      <c r="I11" s="114">
        <v>1</v>
      </c>
      <c r="J11" s="114">
        <v>0</v>
      </c>
      <c r="K11" s="114">
        <v>1</v>
      </c>
      <c r="L11" s="75"/>
    </row>
    <row r="12" ht="16.5" spans="1:12">
      <c r="A12" s="891" t="s">
        <v>31</v>
      </c>
      <c r="B12" s="892">
        <v>83</v>
      </c>
      <c r="C12" s="892">
        <v>88</v>
      </c>
      <c r="D12" s="676" t="s">
        <v>18</v>
      </c>
      <c r="E12" s="677" t="s">
        <v>61</v>
      </c>
      <c r="F12" s="676">
        <v>2</v>
      </c>
      <c r="G12" s="676" t="s">
        <v>20</v>
      </c>
      <c r="H12" s="893"/>
      <c r="I12" s="111">
        <v>2</v>
      </c>
      <c r="J12" s="111">
        <v>1</v>
      </c>
      <c r="K12" s="111">
        <v>2</v>
      </c>
      <c r="L12" s="112">
        <v>89</v>
      </c>
    </row>
    <row r="13" ht="16.5" spans="1:12">
      <c r="A13" s="19"/>
      <c r="B13" s="19"/>
      <c r="C13" s="19"/>
      <c r="D13" s="676" t="s">
        <v>18</v>
      </c>
      <c r="E13" s="111" t="s">
        <v>62</v>
      </c>
      <c r="F13" s="111">
        <v>1</v>
      </c>
      <c r="G13" s="676" t="s">
        <v>30</v>
      </c>
      <c r="H13" s="893"/>
      <c r="I13" s="111">
        <v>1</v>
      </c>
      <c r="J13" s="111">
        <v>1</v>
      </c>
      <c r="K13" s="111">
        <v>0</v>
      </c>
      <c r="L13" s="75"/>
    </row>
    <row r="14" ht="16.5" spans="1:12">
      <c r="A14" s="19"/>
      <c r="B14" s="19"/>
      <c r="C14" s="19"/>
      <c r="D14" s="676" t="s">
        <v>21</v>
      </c>
      <c r="E14" s="677" t="s">
        <v>61</v>
      </c>
      <c r="F14" s="676">
        <v>1</v>
      </c>
      <c r="G14" s="676" t="s">
        <v>20</v>
      </c>
      <c r="H14" s="893"/>
      <c r="I14" s="111">
        <v>0</v>
      </c>
      <c r="J14" s="111">
        <v>0</v>
      </c>
      <c r="K14" s="111">
        <v>0</v>
      </c>
      <c r="L14" s="75"/>
    </row>
    <row r="15" ht="16.5" spans="1:12">
      <c r="A15" s="19"/>
      <c r="B15" s="19"/>
      <c r="C15" s="19"/>
      <c r="D15" s="676" t="s">
        <v>41</v>
      </c>
      <c r="E15" s="677" t="s">
        <v>61</v>
      </c>
      <c r="F15" s="676">
        <v>1</v>
      </c>
      <c r="G15" s="676" t="s">
        <v>20</v>
      </c>
      <c r="H15" s="893"/>
      <c r="I15" s="111">
        <v>0</v>
      </c>
      <c r="J15" s="111">
        <v>0</v>
      </c>
      <c r="K15" s="111">
        <v>0</v>
      </c>
      <c r="L15" s="75"/>
    </row>
    <row r="16" ht="16.5" spans="1:12">
      <c r="A16" s="19"/>
      <c r="B16" s="19"/>
      <c r="C16" s="19"/>
      <c r="D16" s="676" t="s">
        <v>41</v>
      </c>
      <c r="E16" s="677" t="s">
        <v>63</v>
      </c>
      <c r="F16" s="676">
        <v>1</v>
      </c>
      <c r="G16" s="676" t="s">
        <v>20</v>
      </c>
      <c r="H16" s="893"/>
      <c r="I16" s="111">
        <v>0</v>
      </c>
      <c r="J16" s="111">
        <v>0</v>
      </c>
      <c r="K16" s="111">
        <v>1</v>
      </c>
      <c r="L16" s="75"/>
    </row>
    <row r="17" ht="16.5" spans="1:12">
      <c r="A17" s="28" t="s">
        <v>34</v>
      </c>
      <c r="B17" s="29" t="s">
        <v>35</v>
      </c>
      <c r="C17" s="29">
        <v>20</v>
      </c>
      <c r="D17" s="30" t="s">
        <v>18</v>
      </c>
      <c r="E17" s="31" t="s">
        <v>64</v>
      </c>
      <c r="F17" s="30">
        <v>1</v>
      </c>
      <c r="G17" s="30" t="s">
        <v>23</v>
      </c>
      <c r="H17" s="894" t="s">
        <v>65</v>
      </c>
      <c r="I17" s="115">
        <v>0</v>
      </c>
      <c r="J17" s="115">
        <v>0</v>
      </c>
      <c r="K17" s="115">
        <v>0</v>
      </c>
      <c r="L17" s="116">
        <v>23</v>
      </c>
    </row>
    <row r="18" ht="16.5" spans="1:12">
      <c r="A18" s="19"/>
      <c r="B18" s="19"/>
      <c r="C18" s="19"/>
      <c r="D18" s="30" t="s">
        <v>18</v>
      </c>
      <c r="E18" s="31" t="s">
        <v>66</v>
      </c>
      <c r="F18" s="30">
        <v>1</v>
      </c>
      <c r="G18" s="30" t="s">
        <v>20</v>
      </c>
      <c r="H18" s="894"/>
      <c r="I18" s="115">
        <v>1</v>
      </c>
      <c r="J18" s="115">
        <v>1</v>
      </c>
      <c r="K18" s="115">
        <v>0</v>
      </c>
      <c r="L18" s="75"/>
    </row>
    <row r="19" ht="16.5" spans="1:12">
      <c r="A19" s="19"/>
      <c r="B19" s="19"/>
      <c r="C19" s="19"/>
      <c r="D19" s="30" t="s">
        <v>41</v>
      </c>
      <c r="E19" s="31" t="s">
        <v>67</v>
      </c>
      <c r="F19" s="30">
        <v>2</v>
      </c>
      <c r="G19" s="30" t="s">
        <v>20</v>
      </c>
      <c r="H19" s="894"/>
      <c r="I19" s="115">
        <v>3</v>
      </c>
      <c r="J19" s="115">
        <v>2</v>
      </c>
      <c r="K19" s="115">
        <v>1</v>
      </c>
      <c r="L19" s="75"/>
    </row>
    <row r="20" ht="16.5" spans="1:12">
      <c r="A20" s="33" t="s">
        <v>40</v>
      </c>
      <c r="B20" s="34">
        <v>7</v>
      </c>
      <c r="C20" s="34">
        <v>10</v>
      </c>
      <c r="D20" s="35" t="s">
        <v>21</v>
      </c>
      <c r="E20" s="36" t="s">
        <v>42</v>
      </c>
      <c r="F20" s="35">
        <v>1</v>
      </c>
      <c r="G20" s="35" t="s">
        <v>23</v>
      </c>
      <c r="H20" s="895"/>
      <c r="I20" s="117">
        <v>1</v>
      </c>
      <c r="J20" s="117">
        <v>0</v>
      </c>
      <c r="K20" s="117">
        <v>0</v>
      </c>
      <c r="L20" s="83">
        <v>18</v>
      </c>
    </row>
    <row r="21" ht="16.5" spans="1:12">
      <c r="A21" s="19"/>
      <c r="B21" s="19"/>
      <c r="C21" s="19"/>
      <c r="D21" s="35" t="s">
        <v>18</v>
      </c>
      <c r="E21" s="36" t="s">
        <v>18</v>
      </c>
      <c r="F21" s="35">
        <v>1</v>
      </c>
      <c r="G21" s="35" t="s">
        <v>23</v>
      </c>
      <c r="H21" s="895"/>
      <c r="I21" s="117">
        <v>0</v>
      </c>
      <c r="J21" s="117">
        <v>0</v>
      </c>
      <c r="K21" s="117">
        <v>0</v>
      </c>
      <c r="L21" s="75"/>
    </row>
    <row r="22" ht="16.5" spans="1:12">
      <c r="A22" s="40" t="s">
        <v>43</v>
      </c>
      <c r="B22" s="41" t="s">
        <v>44</v>
      </c>
      <c r="C22" s="41">
        <v>33</v>
      </c>
      <c r="D22" s="42" t="s">
        <v>41</v>
      </c>
      <c r="E22" s="43" t="s">
        <v>68</v>
      </c>
      <c r="F22" s="42">
        <v>1</v>
      </c>
      <c r="G22" s="42" t="s">
        <v>23</v>
      </c>
      <c r="H22" s="896"/>
      <c r="I22" s="118">
        <v>1</v>
      </c>
      <c r="J22" s="118">
        <v>1</v>
      </c>
      <c r="K22" s="118">
        <v>0</v>
      </c>
      <c r="L22" s="119">
        <v>36</v>
      </c>
    </row>
    <row r="23" ht="16.5" spans="1:12">
      <c r="A23" s="19"/>
      <c r="B23" s="19"/>
      <c r="C23" s="19"/>
      <c r="D23" s="42" t="s">
        <v>21</v>
      </c>
      <c r="E23" s="43" t="s">
        <v>68</v>
      </c>
      <c r="F23" s="42">
        <v>2</v>
      </c>
      <c r="G23" s="42" t="s">
        <v>23</v>
      </c>
      <c r="H23" s="896"/>
      <c r="I23" s="118">
        <v>2</v>
      </c>
      <c r="J23" s="118">
        <v>1</v>
      </c>
      <c r="K23" s="118">
        <v>1</v>
      </c>
      <c r="L23" s="75"/>
    </row>
    <row r="24" ht="16.5" spans="1:12">
      <c r="A24" s="19"/>
      <c r="B24" s="19"/>
      <c r="C24" s="19"/>
      <c r="D24" s="42" t="s">
        <v>18</v>
      </c>
      <c r="E24" s="43" t="s">
        <v>69</v>
      </c>
      <c r="F24" s="42">
        <v>1</v>
      </c>
      <c r="G24" s="42" t="s">
        <v>23</v>
      </c>
      <c r="H24" s="896"/>
      <c r="I24" s="118">
        <v>2</v>
      </c>
      <c r="J24" s="118">
        <v>1</v>
      </c>
      <c r="K24" s="118">
        <v>1</v>
      </c>
      <c r="L24" s="75"/>
    </row>
    <row r="25" ht="16.5" spans="1:12">
      <c r="A25" s="19"/>
      <c r="B25" s="19"/>
      <c r="C25" s="19"/>
      <c r="D25" s="42" t="s">
        <v>41</v>
      </c>
      <c r="E25" s="43" t="s">
        <v>70</v>
      </c>
      <c r="F25" s="42">
        <v>1</v>
      </c>
      <c r="G25" s="42" t="s">
        <v>23</v>
      </c>
      <c r="H25" s="896" t="s">
        <v>71</v>
      </c>
      <c r="I25" s="118">
        <v>0</v>
      </c>
      <c r="J25" s="118">
        <v>0</v>
      </c>
      <c r="K25" s="118">
        <v>0</v>
      </c>
      <c r="L25" s="75"/>
    </row>
    <row r="26" ht="16.5" spans="1:12">
      <c r="A26" s="888"/>
      <c r="B26" s="889"/>
      <c r="C26" s="889"/>
      <c r="D26" s="42" t="s">
        <v>72</v>
      </c>
      <c r="E26" s="43" t="s">
        <v>73</v>
      </c>
      <c r="F26" s="42">
        <v>1</v>
      </c>
      <c r="G26" s="42" t="s">
        <v>23</v>
      </c>
      <c r="H26" s="896"/>
      <c r="I26" s="118">
        <v>0</v>
      </c>
      <c r="J26" s="118">
        <v>1</v>
      </c>
      <c r="K26" s="118">
        <v>2</v>
      </c>
      <c r="L26" s="901"/>
    </row>
    <row r="27" ht="16.5" spans="1:12">
      <c r="A27" s="888"/>
      <c r="B27" s="889"/>
      <c r="C27" s="889"/>
      <c r="D27" s="42" t="s">
        <v>18</v>
      </c>
      <c r="E27" s="43" t="s">
        <v>74</v>
      </c>
      <c r="F27" s="42">
        <v>1</v>
      </c>
      <c r="G27" s="42" t="s">
        <v>30</v>
      </c>
      <c r="H27" s="896"/>
      <c r="I27" s="118">
        <v>2</v>
      </c>
      <c r="J27" s="118">
        <v>1</v>
      </c>
      <c r="K27" s="118">
        <v>0</v>
      </c>
      <c r="L27" s="901"/>
    </row>
    <row r="28" ht="16.5" spans="1:12">
      <c r="A28" s="57"/>
      <c r="B28" s="57"/>
      <c r="C28" s="57"/>
      <c r="D28" s="42" t="s">
        <v>18</v>
      </c>
      <c r="E28" s="43" t="s">
        <v>47</v>
      </c>
      <c r="F28" s="42">
        <v>2</v>
      </c>
      <c r="G28" s="42" t="s">
        <v>30</v>
      </c>
      <c r="H28" s="896" t="s">
        <v>38</v>
      </c>
      <c r="I28" s="118">
        <v>2</v>
      </c>
      <c r="J28" s="118">
        <v>2</v>
      </c>
      <c r="K28" s="118">
        <v>1</v>
      </c>
      <c r="L28" s="75"/>
    </row>
    <row r="29" ht="16.5" spans="1:12">
      <c r="A29" s="47" t="s">
        <v>49</v>
      </c>
      <c r="B29" s="48">
        <v>23</v>
      </c>
      <c r="C29" s="48">
        <v>23</v>
      </c>
      <c r="D29" s="897"/>
      <c r="E29" s="898"/>
      <c r="F29" s="897"/>
      <c r="G29" s="897"/>
      <c r="H29" s="899"/>
      <c r="I29" s="64">
        <v>0</v>
      </c>
      <c r="J29" s="64">
        <v>0</v>
      </c>
      <c r="K29" s="64">
        <v>2</v>
      </c>
      <c r="L29" s="120">
        <v>21</v>
      </c>
    </row>
    <row r="30" ht="16.5" spans="1:12">
      <c r="A30" s="47" t="s">
        <v>50</v>
      </c>
      <c r="B30" s="48">
        <v>7</v>
      </c>
      <c r="C30" s="48">
        <v>7</v>
      </c>
      <c r="D30" s="897"/>
      <c r="E30" s="898"/>
      <c r="F30" s="897"/>
      <c r="G30" s="897"/>
      <c r="H30" s="899"/>
      <c r="I30" s="64">
        <v>0</v>
      </c>
      <c r="J30" s="64">
        <v>0</v>
      </c>
      <c r="K30" s="64">
        <v>0</v>
      </c>
      <c r="L30" s="120">
        <v>7</v>
      </c>
    </row>
    <row r="31" ht="17.25" spans="1:12">
      <c r="A31" s="106"/>
      <c r="B31" s="107"/>
      <c r="C31" s="107">
        <f>SUM(C4:C30)</f>
        <v>309</v>
      </c>
      <c r="D31" s="106"/>
      <c r="E31" s="107"/>
      <c r="F31" s="106"/>
      <c r="G31" s="106"/>
      <c r="H31" s="900"/>
      <c r="I31" s="125"/>
      <c r="J31" s="125"/>
      <c r="K31" s="125"/>
      <c r="L31" s="126">
        <f>SUM(L4:L30)</f>
        <v>317</v>
      </c>
    </row>
    <row r="32" ht="16.5" spans="1:7">
      <c r="A32" s="65"/>
      <c r="B32" s="1"/>
      <c r="C32" s="1"/>
      <c r="D32" s="66"/>
      <c r="E32" s="1"/>
      <c r="F32" s="66"/>
      <c r="G32" s="66"/>
    </row>
    <row r="33" ht="16.5" spans="1:7">
      <c r="A33" s="65"/>
      <c r="B33" s="1"/>
      <c r="C33" s="1"/>
      <c r="D33" s="66"/>
      <c r="E33" s="1"/>
      <c r="F33" s="66"/>
      <c r="G33" s="66"/>
    </row>
    <row r="34" ht="16.5" spans="1:7">
      <c r="A34" s="65"/>
      <c r="B34" s="1"/>
      <c r="C34" s="1"/>
      <c r="D34" s="66"/>
      <c r="E34" s="1"/>
      <c r="F34" s="66"/>
      <c r="G34" s="66"/>
    </row>
    <row r="35" ht="16.5" spans="1:7">
      <c r="A35" s="65"/>
      <c r="B35" s="1"/>
      <c r="C35" s="1"/>
      <c r="D35" s="66"/>
      <c r="E35" s="1"/>
      <c r="F35" s="66"/>
      <c r="G35" s="66"/>
    </row>
    <row r="36" ht="16.5" spans="1:7">
      <c r="A36" s="65"/>
      <c r="B36" s="1"/>
      <c r="C36" s="1"/>
      <c r="D36" s="66"/>
      <c r="E36" s="1"/>
      <c r="F36" s="66"/>
      <c r="G36" s="66"/>
    </row>
    <row r="37" ht="16.5" spans="1:7">
      <c r="A37" s="65"/>
      <c r="B37" s="1"/>
      <c r="C37" s="1"/>
      <c r="D37" s="66"/>
      <c r="E37" s="1"/>
      <c r="F37" s="66"/>
      <c r="G37" s="66"/>
    </row>
    <row r="38" ht="16.5" spans="1:7">
      <c r="A38" s="65"/>
      <c r="B38" s="1"/>
      <c r="C38" s="1"/>
      <c r="D38" s="66"/>
      <c r="E38" s="1"/>
      <c r="F38" s="66"/>
      <c r="G38" s="66"/>
    </row>
    <row r="39" ht="16.5" spans="1:7">
      <c r="A39" s="65"/>
      <c r="B39" s="1"/>
      <c r="C39" s="1"/>
      <c r="D39" s="66"/>
      <c r="E39" s="1"/>
      <c r="F39" s="66"/>
      <c r="G39" s="66"/>
    </row>
    <row r="40" ht="16.5" spans="1:7">
      <c r="A40" s="65"/>
      <c r="B40" s="1"/>
      <c r="C40" s="1"/>
      <c r="D40" s="66"/>
      <c r="E40" s="1"/>
      <c r="F40" s="66"/>
      <c r="G40" s="66"/>
    </row>
    <row r="41" ht="16.5" spans="1:7">
      <c r="A41" s="65"/>
      <c r="B41" s="1"/>
      <c r="C41" s="1"/>
      <c r="D41" s="66"/>
      <c r="E41" s="1"/>
      <c r="F41" s="66"/>
      <c r="G41" s="66"/>
    </row>
    <row r="42" ht="16.5" spans="1:7">
      <c r="A42" s="65"/>
      <c r="B42" s="1"/>
      <c r="C42" s="1"/>
      <c r="D42" s="66"/>
      <c r="E42" s="1"/>
      <c r="F42" s="66"/>
      <c r="G42" s="66"/>
    </row>
    <row r="43" ht="16.5" spans="1:7">
      <c r="A43" s="65"/>
      <c r="B43" s="1"/>
      <c r="C43" s="1"/>
      <c r="D43" s="66"/>
      <c r="E43" s="1"/>
      <c r="F43" s="66"/>
      <c r="G43" s="66"/>
    </row>
    <row r="44" ht="16.5" spans="1:7">
      <c r="A44" s="65"/>
      <c r="B44" s="1"/>
      <c r="C44" s="1"/>
      <c r="D44" s="66"/>
      <c r="E44" s="1"/>
      <c r="F44" s="66"/>
      <c r="G44" s="66"/>
    </row>
    <row r="45" ht="16.5" spans="1:7">
      <c r="A45" s="65"/>
      <c r="B45" s="1"/>
      <c r="C45" s="1"/>
      <c r="D45" s="66"/>
      <c r="E45" s="1"/>
      <c r="F45" s="66"/>
      <c r="G45" s="66"/>
    </row>
    <row r="46" ht="16.5" spans="1:7">
      <c r="A46" s="65"/>
      <c r="B46" s="1"/>
      <c r="C46" s="1"/>
      <c r="D46" s="66"/>
      <c r="E46" s="1"/>
      <c r="F46" s="66"/>
      <c r="G46" s="66"/>
    </row>
    <row r="47" ht="16.5" spans="1:7">
      <c r="A47" s="65"/>
      <c r="B47" s="1"/>
      <c r="C47" s="1"/>
      <c r="D47" s="66"/>
      <c r="E47" s="1"/>
      <c r="F47" s="66"/>
      <c r="G47" s="66"/>
    </row>
    <row r="48" ht="16.5" spans="1:7">
      <c r="A48" s="65"/>
      <c r="B48" s="1"/>
      <c r="C48" s="1"/>
      <c r="D48" s="66"/>
      <c r="E48" s="1"/>
      <c r="F48" s="66"/>
      <c r="G48" s="66"/>
    </row>
    <row r="49" ht="16.5" spans="1:7">
      <c r="A49" s="65"/>
      <c r="B49" s="1"/>
      <c r="C49" s="1"/>
      <c r="D49" s="66"/>
      <c r="E49" s="1"/>
      <c r="F49" s="66"/>
      <c r="G49" s="66"/>
    </row>
    <row r="50" ht="16.5" spans="1:7">
      <c r="A50" s="65"/>
      <c r="B50" s="1"/>
      <c r="C50" s="1"/>
      <c r="D50" s="66"/>
      <c r="E50" s="1"/>
      <c r="F50" s="66"/>
      <c r="G50" s="66"/>
    </row>
    <row r="51" ht="16.5" spans="1:7">
      <c r="A51" s="65"/>
      <c r="B51" s="1"/>
      <c r="C51" s="1"/>
      <c r="D51" s="66"/>
      <c r="E51" s="1"/>
      <c r="F51" s="66"/>
      <c r="G51" s="66"/>
    </row>
    <row r="52" ht="16.5" spans="1:7">
      <c r="A52" s="65"/>
      <c r="B52" s="1"/>
      <c r="C52" s="1"/>
      <c r="D52" s="66"/>
      <c r="E52" s="1"/>
      <c r="F52" s="66"/>
      <c r="G52" s="66"/>
    </row>
    <row r="53" ht="16.5" spans="1:7">
      <c r="A53" s="65"/>
      <c r="B53" s="1"/>
      <c r="C53" s="1"/>
      <c r="D53" s="66"/>
      <c r="E53" s="1"/>
      <c r="F53" s="66"/>
      <c r="G53" s="66"/>
    </row>
    <row r="54" ht="16.5" spans="1:7">
      <c r="A54" s="65"/>
      <c r="B54" s="1"/>
      <c r="C54" s="1"/>
      <c r="D54" s="66"/>
      <c r="E54" s="1"/>
      <c r="F54" s="66"/>
      <c r="G54" s="66"/>
    </row>
    <row r="55" ht="16.5" spans="1:7">
      <c r="A55" s="65"/>
      <c r="B55" s="1"/>
      <c r="C55" s="1"/>
      <c r="D55" s="66"/>
      <c r="E55" s="1"/>
      <c r="F55" s="66"/>
      <c r="G55" s="66"/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1:7">
      <c r="A63" s="65"/>
      <c r="B63" s="1"/>
      <c r="C63" s="1"/>
      <c r="D63" s="66"/>
      <c r="E63" s="1"/>
      <c r="F63" s="66"/>
      <c r="G63" s="66"/>
    </row>
    <row r="64" ht="16.5" spans="1:7">
      <c r="A64" s="65"/>
      <c r="B64" s="1"/>
      <c r="C64" s="1"/>
      <c r="D64" s="66"/>
      <c r="E64" s="1"/>
      <c r="F64" s="66"/>
      <c r="G64" s="66"/>
    </row>
    <row r="65" ht="16.5" spans="1:7">
      <c r="A65" s="65"/>
      <c r="B65" s="1"/>
      <c r="C65" s="1"/>
      <c r="D65" s="66"/>
      <c r="E65" s="1"/>
      <c r="F65" s="66"/>
      <c r="G65" s="66"/>
    </row>
    <row r="66" ht="16.5" spans="1:7">
      <c r="A66" s="65"/>
      <c r="B66" s="1"/>
      <c r="C66" s="1"/>
      <c r="D66" s="66"/>
      <c r="E66" s="1"/>
      <c r="F66" s="66"/>
      <c r="G66" s="66"/>
    </row>
    <row r="67" ht="16.5" spans="1:7">
      <c r="A67" s="65"/>
      <c r="B67" s="1"/>
      <c r="C67" s="1"/>
      <c r="D67" s="66"/>
      <c r="E67" s="1"/>
      <c r="F67" s="66"/>
      <c r="G67" s="66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6"/>
      <c r="E208" s="1"/>
      <c r="F208" s="66"/>
      <c r="G208" s="66"/>
    </row>
    <row r="209" ht="16.5" spans="1:7">
      <c r="A209" s="65"/>
      <c r="B209" s="1"/>
      <c r="C209" s="1"/>
      <c r="D209" s="66"/>
      <c r="E209" s="1"/>
      <c r="F209" s="66"/>
      <c r="G209" s="66"/>
    </row>
    <row r="210" ht="16.5" spans="1:7">
      <c r="A210" s="65"/>
      <c r="B210" s="1"/>
      <c r="C210" s="1"/>
      <c r="D210" s="66"/>
      <c r="E210" s="1"/>
      <c r="F210" s="66"/>
      <c r="G210" s="66"/>
    </row>
    <row r="211" ht="16.5" spans="1:7">
      <c r="A211" s="65"/>
      <c r="B211" s="1"/>
      <c r="C211" s="1"/>
      <c r="D211" s="66"/>
      <c r="E211" s="1"/>
      <c r="F211" s="66"/>
      <c r="G211" s="66"/>
    </row>
    <row r="212" ht="16.5" spans="1:7">
      <c r="A212" s="65"/>
      <c r="B212" s="1"/>
      <c r="C212" s="1"/>
      <c r="D212" s="66"/>
      <c r="E212" s="1"/>
      <c r="F212" s="66"/>
      <c r="G212" s="66"/>
    </row>
    <row r="213" ht="16.5" spans="1:7">
      <c r="A213" s="65"/>
      <c r="B213" s="1"/>
      <c r="C213" s="1"/>
      <c r="D213" s="66"/>
      <c r="E213" s="1"/>
      <c r="F213" s="66"/>
      <c r="G213" s="66"/>
    </row>
    <row r="214" ht="16.5" spans="1:7">
      <c r="A214" s="65"/>
      <c r="B214" s="1"/>
      <c r="C214" s="1"/>
      <c r="D214" s="66"/>
      <c r="E214" s="1"/>
      <c r="F214" s="66"/>
      <c r="G214" s="66"/>
    </row>
    <row r="215" ht="16.5" spans="1:7">
      <c r="A215" s="65"/>
      <c r="B215" s="1"/>
      <c r="C215" s="1"/>
      <c r="D215" s="66"/>
      <c r="E215" s="1"/>
      <c r="F215" s="66"/>
      <c r="G215" s="66"/>
    </row>
    <row r="216" ht="16.5" spans="1:7">
      <c r="A216" s="65"/>
      <c r="B216" s="1"/>
      <c r="C216" s="1"/>
      <c r="D216" s="66"/>
      <c r="E216" s="1"/>
      <c r="F216" s="66"/>
      <c r="G216" s="66"/>
    </row>
    <row r="217" ht="16.5" spans="1:7">
      <c r="A217" s="65"/>
      <c r="B217" s="1"/>
      <c r="C217" s="1"/>
      <c r="D217" s="65"/>
      <c r="E217" s="1"/>
      <c r="F217" s="1"/>
      <c r="G217" s="65"/>
    </row>
    <row r="218" ht="16.5" spans="1:7">
      <c r="A218" s="65"/>
      <c r="B218" s="1"/>
      <c r="C218" s="1"/>
      <c r="D218" s="65"/>
      <c r="E218" s="1"/>
      <c r="F218" s="1"/>
      <c r="G218" s="65"/>
    </row>
  </sheetData>
  <mergeCells count="28">
    <mergeCell ref="A1:H1"/>
    <mergeCell ref="J1:L1"/>
    <mergeCell ref="A2:H2"/>
    <mergeCell ref="J2:L2"/>
    <mergeCell ref="A4:A8"/>
    <mergeCell ref="A9:A11"/>
    <mergeCell ref="A12:A16"/>
    <mergeCell ref="A17:A19"/>
    <mergeCell ref="A20:A21"/>
    <mergeCell ref="A22:A28"/>
    <mergeCell ref="B4:B8"/>
    <mergeCell ref="B9:B11"/>
    <mergeCell ref="B12:B16"/>
    <mergeCell ref="B17:B19"/>
    <mergeCell ref="B20:B21"/>
    <mergeCell ref="B22:B28"/>
    <mergeCell ref="C4:C8"/>
    <mergeCell ref="C9:C11"/>
    <mergeCell ref="C12:C16"/>
    <mergeCell ref="C17:C19"/>
    <mergeCell ref="C20:C21"/>
    <mergeCell ref="C22:C28"/>
    <mergeCell ref="L4:L8"/>
    <mergeCell ref="L9:L11"/>
    <mergeCell ref="L12:L16"/>
    <mergeCell ref="L17:L19"/>
    <mergeCell ref="L20:L21"/>
    <mergeCell ref="L22:L28"/>
  </mergeCells>
  <dataValidations count="3">
    <dataValidation type="list" allowBlank="1" showInputMessage="1" showErrorMessage="1" sqref="A3:A1048576">
      <formula1>"自孵部,签约部,培训部,外采部,商务部,运营中台,总经办+财务部,财务部,技术部,"</formula1>
    </dataValidation>
    <dataValidation type="list" allowBlank="1" showInputMessage="1" showErrorMessage="1" sqref="D3:D1048576">
      <formula1>"新增需求,替补需求,储备需求,上个月未交付延期本月,"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10"/>
  <dimension ref="A1:P196"/>
  <sheetViews>
    <sheetView tabSelected="1" workbookViewId="0">
      <selection activeCell="J13" sqref="J13"/>
    </sheetView>
  </sheetViews>
  <sheetFormatPr defaultColWidth="14" defaultRowHeight="18" customHeight="1"/>
  <cols>
    <col min="1" max="1" width="13.6761904761905" style="802"/>
    <col min="6" max="6" width="15.2380952380952" customWidth="1"/>
    <col min="8" max="8" width="53.552380952381" customWidth="1"/>
    <col min="9" max="9" width="14.7047619047619" customWidth="1"/>
  </cols>
  <sheetData>
    <row r="1" ht="17.25" spans="1:10">
      <c r="A1" s="829"/>
      <c r="B1" s="6" t="s">
        <v>0</v>
      </c>
      <c r="F1" s="6"/>
      <c r="I1" s="6"/>
      <c r="J1" s="109" t="s">
        <v>75</v>
      </c>
    </row>
    <row r="2" ht="27" customHeight="1" spans="1:13">
      <c r="A2" s="830"/>
      <c r="B2" s="742" t="s">
        <v>76</v>
      </c>
      <c r="C2" s="69"/>
      <c r="D2" s="69"/>
      <c r="E2" s="69"/>
      <c r="F2" s="69"/>
      <c r="G2" s="69"/>
      <c r="H2" s="69"/>
      <c r="I2" s="70"/>
      <c r="J2" s="858" t="s">
        <v>77</v>
      </c>
      <c r="K2" s="745"/>
      <c r="L2" s="745"/>
      <c r="M2" s="810"/>
    </row>
    <row r="3" ht="16.5" spans="1:13">
      <c r="A3" s="812"/>
      <c r="B3" s="257" t="s">
        <v>4</v>
      </c>
      <c r="C3" s="199" t="s">
        <v>78</v>
      </c>
      <c r="D3" s="199" t="s">
        <v>8</v>
      </c>
      <c r="E3" s="199" t="s">
        <v>9</v>
      </c>
      <c r="F3" s="199" t="s">
        <v>79</v>
      </c>
      <c r="G3" s="199" t="s">
        <v>10</v>
      </c>
      <c r="H3" s="831" t="s">
        <v>11</v>
      </c>
      <c r="I3" s="859" t="s">
        <v>80</v>
      </c>
      <c r="J3" s="860" t="s">
        <v>12</v>
      </c>
      <c r="K3" s="291" t="s">
        <v>13</v>
      </c>
      <c r="L3" s="291" t="s">
        <v>14</v>
      </c>
      <c r="M3" s="292" t="s">
        <v>81</v>
      </c>
    </row>
    <row r="4" ht="24" customHeight="1" spans="1:16">
      <c r="A4" s="814"/>
      <c r="B4" s="832" t="s">
        <v>16</v>
      </c>
      <c r="C4" s="205" t="s">
        <v>18</v>
      </c>
      <c r="D4" s="833" t="s">
        <v>19</v>
      </c>
      <c r="E4" s="205">
        <v>1</v>
      </c>
      <c r="F4" s="834" t="s">
        <v>82</v>
      </c>
      <c r="G4" s="271" t="s">
        <v>20</v>
      </c>
      <c r="H4" s="835" t="s">
        <v>83</v>
      </c>
      <c r="I4" s="861" t="s">
        <v>84</v>
      </c>
      <c r="J4" s="862"/>
      <c r="K4" s="205"/>
      <c r="L4" s="205"/>
      <c r="M4" s="271"/>
      <c r="O4" s="832" t="s">
        <v>16</v>
      </c>
      <c r="P4" s="205"/>
    </row>
    <row r="5" ht="24" customHeight="1" spans="1:16">
      <c r="A5" s="814"/>
      <c r="B5" s="803" t="s">
        <v>25</v>
      </c>
      <c r="C5" s="210" t="s">
        <v>18</v>
      </c>
      <c r="D5" s="210" t="s">
        <v>85</v>
      </c>
      <c r="E5" s="210">
        <v>5</v>
      </c>
      <c r="F5" s="834" t="s">
        <v>82</v>
      </c>
      <c r="G5" s="263" t="s">
        <v>30</v>
      </c>
      <c r="H5" s="836" t="s">
        <v>86</v>
      </c>
      <c r="I5" s="863" t="s">
        <v>87</v>
      </c>
      <c r="J5" s="864"/>
      <c r="K5" s="210"/>
      <c r="L5" s="210"/>
      <c r="M5" s="263"/>
      <c r="O5" s="803" t="s">
        <v>25</v>
      </c>
      <c r="P5" s="865"/>
    </row>
    <row r="6" ht="24" customHeight="1" spans="1:16">
      <c r="A6" s="814"/>
      <c r="B6" s="307"/>
      <c r="C6" s="210" t="s">
        <v>21</v>
      </c>
      <c r="D6" s="210" t="s">
        <v>85</v>
      </c>
      <c r="E6" s="210">
        <v>2</v>
      </c>
      <c r="F6" s="834" t="s">
        <v>82</v>
      </c>
      <c r="G6" s="263" t="s">
        <v>30</v>
      </c>
      <c r="H6" s="836" t="s">
        <v>88</v>
      </c>
      <c r="I6" s="863" t="s">
        <v>87</v>
      </c>
      <c r="J6" s="864"/>
      <c r="K6" s="210"/>
      <c r="L6" s="210"/>
      <c r="M6" s="263"/>
      <c r="O6" s="307"/>
      <c r="P6" s="210"/>
    </row>
    <row r="7" ht="24" customHeight="1" spans="1:16">
      <c r="A7" s="814"/>
      <c r="B7" s="804" t="s">
        <v>34</v>
      </c>
      <c r="C7" s="216" t="s">
        <v>21</v>
      </c>
      <c r="D7" s="217" t="s">
        <v>89</v>
      </c>
      <c r="E7" s="216">
        <v>2</v>
      </c>
      <c r="F7" s="834" t="s">
        <v>82</v>
      </c>
      <c r="G7" s="274" t="s">
        <v>20</v>
      </c>
      <c r="H7" s="837" t="s">
        <v>90</v>
      </c>
      <c r="I7" s="866" t="s">
        <v>91</v>
      </c>
      <c r="J7" s="867"/>
      <c r="K7" s="754"/>
      <c r="L7" s="216"/>
      <c r="M7" s="274"/>
      <c r="O7" s="804" t="s">
        <v>34</v>
      </c>
      <c r="P7" s="217"/>
    </row>
    <row r="8" ht="24" customHeight="1" spans="1:16">
      <c r="A8" s="814"/>
      <c r="B8" s="307"/>
      <c r="C8" s="216" t="s">
        <v>21</v>
      </c>
      <c r="D8" s="220" t="s">
        <v>67</v>
      </c>
      <c r="E8" s="216">
        <v>1</v>
      </c>
      <c r="F8" s="834" t="s">
        <v>92</v>
      </c>
      <c r="G8" s="274" t="s">
        <v>20</v>
      </c>
      <c r="H8" s="837" t="s">
        <v>93</v>
      </c>
      <c r="I8" s="866" t="s">
        <v>91</v>
      </c>
      <c r="J8" s="867"/>
      <c r="K8" s="754"/>
      <c r="L8" s="216"/>
      <c r="M8" s="274"/>
      <c r="O8" s="307"/>
      <c r="P8" s="220"/>
    </row>
    <row r="9" ht="24" customHeight="1" spans="1:16">
      <c r="A9" s="814"/>
      <c r="B9" s="307"/>
      <c r="C9" s="216" t="s">
        <v>21</v>
      </c>
      <c r="D9" s="117" t="s">
        <v>94</v>
      </c>
      <c r="E9" s="216">
        <v>1</v>
      </c>
      <c r="F9" s="834" t="s">
        <v>92</v>
      </c>
      <c r="G9" s="274" t="s">
        <v>20</v>
      </c>
      <c r="H9" s="837" t="s">
        <v>95</v>
      </c>
      <c r="I9" s="866" t="s">
        <v>91</v>
      </c>
      <c r="J9" s="867"/>
      <c r="K9" s="754"/>
      <c r="L9" s="216"/>
      <c r="M9" s="274"/>
      <c r="O9" s="868"/>
      <c r="P9" s="117"/>
    </row>
    <row r="10" ht="24" customHeight="1" spans="1:16">
      <c r="A10" s="814"/>
      <c r="B10" s="838" t="s">
        <v>43</v>
      </c>
      <c r="C10" s="222" t="s">
        <v>18</v>
      </c>
      <c r="D10" s="222" t="s">
        <v>96</v>
      </c>
      <c r="E10" s="222">
        <v>3</v>
      </c>
      <c r="F10" s="834" t="s">
        <v>92</v>
      </c>
      <c r="G10" s="267" t="s">
        <v>20</v>
      </c>
      <c r="H10" s="839" t="s">
        <v>97</v>
      </c>
      <c r="I10" s="869" t="s">
        <v>98</v>
      </c>
      <c r="J10" s="870"/>
      <c r="K10" s="222"/>
      <c r="L10" s="222"/>
      <c r="M10" s="267"/>
      <c r="N10" s="814"/>
      <c r="O10" s="838" t="s">
        <v>43</v>
      </c>
      <c r="P10" s="222"/>
    </row>
    <row r="11" ht="24" customHeight="1" spans="1:16">
      <c r="A11" s="814"/>
      <c r="B11" s="307"/>
      <c r="C11" s="222" t="s">
        <v>18</v>
      </c>
      <c r="D11" s="222" t="s">
        <v>99</v>
      </c>
      <c r="E11" s="222">
        <v>2</v>
      </c>
      <c r="F11" s="834" t="s">
        <v>92</v>
      </c>
      <c r="G11" s="267" t="s">
        <v>20</v>
      </c>
      <c r="H11" s="839" t="s">
        <v>100</v>
      </c>
      <c r="I11" s="869" t="s">
        <v>98</v>
      </c>
      <c r="J11" s="870"/>
      <c r="K11" s="222"/>
      <c r="L11" s="222"/>
      <c r="M11" s="267"/>
      <c r="N11" s="814"/>
      <c r="O11" s="307"/>
      <c r="P11" s="222"/>
    </row>
    <row r="12" ht="24" customHeight="1" spans="1:16">
      <c r="A12" s="814"/>
      <c r="B12" s="840" t="s">
        <v>101</v>
      </c>
      <c r="C12" s="227" t="s">
        <v>18</v>
      </c>
      <c r="D12" s="227" t="s">
        <v>61</v>
      </c>
      <c r="E12" s="227">
        <v>7</v>
      </c>
      <c r="F12" s="834" t="s">
        <v>92</v>
      </c>
      <c r="G12" s="277" t="s">
        <v>20</v>
      </c>
      <c r="H12" s="841" t="s">
        <v>102</v>
      </c>
      <c r="I12" s="871" t="s">
        <v>103</v>
      </c>
      <c r="J12" s="872"/>
      <c r="K12" s="227"/>
      <c r="L12" s="227"/>
      <c r="M12" s="277"/>
      <c r="O12" s="840" t="s">
        <v>101</v>
      </c>
      <c r="P12" s="227"/>
    </row>
    <row r="13" ht="24" customHeight="1" spans="1:16">
      <c r="A13" s="814"/>
      <c r="B13" s="307"/>
      <c r="C13" s="227" t="s">
        <v>18</v>
      </c>
      <c r="D13" s="227" t="s">
        <v>32</v>
      </c>
      <c r="E13" s="227">
        <v>2</v>
      </c>
      <c r="F13" s="834" t="s">
        <v>92</v>
      </c>
      <c r="G13" s="277" t="s">
        <v>20</v>
      </c>
      <c r="H13" s="841" t="s">
        <v>104</v>
      </c>
      <c r="I13" s="871" t="s">
        <v>103</v>
      </c>
      <c r="J13" s="872"/>
      <c r="K13" s="227"/>
      <c r="L13" s="227"/>
      <c r="M13" s="277"/>
      <c r="O13" s="307"/>
      <c r="P13" s="227"/>
    </row>
    <row r="14" ht="24" customHeight="1" spans="1:16">
      <c r="A14" s="814"/>
      <c r="B14" s="307"/>
      <c r="C14" s="227" t="s">
        <v>21</v>
      </c>
      <c r="D14" s="227" t="s">
        <v>61</v>
      </c>
      <c r="E14" s="227">
        <v>1</v>
      </c>
      <c r="F14" s="834" t="s">
        <v>82</v>
      </c>
      <c r="G14" s="277" t="s">
        <v>20</v>
      </c>
      <c r="H14" s="841" t="s">
        <v>102</v>
      </c>
      <c r="I14" s="871" t="s">
        <v>103</v>
      </c>
      <c r="J14" s="872"/>
      <c r="K14" s="227"/>
      <c r="L14" s="227"/>
      <c r="M14" s="277"/>
      <c r="O14" s="307"/>
      <c r="P14" s="227"/>
    </row>
    <row r="15" ht="24" customHeight="1" spans="1:16">
      <c r="A15" s="814"/>
      <c r="B15" s="309"/>
      <c r="C15" s="227" t="s">
        <v>21</v>
      </c>
      <c r="D15" s="227" t="s">
        <v>32</v>
      </c>
      <c r="E15" s="227">
        <v>1</v>
      </c>
      <c r="F15" s="834" t="s">
        <v>82</v>
      </c>
      <c r="G15" s="277" t="s">
        <v>20</v>
      </c>
      <c r="H15" s="841" t="s">
        <v>104</v>
      </c>
      <c r="I15" s="871" t="s">
        <v>103</v>
      </c>
      <c r="J15" s="872"/>
      <c r="K15" s="227"/>
      <c r="L15" s="227"/>
      <c r="M15" s="815"/>
      <c r="O15" s="309"/>
      <c r="P15" s="227"/>
    </row>
    <row r="16" ht="25.5" customHeight="1" spans="1:16">
      <c r="A16" s="814"/>
      <c r="B16" s="842" t="s">
        <v>40</v>
      </c>
      <c r="C16" s="230" t="s">
        <v>18</v>
      </c>
      <c r="D16" s="230" t="s">
        <v>105</v>
      </c>
      <c r="E16" s="230">
        <v>1</v>
      </c>
      <c r="F16" s="834" t="s">
        <v>82</v>
      </c>
      <c r="G16" s="282" t="s">
        <v>20</v>
      </c>
      <c r="H16" s="843" t="s">
        <v>106</v>
      </c>
      <c r="I16" s="873" t="s">
        <v>107</v>
      </c>
      <c r="J16" s="874"/>
      <c r="K16" s="230"/>
      <c r="L16" s="230"/>
      <c r="M16" s="282"/>
      <c r="O16" s="842" t="s">
        <v>40</v>
      </c>
      <c r="P16" s="230"/>
    </row>
    <row r="17" ht="25.5" customHeight="1" spans="1:16">
      <c r="A17" s="814"/>
      <c r="B17" s="307"/>
      <c r="C17" s="230" t="s">
        <v>41</v>
      </c>
      <c r="D17" s="230" t="s">
        <v>108</v>
      </c>
      <c r="E17" s="230">
        <v>1</v>
      </c>
      <c r="F17" s="834" t="s">
        <v>82</v>
      </c>
      <c r="G17" s="282" t="s">
        <v>23</v>
      </c>
      <c r="H17" s="843" t="s">
        <v>109</v>
      </c>
      <c r="I17" s="873" t="s">
        <v>107</v>
      </c>
      <c r="J17" s="874"/>
      <c r="K17" s="230"/>
      <c r="L17" s="230"/>
      <c r="M17" s="282"/>
      <c r="O17" s="307"/>
      <c r="P17" s="230"/>
    </row>
    <row r="18" ht="25.5" customHeight="1" spans="1:16">
      <c r="A18" s="814"/>
      <c r="B18" s="307"/>
      <c r="C18" s="230" t="s">
        <v>18</v>
      </c>
      <c r="D18" s="230" t="s">
        <v>110</v>
      </c>
      <c r="E18" s="230">
        <v>1</v>
      </c>
      <c r="F18" s="834" t="s">
        <v>82</v>
      </c>
      <c r="G18" s="282" t="s">
        <v>23</v>
      </c>
      <c r="H18" s="843" t="s">
        <v>111</v>
      </c>
      <c r="I18" s="873" t="s">
        <v>107</v>
      </c>
      <c r="J18" s="874"/>
      <c r="K18" s="230"/>
      <c r="L18" s="230"/>
      <c r="M18" s="282"/>
      <c r="O18" s="875"/>
      <c r="P18" s="230"/>
    </row>
    <row r="19" ht="25.5" customHeight="1" spans="1:16">
      <c r="A19" s="814"/>
      <c r="B19" s="809" t="s">
        <v>112</v>
      </c>
      <c r="C19" s="233" t="s">
        <v>21</v>
      </c>
      <c r="D19" s="233" t="s">
        <v>113</v>
      </c>
      <c r="E19" s="233">
        <v>1</v>
      </c>
      <c r="F19" s="834" t="s">
        <v>82</v>
      </c>
      <c r="G19" s="285" t="s">
        <v>23</v>
      </c>
      <c r="H19" s="844" t="s">
        <v>109</v>
      </c>
      <c r="I19" s="876" t="s">
        <v>114</v>
      </c>
      <c r="J19" s="877"/>
      <c r="K19" s="233"/>
      <c r="L19" s="233"/>
      <c r="M19" s="285"/>
      <c r="O19" s="809"/>
      <c r="P19" s="233"/>
    </row>
    <row r="20" ht="24" customHeight="1" spans="1:16">
      <c r="A20" s="814"/>
      <c r="B20" s="786" t="s">
        <v>115</v>
      </c>
      <c r="C20" s="237"/>
      <c r="D20" s="237" t="s">
        <v>116</v>
      </c>
      <c r="E20" s="237" t="s">
        <v>116</v>
      </c>
      <c r="F20" s="834"/>
      <c r="G20" s="288"/>
      <c r="H20" s="845" t="s">
        <v>116</v>
      </c>
      <c r="I20" s="878" t="s">
        <v>117</v>
      </c>
      <c r="J20" s="879"/>
      <c r="K20" s="237"/>
      <c r="L20" s="237"/>
      <c r="M20" s="288"/>
      <c r="O20" s="786" t="s">
        <v>115</v>
      </c>
      <c r="P20" s="237"/>
    </row>
    <row r="21" ht="24" customHeight="1" spans="1:16">
      <c r="A21" s="814"/>
      <c r="B21" s="804" t="s">
        <v>118</v>
      </c>
      <c r="C21" s="216"/>
      <c r="D21" s="846" t="s">
        <v>116</v>
      </c>
      <c r="E21" s="216" t="s">
        <v>116</v>
      </c>
      <c r="F21" s="834"/>
      <c r="G21" s="274"/>
      <c r="H21" s="837" t="s">
        <v>116</v>
      </c>
      <c r="I21" s="866" t="s">
        <v>117</v>
      </c>
      <c r="J21" s="880"/>
      <c r="K21" s="216"/>
      <c r="L21" s="216"/>
      <c r="M21" s="274"/>
      <c r="O21" s="804" t="s">
        <v>118</v>
      </c>
      <c r="P21" s="846"/>
    </row>
    <row r="22" ht="24" customHeight="1" spans="1:16">
      <c r="A22" s="814"/>
      <c r="B22" s="297" t="s">
        <v>49</v>
      </c>
      <c r="C22" s="240" t="s">
        <v>18</v>
      </c>
      <c r="D22" s="240" t="s">
        <v>119</v>
      </c>
      <c r="E22" s="240">
        <v>1</v>
      </c>
      <c r="F22" s="834" t="s">
        <v>82</v>
      </c>
      <c r="G22" s="295" t="s">
        <v>23</v>
      </c>
      <c r="H22" s="847" t="s">
        <v>120</v>
      </c>
      <c r="I22" s="881" t="s">
        <v>117</v>
      </c>
      <c r="J22" s="882"/>
      <c r="K22" s="240"/>
      <c r="L22" s="240"/>
      <c r="M22" s="295"/>
      <c r="O22" s="297" t="s">
        <v>49</v>
      </c>
      <c r="P22" s="240"/>
    </row>
    <row r="23" ht="24" customHeight="1" spans="1:16">
      <c r="A23" s="814"/>
      <c r="B23" s="848"/>
      <c r="C23" s="240" t="s">
        <v>72</v>
      </c>
      <c r="D23" s="240" t="s">
        <v>121</v>
      </c>
      <c r="E23" s="240">
        <v>2</v>
      </c>
      <c r="F23" s="849" t="s">
        <v>82</v>
      </c>
      <c r="G23" s="299" t="s">
        <v>23</v>
      </c>
      <c r="H23" s="847" t="s">
        <v>122</v>
      </c>
      <c r="I23" s="881" t="s">
        <v>117</v>
      </c>
      <c r="J23" s="883"/>
      <c r="K23" s="242"/>
      <c r="L23" s="242"/>
      <c r="M23" s="299"/>
      <c r="O23" s="848"/>
      <c r="P23" s="240"/>
    </row>
    <row r="24" ht="24" customHeight="1" spans="1:16">
      <c r="A24" s="814"/>
      <c r="B24" s="850"/>
      <c r="C24" s="763" t="s">
        <v>21</v>
      </c>
      <c r="D24" s="763" t="s">
        <v>123</v>
      </c>
      <c r="E24" s="763">
        <v>1</v>
      </c>
      <c r="F24" s="851" t="s">
        <v>82</v>
      </c>
      <c r="G24" s="852" t="s">
        <v>23</v>
      </c>
      <c r="H24" s="853" t="s">
        <v>124</v>
      </c>
      <c r="I24" s="884" t="s">
        <v>117</v>
      </c>
      <c r="J24" s="883"/>
      <c r="K24" s="242"/>
      <c r="L24" s="242"/>
      <c r="M24" s="299"/>
      <c r="O24" s="806"/>
      <c r="P24" s="242"/>
    </row>
    <row r="25" ht="13.5" spans="2:9">
      <c r="B25" s="854" t="s">
        <v>125</v>
      </c>
      <c r="C25" s="855"/>
      <c r="D25" s="855"/>
      <c r="E25" s="855">
        <f>SUM(E4:E24)</f>
        <v>36</v>
      </c>
      <c r="F25" s="856"/>
      <c r="G25" s="855"/>
      <c r="H25" s="857"/>
      <c r="I25" s="885"/>
    </row>
    <row r="26" ht="12.75" spans="6:6">
      <c r="F26" s="65"/>
    </row>
    <row r="27" ht="12.75" spans="6:6">
      <c r="F27" s="65"/>
    </row>
    <row r="28" ht="12.75" spans="6:6">
      <c r="F28" s="65"/>
    </row>
    <row r="29" ht="12.75" spans="6:6">
      <c r="F29" s="65"/>
    </row>
    <row r="30" ht="12.75" spans="6:6">
      <c r="F30" s="65"/>
    </row>
    <row r="31" ht="12.75" spans="6:6">
      <c r="F31" s="65"/>
    </row>
    <row r="32" ht="12.75" spans="6:6">
      <c r="F32" s="65"/>
    </row>
    <row r="33" ht="12.75" spans="6:6">
      <c r="F33" s="65"/>
    </row>
    <row r="34" ht="12.75" spans="6:6">
      <c r="F34" s="65"/>
    </row>
    <row r="35" ht="12.75" spans="6:6">
      <c r="F35" s="65"/>
    </row>
    <row r="36" ht="12.75" spans="6:6">
      <c r="F36" s="65"/>
    </row>
    <row r="37" ht="12.75" spans="6:6">
      <c r="F37" s="65"/>
    </row>
    <row r="38" ht="12.75" spans="6:6">
      <c r="F38" s="65"/>
    </row>
    <row r="39" ht="12.75" spans="6:6">
      <c r="F39" s="65"/>
    </row>
    <row r="40" ht="12.75" spans="6:6">
      <c r="F40" s="65"/>
    </row>
    <row r="41" ht="12.75" spans="6:6">
      <c r="F41" s="65"/>
    </row>
    <row r="42" ht="12.75" spans="6:6">
      <c r="F42" s="65"/>
    </row>
    <row r="43" ht="12.75" spans="6:6">
      <c r="F43" s="65"/>
    </row>
    <row r="44" ht="12.75" spans="6:6">
      <c r="F44" s="65"/>
    </row>
    <row r="45" ht="12.75" spans="6:6">
      <c r="F45" s="65"/>
    </row>
    <row r="46" ht="12.75" spans="6:6">
      <c r="F46" s="65"/>
    </row>
    <row r="47" ht="12.75" spans="6:6">
      <c r="F47" s="65"/>
    </row>
    <row r="48" ht="12.75" spans="6:6">
      <c r="F48" s="65"/>
    </row>
    <row r="49" ht="12.75" spans="6:6">
      <c r="F49" s="65"/>
    </row>
    <row r="50" ht="12.75" spans="6:6">
      <c r="F50" s="65"/>
    </row>
    <row r="51" ht="12.75" spans="6:6">
      <c r="F51" s="65"/>
    </row>
    <row r="52" ht="12.75" spans="6:6">
      <c r="F52" s="65"/>
    </row>
    <row r="53" ht="12.75" spans="6:6">
      <c r="F53" s="65"/>
    </row>
    <row r="54" ht="12.75" spans="6:6">
      <c r="F54" s="65"/>
    </row>
    <row r="55" ht="12.75" spans="6:6">
      <c r="F55" s="65"/>
    </row>
    <row r="56" ht="12.75" spans="6:6">
      <c r="F56" s="65"/>
    </row>
    <row r="57" ht="12.75" spans="6:6">
      <c r="F57" s="65"/>
    </row>
    <row r="58" ht="12.75" spans="6:6">
      <c r="F58" s="65"/>
    </row>
    <row r="59" ht="12.75" spans="6:6">
      <c r="F59" s="65"/>
    </row>
    <row r="60" ht="12.75" spans="6:6">
      <c r="F60" s="65"/>
    </row>
    <row r="61" ht="12.75" spans="6:6">
      <c r="F61" s="65"/>
    </row>
    <row r="62" ht="12.75" spans="6:6">
      <c r="F62" s="65"/>
    </row>
    <row r="63" ht="12.75" spans="6:6">
      <c r="F63" s="65"/>
    </row>
    <row r="64" ht="12.75" spans="6:6">
      <c r="F64" s="65"/>
    </row>
    <row r="65" ht="12.75" spans="6:6">
      <c r="F65" s="65"/>
    </row>
    <row r="66" ht="12.75" spans="6:6">
      <c r="F66" s="65"/>
    </row>
    <row r="67" ht="12.75" spans="6:6">
      <c r="F67" s="65"/>
    </row>
    <row r="68" ht="12.75" spans="6:6">
      <c r="F68" s="65"/>
    </row>
    <row r="69" ht="12.75" spans="6:6">
      <c r="F69" s="65"/>
    </row>
    <row r="70" ht="12.75" spans="6:6">
      <c r="F70" s="65"/>
    </row>
    <row r="71" ht="12.75" spans="6:6">
      <c r="F71" s="65"/>
    </row>
    <row r="72" ht="12.75" spans="6:6">
      <c r="F72" s="65"/>
    </row>
    <row r="73" ht="12.75" spans="6:6">
      <c r="F73" s="65"/>
    </row>
    <row r="74" ht="12.75" spans="6:6">
      <c r="F74" s="65"/>
    </row>
    <row r="75" ht="12.75" spans="6:6">
      <c r="F75" s="65"/>
    </row>
    <row r="76" ht="12.75" spans="6:6">
      <c r="F76" s="65"/>
    </row>
    <row r="77" ht="12.75" spans="6:6">
      <c r="F77" s="65"/>
    </row>
    <row r="78" ht="12.75" spans="6:6">
      <c r="F78" s="65"/>
    </row>
    <row r="79" ht="12.75" spans="6:6">
      <c r="F79" s="65"/>
    </row>
    <row r="80" ht="12.75" spans="6:6">
      <c r="F80" s="65"/>
    </row>
    <row r="81" ht="12.75" spans="6:6">
      <c r="F81" s="65"/>
    </row>
    <row r="82" ht="12.75" spans="6:6">
      <c r="F82" s="65"/>
    </row>
    <row r="83" ht="12.75" spans="6:6">
      <c r="F83" s="65"/>
    </row>
    <row r="84" ht="12.75" spans="6:6">
      <c r="F84" s="65"/>
    </row>
    <row r="85" ht="12.75" spans="6:6">
      <c r="F85" s="65"/>
    </row>
    <row r="86" ht="12.75" spans="6:6">
      <c r="F86" s="65"/>
    </row>
    <row r="87" ht="12.75" spans="6:6">
      <c r="F87" s="65"/>
    </row>
    <row r="88" ht="12.75" spans="6:6">
      <c r="F88" s="65"/>
    </row>
    <row r="89" ht="12.75" spans="6:6">
      <c r="F89" s="65"/>
    </row>
    <row r="90" ht="12.75" spans="6:6">
      <c r="F90" s="65"/>
    </row>
    <row r="91" ht="12.75" spans="6:6">
      <c r="F91" s="65"/>
    </row>
    <row r="92" ht="12.75" spans="6:6">
      <c r="F92" s="65"/>
    </row>
    <row r="93" ht="12.75" spans="6:6">
      <c r="F93" s="65"/>
    </row>
    <row r="94" ht="12.75" spans="6:6">
      <c r="F94" s="65"/>
    </row>
    <row r="95" ht="12.75" spans="6:6">
      <c r="F95" s="65"/>
    </row>
    <row r="96" ht="12.75" spans="6:6">
      <c r="F96" s="65"/>
    </row>
    <row r="97" ht="12.75" spans="6:6">
      <c r="F97" s="65"/>
    </row>
    <row r="98" ht="12.75" spans="6:6">
      <c r="F98" s="65"/>
    </row>
    <row r="99" ht="12.75" spans="6:6">
      <c r="F99" s="65"/>
    </row>
    <row r="100" ht="12.75" spans="6:6">
      <c r="F100" s="65"/>
    </row>
    <row r="101" ht="12.75" spans="6:6">
      <c r="F101" s="65"/>
    </row>
    <row r="102" ht="12.75" spans="6:6">
      <c r="F102" s="65"/>
    </row>
    <row r="103" ht="12.75" spans="6:6">
      <c r="F103" s="65"/>
    </row>
    <row r="104" ht="12.75" spans="6:6">
      <c r="F104" s="65"/>
    </row>
    <row r="105" ht="12.75" spans="6:6">
      <c r="F105" s="65"/>
    </row>
    <row r="106" ht="12.75" spans="6:6">
      <c r="F106" s="65"/>
    </row>
    <row r="107" ht="12.75" spans="6:6">
      <c r="F107" s="65"/>
    </row>
    <row r="108" ht="12.75" spans="6:6">
      <c r="F108" s="65"/>
    </row>
    <row r="109" ht="12.75" spans="6:6">
      <c r="F109" s="65"/>
    </row>
    <row r="110" ht="12.75" spans="6:6">
      <c r="F110" s="65"/>
    </row>
    <row r="111" ht="12.75" spans="6:6">
      <c r="F111" s="65"/>
    </row>
    <row r="112" ht="12.75" spans="6:6">
      <c r="F112" s="65"/>
    </row>
    <row r="113" ht="12.75" spans="6:6">
      <c r="F113" s="65"/>
    </row>
    <row r="114" ht="12.75" spans="6:6">
      <c r="F114" s="65"/>
    </row>
    <row r="115" ht="12.75" spans="6:6">
      <c r="F115" s="65"/>
    </row>
    <row r="116" ht="12.75" spans="6:6">
      <c r="F116" s="65"/>
    </row>
    <row r="117" ht="12.75" spans="6:6">
      <c r="F117" s="65"/>
    </row>
    <row r="118" ht="12.75" spans="6:6">
      <c r="F118" s="65"/>
    </row>
    <row r="119" ht="12.75" spans="6:6">
      <c r="F119" s="65"/>
    </row>
    <row r="120" ht="12.75" spans="6:6">
      <c r="F120" s="65"/>
    </row>
    <row r="121" ht="12.75" spans="6:6">
      <c r="F121" s="65"/>
    </row>
    <row r="122" ht="12.75" spans="6:6">
      <c r="F122" s="65"/>
    </row>
    <row r="123" ht="12.75" spans="6:6">
      <c r="F123" s="65"/>
    </row>
    <row r="124" ht="12.75" spans="6:6">
      <c r="F124" s="65"/>
    </row>
    <row r="125" ht="12.75" spans="6:6">
      <c r="F125" s="65"/>
    </row>
    <row r="126" ht="12.75" spans="6:6">
      <c r="F126" s="65"/>
    </row>
    <row r="127" ht="12.75" spans="6:6">
      <c r="F127" s="65"/>
    </row>
    <row r="128" ht="12.75" spans="6:6">
      <c r="F128" s="65"/>
    </row>
    <row r="129" ht="12.75" spans="6:6">
      <c r="F129" s="65"/>
    </row>
    <row r="130" ht="12.75" spans="6:6">
      <c r="F130" s="65"/>
    </row>
    <row r="131" ht="12.75" spans="6:6">
      <c r="F131" s="65"/>
    </row>
    <row r="132" ht="12.75" spans="6:6">
      <c r="F132" s="65"/>
    </row>
    <row r="133" ht="12.75" spans="6:6">
      <c r="F133" s="65"/>
    </row>
    <row r="134" ht="12.75" spans="6:6">
      <c r="F134" s="65"/>
    </row>
    <row r="135" ht="12.75" spans="6:6">
      <c r="F135" s="65"/>
    </row>
    <row r="136" ht="12.75" spans="6:6">
      <c r="F136" s="65"/>
    </row>
    <row r="137" ht="12.75" spans="6:6">
      <c r="F137" s="65"/>
    </row>
    <row r="138" ht="12.75" spans="6:6">
      <c r="F138" s="65"/>
    </row>
    <row r="139" ht="12.75" spans="6:6">
      <c r="F139" s="65"/>
    </row>
    <row r="140" ht="12.75" spans="6:6">
      <c r="F140" s="65"/>
    </row>
    <row r="141" ht="12.75" spans="6:6">
      <c r="F141" s="65"/>
    </row>
    <row r="142" ht="12.75" spans="6:6">
      <c r="F142" s="65"/>
    </row>
    <row r="143" ht="12.75" spans="6:6">
      <c r="F143" s="65"/>
    </row>
    <row r="144" ht="12.75" spans="6:6">
      <c r="F144" s="65"/>
    </row>
    <row r="145" ht="12.75" spans="6:6">
      <c r="F145" s="65"/>
    </row>
    <row r="146" ht="12.75" spans="6:6">
      <c r="F146" s="65"/>
    </row>
    <row r="147" ht="12.75" spans="6:6">
      <c r="F147" s="65"/>
    </row>
    <row r="148" ht="12.75" spans="6:6">
      <c r="F148" s="65"/>
    </row>
    <row r="149" ht="12.75" spans="6:6">
      <c r="F149" s="65"/>
    </row>
    <row r="150" ht="12.75" spans="6:6">
      <c r="F150" s="65"/>
    </row>
    <row r="151" ht="12.75" spans="6:6">
      <c r="F151" s="65"/>
    </row>
    <row r="152" ht="12.75" spans="6:6">
      <c r="F152" s="65"/>
    </row>
    <row r="153" ht="12.75" spans="6:6">
      <c r="F153" s="65"/>
    </row>
    <row r="154" ht="12.75" spans="6:6">
      <c r="F154" s="65"/>
    </row>
    <row r="155" ht="12.75" spans="6:6">
      <c r="F155" s="65"/>
    </row>
    <row r="156" ht="12.75" spans="6:6">
      <c r="F156" s="65"/>
    </row>
    <row r="157" ht="12.75" spans="6:6">
      <c r="F157" s="65"/>
    </row>
    <row r="158" ht="12.75" spans="6:6">
      <c r="F158" s="65"/>
    </row>
    <row r="159" ht="12.75" spans="6:6">
      <c r="F159" s="65"/>
    </row>
    <row r="160" ht="12.75" spans="6:6">
      <c r="F160" s="65"/>
    </row>
    <row r="161" ht="12.75" spans="6:6">
      <c r="F161" s="65"/>
    </row>
    <row r="162" ht="12.75" spans="6:6">
      <c r="F162" s="65"/>
    </row>
    <row r="163" ht="12.75" spans="6:6">
      <c r="F163" s="65"/>
    </row>
    <row r="164" ht="12.75" spans="6:6">
      <c r="F164" s="65"/>
    </row>
    <row r="165" ht="12.75" spans="6:6">
      <c r="F165" s="65"/>
    </row>
    <row r="166" ht="12.75" spans="6:6">
      <c r="F166" s="65"/>
    </row>
    <row r="167" ht="12.75" spans="6:6">
      <c r="F167" s="65"/>
    </row>
    <row r="168" ht="12.75" spans="6:6">
      <c r="F168" s="65"/>
    </row>
    <row r="169" ht="12.75" spans="6:6">
      <c r="F169" s="65"/>
    </row>
    <row r="170" ht="12.75" spans="6:6">
      <c r="F170" s="65"/>
    </row>
    <row r="171" ht="12.75" spans="6:6">
      <c r="F171" s="65"/>
    </row>
    <row r="172" ht="12.75" spans="6:6">
      <c r="F172" s="65"/>
    </row>
    <row r="173" ht="12.75" spans="6:6">
      <c r="F173" s="65"/>
    </row>
    <row r="174" ht="12.75" spans="6:6">
      <c r="F174" s="65"/>
    </row>
    <row r="175" ht="12.75" spans="6:6">
      <c r="F175" s="65"/>
    </row>
    <row r="176" ht="12.75" spans="6:6">
      <c r="F176" s="65"/>
    </row>
    <row r="177" ht="12.75" spans="6:6">
      <c r="F177" s="65"/>
    </row>
    <row r="178" ht="12.75" spans="6:6">
      <c r="F178" s="65"/>
    </row>
    <row r="179" ht="12.75" spans="6:6">
      <c r="F179" s="65"/>
    </row>
    <row r="180" ht="12.75" spans="6:6">
      <c r="F180" s="65"/>
    </row>
    <row r="181" ht="12.75" spans="6:6">
      <c r="F181" s="65"/>
    </row>
    <row r="182" ht="12.75" spans="6:6">
      <c r="F182" s="65"/>
    </row>
    <row r="183" ht="12.75" spans="6:6">
      <c r="F183" s="65"/>
    </row>
    <row r="184" ht="12.75" spans="6:6">
      <c r="F184" s="65"/>
    </row>
    <row r="185" ht="12.75" spans="6:6">
      <c r="F185" s="65"/>
    </row>
    <row r="186" ht="12.75" spans="6:6">
      <c r="F186" s="65"/>
    </row>
    <row r="187" ht="12.75" spans="6:6">
      <c r="F187" s="65"/>
    </row>
    <row r="188" ht="12.75" spans="6:6">
      <c r="F188" s="65"/>
    </row>
    <row r="189" ht="12.75" spans="6:6">
      <c r="F189" s="65"/>
    </row>
    <row r="190" ht="12.75" spans="6:6">
      <c r="F190" s="65"/>
    </row>
    <row r="191" ht="12.75" spans="6:6">
      <c r="F191" s="65"/>
    </row>
    <row r="192" ht="12.75" spans="6:6">
      <c r="F192" s="65"/>
    </row>
    <row r="193" ht="12.75" spans="6:6">
      <c r="F193" s="65"/>
    </row>
    <row r="194" ht="12.75" spans="6:6">
      <c r="F194" s="65"/>
    </row>
    <row r="195" ht="12.75" spans="6:6">
      <c r="F195" s="65"/>
    </row>
    <row r="196" ht="12.75" spans="6:6">
      <c r="F196" s="65"/>
    </row>
  </sheetData>
  <mergeCells count="17">
    <mergeCell ref="B1:H1"/>
    <mergeCell ref="J1:M1"/>
    <mergeCell ref="B2:I2"/>
    <mergeCell ref="J2:M2"/>
    <mergeCell ref="B5:B6"/>
    <mergeCell ref="B7:B9"/>
    <mergeCell ref="B10:B11"/>
    <mergeCell ref="B12:B15"/>
    <mergeCell ref="B16:B18"/>
    <mergeCell ref="B22:B24"/>
    <mergeCell ref="M22:M24"/>
    <mergeCell ref="O5:O6"/>
    <mergeCell ref="O7:O8"/>
    <mergeCell ref="O10:O11"/>
    <mergeCell ref="O12:O15"/>
    <mergeCell ref="O16:O17"/>
    <mergeCell ref="O22:O24"/>
  </mergeCells>
  <dataValidations count="4">
    <dataValidation type="list" allowBlank="1" showInputMessage="1" showErrorMessage="1" sqref="B7 O7 B10 B12 O12 B16 O16 O18 A4:A24 B4:B5 B19:B23 N10:N11 O4:O5 O9:O10 O20:O22">
      <formula1>"自孵部,签约部,培训部,外采部,商务中台,运营中台,总经办+财务部,财务部,技术中台,内容中台,AI中台,数据中台,"</formula1>
    </dataValidation>
    <dataValidation type="list" allowBlank="1" showInputMessage="1" showErrorMessage="1" sqref="C4:C24">
      <formula1>"新增需求,替补需求,储备需求,上个月未交付延期本月,临时新增,"</formula1>
    </dataValidation>
    <dataValidation type="list" allowBlank="1" showInputMessage="1" showErrorMessage="1" sqref="F2:F1048576">
      <formula1>"需要,不需要,"</formula1>
    </dataValidation>
    <dataValidation type="list" allowBlank="1" showInputMessage="1" showErrorMessage="1" sqref="G4:G24">
      <formula1>"社招,校招,社招&amp;校招,"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8"/>
  <dimension ref="A1:N206"/>
  <sheetViews>
    <sheetView workbookViewId="0">
      <selection activeCell="A1" sqref="A1:F1"/>
    </sheetView>
  </sheetViews>
  <sheetFormatPr defaultColWidth="14" defaultRowHeight="18" customHeight="1"/>
  <cols>
    <col min="1" max="1" width="13.8190476190476" customWidth="1"/>
    <col min="2" max="2" width="19.0190476190476" customWidth="1"/>
    <col min="6" max="6" width="40.6" customWidth="1"/>
    <col min="7" max="10" width="13.6761904761905" hidden="1"/>
    <col min="11" max="11" width="13.6761904761905" style="802"/>
  </cols>
  <sheetData>
    <row r="1" ht="17.25" spans="1:7">
      <c r="A1" s="6" t="s">
        <v>0</v>
      </c>
      <c r="G1" s="109" t="s">
        <v>75</v>
      </c>
    </row>
    <row r="2" spans="1:14">
      <c r="A2" s="742" t="s">
        <v>126</v>
      </c>
      <c r="B2" s="743"/>
      <c r="C2" s="69"/>
      <c r="D2" s="69"/>
      <c r="E2" s="69"/>
      <c r="F2" s="69"/>
      <c r="G2" s="744" t="s">
        <v>127</v>
      </c>
      <c r="H2" s="745"/>
      <c r="I2" s="745"/>
      <c r="J2" s="810"/>
      <c r="L2" s="825" t="s">
        <v>128</v>
      </c>
      <c r="M2" s="751"/>
      <c r="N2" s="751"/>
    </row>
    <row r="3" ht="16.5" spans="1:14">
      <c r="A3" s="257" t="s">
        <v>4</v>
      </c>
      <c r="B3" s="199" t="s">
        <v>78</v>
      </c>
      <c r="C3" s="199" t="s">
        <v>8</v>
      </c>
      <c r="D3" s="199" t="s">
        <v>9</v>
      </c>
      <c r="E3" s="199" t="s">
        <v>10</v>
      </c>
      <c r="F3" s="746" t="s">
        <v>11</v>
      </c>
      <c r="G3" s="747" t="s">
        <v>12</v>
      </c>
      <c r="H3" s="291" t="s">
        <v>13</v>
      </c>
      <c r="I3" s="291" t="s">
        <v>14</v>
      </c>
      <c r="J3" s="292" t="s">
        <v>129</v>
      </c>
      <c r="K3" s="812"/>
      <c r="L3" s="199" t="s">
        <v>4</v>
      </c>
      <c r="M3" s="142"/>
      <c r="N3" s="142"/>
    </row>
    <row r="4" ht="16.5" spans="1:14">
      <c r="A4" s="803" t="s">
        <v>25</v>
      </c>
      <c r="B4" s="210" t="s">
        <v>18</v>
      </c>
      <c r="C4" s="210" t="s">
        <v>130</v>
      </c>
      <c r="D4" s="210">
        <v>3</v>
      </c>
      <c r="E4" s="210" t="s">
        <v>23</v>
      </c>
      <c r="F4" s="748" t="s">
        <v>131</v>
      </c>
      <c r="G4" s="261"/>
      <c r="H4" s="210"/>
      <c r="I4" s="210"/>
      <c r="J4" s="263">
        <v>71</v>
      </c>
      <c r="K4" s="814"/>
      <c r="L4" s="262" t="s">
        <v>25</v>
      </c>
      <c r="M4" s="142" t="s">
        <v>132</v>
      </c>
      <c r="N4" s="142">
        <v>1</v>
      </c>
    </row>
    <row r="5" ht="16.5" spans="1:14">
      <c r="A5" s="313"/>
      <c r="B5" s="210" t="s">
        <v>21</v>
      </c>
      <c r="C5" s="210" t="s">
        <v>130</v>
      </c>
      <c r="D5" s="210">
        <v>3</v>
      </c>
      <c r="E5" s="210" t="s">
        <v>23</v>
      </c>
      <c r="F5" s="748" t="s">
        <v>131</v>
      </c>
      <c r="G5" s="261"/>
      <c r="H5" s="210"/>
      <c r="I5" s="210"/>
      <c r="J5" s="263"/>
      <c r="K5" s="814"/>
      <c r="L5" s="826"/>
      <c r="M5" s="142"/>
      <c r="N5" s="142"/>
    </row>
    <row r="6" ht="16.5" spans="1:14">
      <c r="A6" s="309"/>
      <c r="B6" s="210" t="s">
        <v>18</v>
      </c>
      <c r="C6" s="210" t="s">
        <v>85</v>
      </c>
      <c r="D6" s="210">
        <v>1</v>
      </c>
      <c r="E6" s="210" t="s">
        <v>30</v>
      </c>
      <c r="F6" s="748" t="s">
        <v>88</v>
      </c>
      <c r="G6" s="261"/>
      <c r="H6" s="210"/>
      <c r="I6" s="210"/>
      <c r="J6" s="263"/>
      <c r="K6" s="814"/>
      <c r="L6" s="751"/>
      <c r="M6" s="142"/>
      <c r="N6" s="142"/>
    </row>
    <row r="7" ht="27.75" customHeight="1" spans="1:14">
      <c r="A7" s="816" t="s">
        <v>43</v>
      </c>
      <c r="B7" s="817" t="s">
        <v>18</v>
      </c>
      <c r="C7" s="817" t="s">
        <v>133</v>
      </c>
      <c r="D7" s="817">
        <v>2</v>
      </c>
      <c r="E7" s="817" t="s">
        <v>23</v>
      </c>
      <c r="F7" s="818" t="s">
        <v>100</v>
      </c>
      <c r="G7" s="265"/>
      <c r="H7" s="222"/>
      <c r="I7" s="222"/>
      <c r="J7" s="267">
        <v>15</v>
      </c>
      <c r="K7" s="814"/>
      <c r="L7" s="266" t="s">
        <v>43</v>
      </c>
      <c r="M7" s="142"/>
      <c r="N7" s="142"/>
    </row>
    <row r="8" ht="42" customHeight="1" spans="1:14">
      <c r="A8" s="819"/>
      <c r="B8" s="817" t="s">
        <v>21</v>
      </c>
      <c r="C8" s="817" t="s">
        <v>70</v>
      </c>
      <c r="D8" s="817">
        <v>1</v>
      </c>
      <c r="E8" s="817" t="s">
        <v>23</v>
      </c>
      <c r="F8" s="818" t="s">
        <v>134</v>
      </c>
      <c r="G8" s="265"/>
      <c r="H8" s="222"/>
      <c r="I8" s="222"/>
      <c r="J8" s="267"/>
      <c r="K8" s="814"/>
      <c r="L8" s="757"/>
      <c r="M8" s="142"/>
      <c r="N8" s="142"/>
    </row>
    <row r="9" ht="42" customHeight="1" spans="1:14">
      <c r="A9" s="819"/>
      <c r="B9" s="817" t="s">
        <v>18</v>
      </c>
      <c r="C9" s="817" t="s">
        <v>69</v>
      </c>
      <c r="D9" s="817">
        <v>1</v>
      </c>
      <c r="E9" s="817" t="s">
        <v>23</v>
      </c>
      <c r="F9" s="820" t="s">
        <v>135</v>
      </c>
      <c r="G9" s="265"/>
      <c r="H9" s="222"/>
      <c r="I9" s="222"/>
      <c r="J9" s="267"/>
      <c r="K9" s="814"/>
      <c r="L9" s="266"/>
      <c r="M9" s="751"/>
      <c r="N9" s="751"/>
    </row>
    <row r="10" ht="42" customHeight="1" spans="1:14">
      <c r="A10" s="819"/>
      <c r="B10" s="817" t="s">
        <v>41</v>
      </c>
      <c r="C10" s="817" t="s">
        <v>96</v>
      </c>
      <c r="D10" s="817">
        <v>1</v>
      </c>
      <c r="E10" s="817" t="s">
        <v>20</v>
      </c>
      <c r="F10" s="821" t="s">
        <v>136</v>
      </c>
      <c r="G10" s="265"/>
      <c r="H10" s="222"/>
      <c r="I10" s="222"/>
      <c r="J10" s="267"/>
      <c r="K10" s="814"/>
      <c r="L10" s="757"/>
      <c r="M10" s="751"/>
      <c r="N10" s="751"/>
    </row>
    <row r="11" ht="16.5" spans="1:14">
      <c r="A11" s="782" t="s">
        <v>16</v>
      </c>
      <c r="B11" s="205" t="s">
        <v>18</v>
      </c>
      <c r="C11" s="205" t="s">
        <v>19</v>
      </c>
      <c r="D11" s="205">
        <v>4</v>
      </c>
      <c r="E11" s="205" t="s">
        <v>23</v>
      </c>
      <c r="F11" s="752" t="s">
        <v>137</v>
      </c>
      <c r="G11" s="269"/>
      <c r="H11" s="205"/>
      <c r="I11" s="205"/>
      <c r="J11" s="271">
        <v>59</v>
      </c>
      <c r="K11" s="814"/>
      <c r="L11" s="270" t="s">
        <v>16</v>
      </c>
      <c r="M11" s="142"/>
      <c r="N11" s="142"/>
    </row>
    <row r="12" ht="27.75" customHeight="1" spans="1:14">
      <c r="A12" s="804" t="s">
        <v>34</v>
      </c>
      <c r="B12" s="216" t="s">
        <v>18</v>
      </c>
      <c r="C12" s="217" t="s">
        <v>138</v>
      </c>
      <c r="D12" s="216">
        <v>2</v>
      </c>
      <c r="E12" s="216" t="s">
        <v>23</v>
      </c>
      <c r="F12" s="755" t="s">
        <v>139</v>
      </c>
      <c r="G12" s="753"/>
      <c r="H12" s="754"/>
      <c r="I12" s="216"/>
      <c r="J12" s="274">
        <v>29</v>
      </c>
      <c r="K12" s="814"/>
      <c r="L12" s="273" t="s">
        <v>34</v>
      </c>
      <c r="M12" s="142" t="s">
        <v>140</v>
      </c>
      <c r="N12" s="142">
        <v>1</v>
      </c>
    </row>
    <row r="13" ht="42" customHeight="1" spans="1:14">
      <c r="A13" s="806"/>
      <c r="B13" s="216" t="s">
        <v>18</v>
      </c>
      <c r="C13" s="220" t="s">
        <v>36</v>
      </c>
      <c r="D13" s="216">
        <v>2</v>
      </c>
      <c r="E13" s="216" t="s">
        <v>23</v>
      </c>
      <c r="F13" s="755" t="s">
        <v>141</v>
      </c>
      <c r="G13" s="753"/>
      <c r="H13" s="754"/>
      <c r="I13" s="216"/>
      <c r="J13" s="274"/>
      <c r="K13" s="814"/>
      <c r="L13" s="757"/>
      <c r="M13" s="142"/>
      <c r="N13" s="142"/>
    </row>
    <row r="14" ht="27.75" customHeight="1" spans="1:14">
      <c r="A14" s="806"/>
      <c r="B14" s="216" t="s">
        <v>18</v>
      </c>
      <c r="C14" s="217" t="s">
        <v>142</v>
      </c>
      <c r="D14" s="216">
        <v>3</v>
      </c>
      <c r="E14" s="216" t="s">
        <v>23</v>
      </c>
      <c r="F14" s="755" t="s">
        <v>143</v>
      </c>
      <c r="G14" s="272"/>
      <c r="H14" s="216"/>
      <c r="I14" s="216"/>
      <c r="J14" s="274"/>
      <c r="K14" s="814"/>
      <c r="L14" s="757"/>
      <c r="M14" s="142"/>
      <c r="N14" s="142"/>
    </row>
    <row r="15" ht="27.75" customHeight="1" spans="1:14">
      <c r="A15" s="807"/>
      <c r="B15" s="216" t="s">
        <v>21</v>
      </c>
      <c r="C15" s="217" t="s">
        <v>138</v>
      </c>
      <c r="D15" s="216">
        <v>1</v>
      </c>
      <c r="E15" s="216" t="s">
        <v>20</v>
      </c>
      <c r="F15" s="755" t="s">
        <v>139</v>
      </c>
      <c r="G15" s="272"/>
      <c r="H15" s="216"/>
      <c r="I15" s="216"/>
      <c r="J15" s="274"/>
      <c r="K15" s="814"/>
      <c r="L15" s="757"/>
      <c r="M15" s="142"/>
      <c r="N15" s="142"/>
    </row>
    <row r="16" ht="33" spans="1:14">
      <c r="A16" s="278" t="s">
        <v>101</v>
      </c>
      <c r="B16" s="227" t="s">
        <v>18</v>
      </c>
      <c r="C16" s="227" t="s">
        <v>61</v>
      </c>
      <c r="D16" s="227">
        <v>5</v>
      </c>
      <c r="E16" s="227" t="s">
        <v>20</v>
      </c>
      <c r="F16" s="756" t="s">
        <v>102</v>
      </c>
      <c r="G16" s="275"/>
      <c r="H16" s="227"/>
      <c r="I16" s="227"/>
      <c r="J16" s="277">
        <v>85</v>
      </c>
      <c r="K16" s="814"/>
      <c r="L16" s="276" t="s">
        <v>101</v>
      </c>
      <c r="M16" s="751" t="s">
        <v>144</v>
      </c>
      <c r="N16" s="751">
        <v>1</v>
      </c>
    </row>
    <row r="17" ht="33" spans="1:14">
      <c r="A17" s="278"/>
      <c r="B17" s="227" t="s">
        <v>18</v>
      </c>
      <c r="C17" s="227" t="s">
        <v>32</v>
      </c>
      <c r="D17" s="227">
        <v>1</v>
      </c>
      <c r="E17" s="227" t="s">
        <v>20</v>
      </c>
      <c r="F17" s="756" t="s">
        <v>104</v>
      </c>
      <c r="G17" s="275"/>
      <c r="H17" s="227"/>
      <c r="I17" s="227"/>
      <c r="J17" s="277"/>
      <c r="K17" s="814"/>
      <c r="L17" s="276"/>
      <c r="M17" s="751" t="s">
        <v>145</v>
      </c>
      <c r="N17" s="751">
        <v>1</v>
      </c>
    </row>
    <row r="18" ht="33" spans="1:14">
      <c r="A18" s="278"/>
      <c r="B18" s="227" t="s">
        <v>21</v>
      </c>
      <c r="C18" s="227" t="s">
        <v>61</v>
      </c>
      <c r="D18" s="227">
        <v>2</v>
      </c>
      <c r="E18" s="227" t="s">
        <v>20</v>
      </c>
      <c r="F18" s="756" t="s">
        <v>102</v>
      </c>
      <c r="G18" s="275"/>
      <c r="H18" s="227"/>
      <c r="I18" s="227"/>
      <c r="J18" s="277"/>
      <c r="K18" s="814"/>
      <c r="L18" s="276"/>
      <c r="M18" s="751" t="s">
        <v>146</v>
      </c>
      <c r="N18" s="751">
        <v>2</v>
      </c>
    </row>
    <row r="19" ht="33" spans="1:14">
      <c r="A19" s="279"/>
      <c r="B19" s="227" t="s">
        <v>21</v>
      </c>
      <c r="C19" s="227" t="s">
        <v>32</v>
      </c>
      <c r="D19" s="227">
        <v>2</v>
      </c>
      <c r="E19" s="227" t="s">
        <v>20</v>
      </c>
      <c r="F19" s="756" t="s">
        <v>104</v>
      </c>
      <c r="G19" s="275"/>
      <c r="H19" s="227"/>
      <c r="I19" s="227"/>
      <c r="J19" s="815"/>
      <c r="K19" s="814"/>
      <c r="L19" s="757"/>
      <c r="M19" s="751"/>
      <c r="N19" s="751"/>
    </row>
    <row r="20" ht="16.5" spans="1:14">
      <c r="A20" s="784" t="s">
        <v>40</v>
      </c>
      <c r="B20" s="230" t="s">
        <v>41</v>
      </c>
      <c r="C20" s="230" t="s">
        <v>110</v>
      </c>
      <c r="D20" s="230">
        <v>2</v>
      </c>
      <c r="E20" s="230" t="s">
        <v>23</v>
      </c>
      <c r="F20" s="758" t="s">
        <v>147</v>
      </c>
      <c r="G20" s="280"/>
      <c r="H20" s="230"/>
      <c r="I20" s="230"/>
      <c r="J20" s="282">
        <v>19</v>
      </c>
      <c r="K20" s="814"/>
      <c r="L20" s="281" t="s">
        <v>40</v>
      </c>
      <c r="M20" s="751"/>
      <c r="N20" s="751"/>
    </row>
    <row r="21" ht="38.25" spans="1:14">
      <c r="A21" s="822" t="s">
        <v>112</v>
      </c>
      <c r="B21" s="158" t="s">
        <v>18</v>
      </c>
      <c r="C21" s="158" t="s">
        <v>68</v>
      </c>
      <c r="D21" s="158">
        <v>1</v>
      </c>
      <c r="E21" s="158" t="s">
        <v>23</v>
      </c>
      <c r="F21" s="823" t="s">
        <v>148</v>
      </c>
      <c r="G21" s="283"/>
      <c r="H21" s="233"/>
      <c r="I21" s="233"/>
      <c r="J21" s="285"/>
      <c r="K21" s="814"/>
      <c r="L21" s="809" t="s">
        <v>112</v>
      </c>
      <c r="M21" s="751"/>
      <c r="N21" s="751"/>
    </row>
    <row r="22" ht="16.5" spans="1:14">
      <c r="A22" s="824"/>
      <c r="B22" s="158" t="s">
        <v>21</v>
      </c>
      <c r="C22" s="158" t="s">
        <v>85</v>
      </c>
      <c r="D22" s="158">
        <v>1</v>
      </c>
      <c r="E22" s="158" t="s">
        <v>20</v>
      </c>
      <c r="F22" s="823" t="s">
        <v>149</v>
      </c>
      <c r="G22" s="283"/>
      <c r="H22" s="233"/>
      <c r="I22" s="233"/>
      <c r="J22" s="285"/>
      <c r="K22" s="814"/>
      <c r="L22" s="827"/>
      <c r="M22" s="751"/>
      <c r="N22" s="751"/>
    </row>
    <row r="23" ht="27.75" customHeight="1" spans="1:14">
      <c r="A23" s="824"/>
      <c r="B23" s="158" t="s">
        <v>21</v>
      </c>
      <c r="C23" s="158" t="s">
        <v>150</v>
      </c>
      <c r="D23" s="158">
        <v>1</v>
      </c>
      <c r="E23" s="158" t="s">
        <v>23</v>
      </c>
      <c r="F23" s="823" t="s">
        <v>151</v>
      </c>
      <c r="G23" s="283"/>
      <c r="H23" s="233"/>
      <c r="I23" s="233"/>
      <c r="J23" s="285"/>
      <c r="K23" s="814"/>
      <c r="L23" s="828"/>
      <c r="M23" s="751"/>
      <c r="N23" s="751"/>
    </row>
    <row r="24" ht="16.5" spans="1:14">
      <c r="A24" s="786" t="s">
        <v>115</v>
      </c>
      <c r="B24" s="237"/>
      <c r="C24" s="237"/>
      <c r="D24" s="237"/>
      <c r="E24" s="237"/>
      <c r="F24" s="787"/>
      <c r="G24" s="286"/>
      <c r="H24" s="237"/>
      <c r="I24" s="237"/>
      <c r="J24" s="288">
        <v>7</v>
      </c>
      <c r="K24" s="814"/>
      <c r="L24" s="287" t="s">
        <v>115</v>
      </c>
      <c r="M24" s="751" t="s">
        <v>152</v>
      </c>
      <c r="N24" s="751">
        <v>1</v>
      </c>
    </row>
    <row r="25" ht="27.75" customHeight="1" spans="1:14">
      <c r="A25" s="804" t="s">
        <v>153</v>
      </c>
      <c r="B25" s="216"/>
      <c r="C25" s="216"/>
      <c r="D25" s="216"/>
      <c r="E25" s="216"/>
      <c r="F25" s="755"/>
      <c r="G25" s="272"/>
      <c r="H25" s="216"/>
      <c r="I25" s="216"/>
      <c r="J25" s="274"/>
      <c r="K25" s="814"/>
      <c r="L25" s="273" t="s">
        <v>153</v>
      </c>
      <c r="M25" s="751" t="s">
        <v>154</v>
      </c>
      <c r="N25" s="751">
        <v>1</v>
      </c>
    </row>
    <row r="26" ht="27.75" customHeight="1" spans="1:14">
      <c r="A26" s="804" t="s">
        <v>118</v>
      </c>
      <c r="B26" s="216" t="s">
        <v>21</v>
      </c>
      <c r="C26" s="216" t="s">
        <v>155</v>
      </c>
      <c r="D26" s="216">
        <v>1</v>
      </c>
      <c r="E26" s="216" t="s">
        <v>23</v>
      </c>
      <c r="F26" s="755" t="s">
        <v>156</v>
      </c>
      <c r="G26" s="272"/>
      <c r="H26" s="216"/>
      <c r="I26" s="216"/>
      <c r="J26" s="274">
        <v>3</v>
      </c>
      <c r="K26" s="814"/>
      <c r="L26" s="273" t="s">
        <v>118</v>
      </c>
      <c r="M26" s="751" t="s">
        <v>155</v>
      </c>
      <c r="N26" s="751">
        <v>2</v>
      </c>
    </row>
    <row r="27" ht="27.75" customHeight="1" spans="1:14">
      <c r="A27" s="297" t="s">
        <v>49</v>
      </c>
      <c r="B27" s="240" t="s">
        <v>18</v>
      </c>
      <c r="C27" s="240" t="s">
        <v>157</v>
      </c>
      <c r="D27" s="240">
        <v>1</v>
      </c>
      <c r="E27" s="240" t="s">
        <v>23</v>
      </c>
      <c r="F27" s="761" t="s">
        <v>158</v>
      </c>
      <c r="G27" s="293"/>
      <c r="H27" s="240"/>
      <c r="I27" s="240"/>
      <c r="J27" s="295">
        <v>25</v>
      </c>
      <c r="K27" s="814"/>
      <c r="L27" s="294" t="s">
        <v>49</v>
      </c>
      <c r="M27" s="751"/>
      <c r="N27" s="751"/>
    </row>
    <row r="28" ht="17.25" spans="1:14">
      <c r="A28" s="806"/>
      <c r="B28" s="242" t="s">
        <v>21</v>
      </c>
      <c r="C28" s="242" t="s">
        <v>123</v>
      </c>
      <c r="D28" s="242">
        <v>1</v>
      </c>
      <c r="E28" s="242" t="s">
        <v>23</v>
      </c>
      <c r="F28" s="789" t="s">
        <v>124</v>
      </c>
      <c r="G28" s="310"/>
      <c r="H28" s="242"/>
      <c r="I28" s="242"/>
      <c r="J28" s="299"/>
      <c r="K28" s="814"/>
      <c r="L28" s="757"/>
      <c r="M28" s="751"/>
      <c r="N28" s="751"/>
    </row>
    <row r="29" ht="13.5" spans="1:10">
      <c r="A29" s="790"/>
      <c r="B29" s="791"/>
      <c r="C29" s="791"/>
      <c r="D29" s="791">
        <f>SUM(D4:D28)</f>
        <v>42</v>
      </c>
      <c r="E29" s="791"/>
      <c r="F29" s="792"/>
      <c r="G29" s="793">
        <f>SUM(G12:G28)</f>
        <v>0</v>
      </c>
      <c r="H29" s="791">
        <f>SUM(H12:H28)</f>
        <v>0</v>
      </c>
      <c r="I29" s="791">
        <f>SUM(I12:I28)</f>
        <v>0</v>
      </c>
      <c r="J29" s="791">
        <f>SUM(J12:J28)</f>
        <v>168</v>
      </c>
    </row>
    <row r="30" ht="12.75" spans="1:1">
      <c r="A30" s="65"/>
    </row>
    <row r="31" ht="12.75" spans="1:1">
      <c r="A31" s="65"/>
    </row>
    <row r="32" ht="12.75" spans="1:1">
      <c r="A32" s="65"/>
    </row>
    <row r="33" ht="12.75" spans="1:1">
      <c r="A33" s="65"/>
    </row>
    <row r="34" ht="12.75" spans="1:1">
      <c r="A34" s="65"/>
    </row>
    <row r="35" ht="12.75" spans="1:1">
      <c r="A35" s="65"/>
    </row>
    <row r="36" ht="12.75" spans="1:1">
      <c r="A36" s="65"/>
    </row>
    <row r="37" ht="12.75" spans="1:1">
      <c r="A37" s="65"/>
    </row>
    <row r="38" ht="12.75" spans="1:1">
      <c r="A38" s="65"/>
    </row>
    <row r="39" ht="12.75" spans="1:1">
      <c r="A39" s="65"/>
    </row>
    <row r="40" ht="12.75" spans="1:1">
      <c r="A40" s="65"/>
    </row>
    <row r="41" ht="12.75" spans="1:1">
      <c r="A41" s="65"/>
    </row>
    <row r="42" ht="12.75" spans="1:1">
      <c r="A42" s="65"/>
    </row>
    <row r="43" ht="12.75" spans="1:1">
      <c r="A43" s="65"/>
    </row>
    <row r="44" ht="12.75" spans="1:1">
      <c r="A44" s="65"/>
    </row>
    <row r="45" ht="12.75" spans="1:1">
      <c r="A45" s="65"/>
    </row>
    <row r="46" ht="12.75" spans="1:1">
      <c r="A46" s="65"/>
    </row>
    <row r="47" ht="12.75" spans="1:1">
      <c r="A47" s="65"/>
    </row>
    <row r="48" ht="12.75" spans="1:1">
      <c r="A48" s="65"/>
    </row>
    <row r="49" ht="12.75" spans="1:1">
      <c r="A49" s="65"/>
    </row>
    <row r="50" ht="12.75" spans="1:1">
      <c r="A50" s="65"/>
    </row>
    <row r="51" ht="12.75" spans="1:1">
      <c r="A51" s="65"/>
    </row>
    <row r="52" ht="12.75" spans="1:1">
      <c r="A52" s="65"/>
    </row>
    <row r="53" ht="12.75" spans="1:1">
      <c r="A53" s="65"/>
    </row>
    <row r="54" ht="12.75" spans="1:1">
      <c r="A54" s="65"/>
    </row>
    <row r="55" ht="12.75" spans="1:1">
      <c r="A55" s="65"/>
    </row>
    <row r="56" ht="12.75" spans="1:1">
      <c r="A56" s="65"/>
    </row>
    <row r="57" ht="12.75" spans="1:1">
      <c r="A57" s="65"/>
    </row>
    <row r="58" ht="12.75" spans="1:1">
      <c r="A58" s="65"/>
    </row>
    <row r="59" ht="12.75" spans="1:1">
      <c r="A59" s="65"/>
    </row>
    <row r="60" ht="12.75" spans="1:1">
      <c r="A60" s="65"/>
    </row>
    <row r="61" ht="12.75" spans="1:1">
      <c r="A61" s="65"/>
    </row>
    <row r="62" ht="12.75" spans="1:1">
      <c r="A62" s="65"/>
    </row>
    <row r="63" ht="12.75" spans="1:1">
      <c r="A63" s="65"/>
    </row>
    <row r="64" ht="12.75" spans="1:1">
      <c r="A64" s="65"/>
    </row>
    <row r="65" ht="12.75" spans="1:1">
      <c r="A65" s="65"/>
    </row>
    <row r="66" ht="12.75" spans="1:1">
      <c r="A66" s="65"/>
    </row>
    <row r="67" ht="12.75" spans="1:1">
      <c r="A67" s="65"/>
    </row>
    <row r="68" ht="12.75" spans="1:1">
      <c r="A68" s="65"/>
    </row>
    <row r="69" ht="12.75" spans="1:1">
      <c r="A69" s="65"/>
    </row>
    <row r="70" ht="12.75" spans="1:1">
      <c r="A70" s="65"/>
    </row>
    <row r="71" ht="12.75" spans="1:1">
      <c r="A71" s="65"/>
    </row>
    <row r="72" ht="12.75" spans="1:1">
      <c r="A72" s="65"/>
    </row>
    <row r="73" ht="12.75" spans="1:1">
      <c r="A73" s="65"/>
    </row>
    <row r="74" ht="12.75" spans="1:1">
      <c r="A74" s="65"/>
    </row>
    <row r="75" ht="12.75" spans="1:1">
      <c r="A75" s="65"/>
    </row>
    <row r="76" ht="12.75" spans="1:1">
      <c r="A76" s="65"/>
    </row>
    <row r="77" ht="12.75" spans="1:1">
      <c r="A77" s="65"/>
    </row>
    <row r="78" ht="12.75" spans="1:1">
      <c r="A78" s="65"/>
    </row>
    <row r="79" ht="12.75" spans="1:1">
      <c r="A79" s="65"/>
    </row>
    <row r="80" ht="12.75" spans="1:1">
      <c r="A80" s="65"/>
    </row>
    <row r="81" ht="12.75" spans="1:1">
      <c r="A81" s="65"/>
    </row>
    <row r="82" ht="12.75" spans="1:1">
      <c r="A82" s="65"/>
    </row>
    <row r="83" ht="12.75" spans="1:1">
      <c r="A83" s="65"/>
    </row>
    <row r="84" ht="12.75" spans="1:1">
      <c r="A84" s="65"/>
    </row>
    <row r="85" ht="12.75" spans="1:1">
      <c r="A85" s="65"/>
    </row>
    <row r="86" ht="12.75" spans="1:1">
      <c r="A86" s="65"/>
    </row>
    <row r="87" ht="12.75" spans="1:1">
      <c r="A87" s="65"/>
    </row>
    <row r="88" ht="12.75" spans="1:1">
      <c r="A88" s="65"/>
    </row>
    <row r="89" ht="12.75" spans="1:1">
      <c r="A89" s="65"/>
    </row>
    <row r="90" ht="12.75" spans="1:1">
      <c r="A90" s="65"/>
    </row>
    <row r="91" ht="12.75" spans="1:1">
      <c r="A91" s="65"/>
    </row>
    <row r="92" ht="12.75" spans="1:1">
      <c r="A92" s="65"/>
    </row>
    <row r="93" ht="12.75" spans="1:1">
      <c r="A93" s="65"/>
    </row>
    <row r="94" ht="12.75" spans="1:1">
      <c r="A94" s="65"/>
    </row>
    <row r="95" ht="12.75" spans="1:1">
      <c r="A95" s="65"/>
    </row>
    <row r="96" ht="12.75" spans="1:1">
      <c r="A96" s="65"/>
    </row>
    <row r="97" ht="12.75" spans="1:1">
      <c r="A97" s="65"/>
    </row>
    <row r="98" ht="12.75" spans="1:1">
      <c r="A98" s="65"/>
    </row>
    <row r="99" ht="12.75" spans="1:1">
      <c r="A99" s="65"/>
    </row>
    <row r="100" ht="12.75" spans="1:1">
      <c r="A100" s="65"/>
    </row>
    <row r="101" ht="12.75" spans="1:1">
      <c r="A101" s="65"/>
    </row>
    <row r="102" ht="12.75" spans="1:1">
      <c r="A102" s="65"/>
    </row>
    <row r="103" ht="12.75" spans="1:1">
      <c r="A103" s="65"/>
    </row>
    <row r="104" ht="12.75" spans="1:1">
      <c r="A104" s="65"/>
    </row>
    <row r="105" ht="12.75" spans="1:1">
      <c r="A105" s="65"/>
    </row>
    <row r="106" ht="12.75" spans="1:1">
      <c r="A106" s="65"/>
    </row>
    <row r="107" ht="12.75" spans="1:1">
      <c r="A107" s="65"/>
    </row>
    <row r="108" ht="12.75" spans="1:1">
      <c r="A108" s="65"/>
    </row>
    <row r="109" ht="12.75" spans="1:1">
      <c r="A109" s="65"/>
    </row>
    <row r="110" ht="12.75" spans="1:1">
      <c r="A110" s="65"/>
    </row>
    <row r="111" ht="12.75" spans="1:1">
      <c r="A111" s="65"/>
    </row>
    <row r="112" ht="12.75" spans="1:1">
      <c r="A112" s="65"/>
    </row>
    <row r="113" ht="12.75" spans="1:1">
      <c r="A113" s="65"/>
    </row>
    <row r="114" ht="12.75" spans="1:1">
      <c r="A114" s="65"/>
    </row>
    <row r="115" ht="12.75" spans="1:1">
      <c r="A115" s="65"/>
    </row>
    <row r="116" ht="12.75" spans="1:1">
      <c r="A116" s="65"/>
    </row>
    <row r="117" ht="12.75" spans="1:1">
      <c r="A117" s="65"/>
    </row>
    <row r="118" ht="12.75" spans="1:1">
      <c r="A118" s="65"/>
    </row>
    <row r="119" ht="12.75" spans="1:1">
      <c r="A119" s="65"/>
    </row>
    <row r="120" ht="12.75" spans="1:1">
      <c r="A120" s="65"/>
    </row>
    <row r="121" ht="12.75" spans="1:1">
      <c r="A121" s="65"/>
    </row>
    <row r="122" ht="12.75" spans="1:1">
      <c r="A122" s="65"/>
    </row>
    <row r="123" ht="12.75" spans="1:1">
      <c r="A123" s="65"/>
    </row>
    <row r="124" ht="12.75" spans="1:1">
      <c r="A124" s="65"/>
    </row>
    <row r="125" ht="12.75" spans="1:1">
      <c r="A125" s="65"/>
    </row>
    <row r="126" ht="12.75" spans="1:1">
      <c r="A126" s="65"/>
    </row>
    <row r="127" ht="12.75" spans="1:1">
      <c r="A127" s="65"/>
    </row>
    <row r="128" ht="12.75" spans="1:1">
      <c r="A128" s="65"/>
    </row>
    <row r="129" ht="12.75" spans="1:1">
      <c r="A129" s="65"/>
    </row>
    <row r="130" ht="12.75" spans="1:1">
      <c r="A130" s="65"/>
    </row>
    <row r="131" ht="12.75" spans="1:1">
      <c r="A131" s="65"/>
    </row>
    <row r="132" ht="12.75" spans="1:1">
      <c r="A132" s="65"/>
    </row>
    <row r="133" ht="12.75" spans="1:1">
      <c r="A133" s="65"/>
    </row>
    <row r="134" ht="12.75" spans="1:1">
      <c r="A134" s="65"/>
    </row>
    <row r="135" ht="12.75" spans="1:1">
      <c r="A135" s="65"/>
    </row>
    <row r="136" ht="12.75" spans="1:1">
      <c r="A136" s="65"/>
    </row>
    <row r="137" ht="12.75" spans="1:1">
      <c r="A137" s="65"/>
    </row>
    <row r="138" ht="12.75" spans="1:1">
      <c r="A138" s="65"/>
    </row>
    <row r="139" ht="12.75" spans="1:1">
      <c r="A139" s="65"/>
    </row>
    <row r="140" ht="12.75" spans="1:1">
      <c r="A140" s="65"/>
    </row>
    <row r="141" ht="12.75" spans="1:1">
      <c r="A141" s="65"/>
    </row>
    <row r="142" ht="12.75" spans="1:1">
      <c r="A142" s="65"/>
    </row>
    <row r="143" ht="12.75" spans="1:1">
      <c r="A143" s="65"/>
    </row>
    <row r="144" ht="12.75" spans="1:1">
      <c r="A144" s="65"/>
    </row>
    <row r="145" ht="12.75" spans="1:1">
      <c r="A145" s="65"/>
    </row>
    <row r="146" ht="12.75" spans="1:1">
      <c r="A146" s="65"/>
    </row>
    <row r="147" ht="12.75" spans="1:1">
      <c r="A147" s="65"/>
    </row>
    <row r="148" ht="12.75" spans="1:1">
      <c r="A148" s="65"/>
    </row>
    <row r="149" ht="12.75" spans="1:1">
      <c r="A149" s="65"/>
    </row>
    <row r="150" ht="12.75" spans="1:1">
      <c r="A150" s="65"/>
    </row>
    <row r="151" ht="12.75" spans="1:1">
      <c r="A151" s="65"/>
    </row>
    <row r="152" ht="12.75" spans="1:1">
      <c r="A152" s="65"/>
    </row>
    <row r="153" ht="12.75" spans="1:1">
      <c r="A153" s="65"/>
    </row>
    <row r="154" ht="12.75" spans="1:1">
      <c r="A154" s="65"/>
    </row>
    <row r="155" ht="12.75" spans="1:1">
      <c r="A155" s="65"/>
    </row>
    <row r="156" ht="12.75" spans="1:1">
      <c r="A156" s="65"/>
    </row>
    <row r="157" ht="12.75" spans="1:1">
      <c r="A157" s="65"/>
    </row>
    <row r="158" ht="12.75" spans="1:1">
      <c r="A158" s="65"/>
    </row>
    <row r="159" ht="12.75" spans="1:1">
      <c r="A159" s="65"/>
    </row>
    <row r="160" ht="12.75" spans="1:1">
      <c r="A160" s="65"/>
    </row>
    <row r="161" ht="12.75" spans="1:1">
      <c r="A161" s="65"/>
    </row>
    <row r="162" ht="12.75" spans="1:1">
      <c r="A162" s="65"/>
    </row>
    <row r="163" ht="12.75" spans="1:1">
      <c r="A163" s="65"/>
    </row>
    <row r="164" ht="12.75" spans="1:1">
      <c r="A164" s="65"/>
    </row>
    <row r="165" ht="12.75" spans="1:1">
      <c r="A165" s="65"/>
    </row>
    <row r="166" ht="12.75" spans="1:1">
      <c r="A166" s="65"/>
    </row>
    <row r="167" ht="12.75" spans="1:1">
      <c r="A167" s="65"/>
    </row>
    <row r="168" ht="12.75" spans="1:1">
      <c r="A168" s="65"/>
    </row>
    <row r="169" ht="12.75" spans="1:1">
      <c r="A169" s="65"/>
    </row>
    <row r="170" ht="12.75" spans="1:1">
      <c r="A170" s="65"/>
    </row>
    <row r="171" ht="12.75" spans="1:1">
      <c r="A171" s="65"/>
    </row>
    <row r="172" ht="12.75" spans="1:1">
      <c r="A172" s="65"/>
    </row>
    <row r="173" ht="12.75" spans="1:1">
      <c r="A173" s="65"/>
    </row>
    <row r="174" ht="12.75" spans="1:1">
      <c r="A174" s="65"/>
    </row>
    <row r="175" ht="12.75" spans="1:1">
      <c r="A175" s="65"/>
    </row>
    <row r="176" ht="12.75" spans="1:1">
      <c r="A176" s="65"/>
    </row>
    <row r="177" ht="12.75" spans="1:1">
      <c r="A177" s="65"/>
    </row>
    <row r="178" ht="12.75" spans="1:1">
      <c r="A178" s="65"/>
    </row>
    <row r="179" ht="12.75" spans="1:1">
      <c r="A179" s="65"/>
    </row>
    <row r="180" ht="12.75" spans="1:1">
      <c r="A180" s="65"/>
    </row>
    <row r="181" ht="12.75" spans="1:1">
      <c r="A181" s="65"/>
    </row>
    <row r="182" ht="12.75" spans="1:1">
      <c r="A182" s="65"/>
    </row>
    <row r="183" ht="12.75" spans="1:1">
      <c r="A183" s="65"/>
    </row>
    <row r="184" ht="12.75" spans="1:1">
      <c r="A184" s="65"/>
    </row>
    <row r="185" ht="12.75" spans="1:1">
      <c r="A185" s="65"/>
    </row>
    <row r="186" ht="12.75" spans="1:1">
      <c r="A186" s="65"/>
    </row>
    <row r="187" ht="12.75" spans="1:1">
      <c r="A187" s="65"/>
    </row>
    <row r="188" ht="12.75" spans="1:1">
      <c r="A188" s="65"/>
    </row>
    <row r="189" ht="12.75" spans="1:1">
      <c r="A189" s="65"/>
    </row>
    <row r="190" ht="12.75" spans="1:1">
      <c r="A190" s="65"/>
    </row>
    <row r="191" ht="12.75" spans="1:1">
      <c r="A191" s="65"/>
    </row>
    <row r="192" ht="12.75" spans="1:1">
      <c r="A192" s="65"/>
    </row>
    <row r="193" ht="12.75" spans="1:1">
      <c r="A193" s="65"/>
    </row>
    <row r="194" ht="12.75" spans="1:1">
      <c r="A194" s="65"/>
    </row>
    <row r="195" ht="12.75" spans="1:1">
      <c r="A195" s="65"/>
    </row>
    <row r="196" ht="12.75" spans="1:1">
      <c r="A196" s="65"/>
    </row>
    <row r="197" ht="12.75" spans="1:1">
      <c r="A197" s="65"/>
    </row>
    <row r="198" ht="12.75" spans="1:1">
      <c r="A198" s="65"/>
    </row>
    <row r="199" ht="12.75" spans="1:1">
      <c r="A199" s="65"/>
    </row>
    <row r="200" ht="12.75" spans="1:1">
      <c r="A200" s="65"/>
    </row>
    <row r="201" ht="12.75" spans="1:1">
      <c r="A201" s="65"/>
    </row>
    <row r="202" ht="12.75" spans="1:1">
      <c r="A202" s="65"/>
    </row>
    <row r="203" ht="12.75" spans="1:1">
      <c r="A203" s="65"/>
    </row>
    <row r="204" ht="12.75" spans="1:1">
      <c r="A204" s="65"/>
    </row>
    <row r="205" ht="12.75" spans="1:1">
      <c r="A205" s="65"/>
    </row>
    <row r="206" ht="12.75" spans="1:1">
      <c r="A206" s="65"/>
    </row>
  </sheetData>
  <mergeCells count="18">
    <mergeCell ref="A1:F1"/>
    <mergeCell ref="G1:J1"/>
    <mergeCell ref="A2:F2"/>
    <mergeCell ref="G2:J2"/>
    <mergeCell ref="L2:N2"/>
    <mergeCell ref="A4:A6"/>
    <mergeCell ref="A7:A10"/>
    <mergeCell ref="A12:A15"/>
    <mergeCell ref="A16:A19"/>
    <mergeCell ref="A21:A23"/>
    <mergeCell ref="A27:A28"/>
    <mergeCell ref="J27:J28"/>
    <mergeCell ref="L4:L6"/>
    <mergeCell ref="L7:L10"/>
    <mergeCell ref="L12:L15"/>
    <mergeCell ref="L16:L19"/>
    <mergeCell ref="L21:L23"/>
    <mergeCell ref="L27:L28"/>
  </mergeCells>
  <dataValidations count="5">
    <dataValidation type="list" allowBlank="1" showInputMessage="1" showErrorMessage="1" sqref="L4 L7 L9 L16 A4:A1048576 K4:K28 L11:L12 L20:L21 L24:L27">
      <formula1>"自孵部,签约部,培训部,外采部,商务中台,运营中台,总经办+财务部,财务部,技术中台,内容中台,AI中台,数据中台,"</formula1>
    </dataValidation>
    <dataValidation type="list" allowBlank="1" showInputMessage="1" showErrorMessage="1" sqref="B4:B6 B11:B20 B24:B28">
      <formula1>"新增需求,替补需求,储备需求,上个月未交付延期本月,临时新增,"</formula1>
    </dataValidation>
    <dataValidation type="list" showInputMessage="1" showErrorMessage="1" sqref="B7:B10 B21:B23">
      <formula1>"新增需求,替补需求,储备需求,上个月未交付延期本月,临时新增,"</formula1>
    </dataValidation>
    <dataValidation type="list" allowBlank="1" showInputMessage="1" showErrorMessage="1" sqref="E4:E6 E11:E20 E24:E28">
      <formula1>"社招,校招,社招&amp;校招,"</formula1>
    </dataValidation>
    <dataValidation type="list" showInputMessage="1" showErrorMessage="1" sqref="E7:E10 E21:E23">
      <formula1>"社招,校招,社招&amp;校招,"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对比"/>
  <dimension ref="A1:N205"/>
  <sheetViews>
    <sheetView workbookViewId="0">
      <selection activeCell="A1" sqref="A1:F1"/>
    </sheetView>
  </sheetViews>
  <sheetFormatPr defaultColWidth="14" defaultRowHeight="18" customHeight="1"/>
  <cols>
    <col min="6" max="6" width="40.6" customWidth="1"/>
    <col min="7" max="10" width="13.6761904761905" hidden="1"/>
    <col min="11" max="11" width="13.6761904761905" style="802"/>
  </cols>
  <sheetData>
    <row r="1" spans="1:14">
      <c r="A1" s="742" t="s">
        <v>126</v>
      </c>
      <c r="B1" s="743"/>
      <c r="C1" s="69"/>
      <c r="D1" s="69"/>
      <c r="E1" s="69"/>
      <c r="F1" s="69"/>
      <c r="G1" s="744" t="s">
        <v>127</v>
      </c>
      <c r="H1" s="745"/>
      <c r="I1" s="745"/>
      <c r="J1" s="810"/>
      <c r="K1" s="802"/>
      <c r="L1" s="811" t="s">
        <v>128</v>
      </c>
      <c r="M1" s="751"/>
      <c r="N1" s="751"/>
    </row>
    <row r="2" ht="16.5" spans="1:14">
      <c r="A2" s="257" t="s">
        <v>4</v>
      </c>
      <c r="B2" s="199" t="s">
        <v>78</v>
      </c>
      <c r="C2" s="199" t="s">
        <v>8</v>
      </c>
      <c r="D2" s="199" t="s">
        <v>9</v>
      </c>
      <c r="E2" s="199" t="s">
        <v>10</v>
      </c>
      <c r="F2" s="746" t="s">
        <v>11</v>
      </c>
      <c r="G2" s="747" t="s">
        <v>12</v>
      </c>
      <c r="H2" s="291" t="s">
        <v>13</v>
      </c>
      <c r="I2" s="291" t="s">
        <v>14</v>
      </c>
      <c r="J2" s="292" t="s">
        <v>129</v>
      </c>
      <c r="K2" s="812"/>
      <c r="L2" s="199" t="s">
        <v>4</v>
      </c>
      <c r="M2" s="813" t="s">
        <v>159</v>
      </c>
      <c r="N2" s="813" t="s">
        <v>9</v>
      </c>
    </row>
    <row r="3" ht="16.5" spans="1:14">
      <c r="A3" s="782" t="s">
        <v>16</v>
      </c>
      <c r="B3" s="205" t="s">
        <v>18</v>
      </c>
      <c r="C3" s="205" t="s">
        <v>19</v>
      </c>
      <c r="D3" s="205">
        <v>4</v>
      </c>
      <c r="E3" s="205" t="s">
        <v>23</v>
      </c>
      <c r="F3" s="752" t="s">
        <v>137</v>
      </c>
      <c r="G3" s="269"/>
      <c r="H3" s="205"/>
      <c r="I3" s="205"/>
      <c r="J3" s="271">
        <v>59</v>
      </c>
      <c r="K3" s="814"/>
      <c r="L3" s="270" t="s">
        <v>16</v>
      </c>
      <c r="M3" s="142"/>
      <c r="N3" s="142"/>
    </row>
    <row r="4" ht="16.5" spans="1:14">
      <c r="A4" s="803" t="s">
        <v>25</v>
      </c>
      <c r="B4" s="210" t="s">
        <v>18</v>
      </c>
      <c r="C4" s="210" t="s">
        <v>130</v>
      </c>
      <c r="D4" s="210">
        <v>3</v>
      </c>
      <c r="E4" s="210" t="s">
        <v>23</v>
      </c>
      <c r="F4" s="748" t="s">
        <v>131</v>
      </c>
      <c r="G4" s="261"/>
      <c r="H4" s="210"/>
      <c r="I4" s="210"/>
      <c r="J4" s="263">
        <v>71</v>
      </c>
      <c r="K4" s="814"/>
      <c r="L4" s="262" t="s">
        <v>25</v>
      </c>
      <c r="M4" s="142" t="s">
        <v>132</v>
      </c>
      <c r="N4" s="142">
        <v>1</v>
      </c>
    </row>
    <row r="5" ht="16.5" spans="1:14">
      <c r="A5" s="307"/>
      <c r="B5" s="210" t="s">
        <v>21</v>
      </c>
      <c r="C5" s="210" t="s">
        <v>130</v>
      </c>
      <c r="D5" s="210">
        <v>3</v>
      </c>
      <c r="E5" s="210" t="s">
        <v>23</v>
      </c>
      <c r="F5" s="748" t="s">
        <v>131</v>
      </c>
      <c r="G5" s="261"/>
      <c r="H5" s="210"/>
      <c r="I5" s="210"/>
      <c r="J5" s="263"/>
      <c r="K5" s="814"/>
      <c r="L5" s="751"/>
      <c r="M5" s="142"/>
      <c r="N5" s="142"/>
    </row>
    <row r="6" ht="16.5" spans="1:14">
      <c r="A6" s="309"/>
      <c r="B6" s="210" t="s">
        <v>18</v>
      </c>
      <c r="C6" s="210" t="s">
        <v>85</v>
      </c>
      <c r="D6" s="210">
        <v>1</v>
      </c>
      <c r="E6" s="210" t="s">
        <v>30</v>
      </c>
      <c r="F6" s="748" t="s">
        <v>88</v>
      </c>
      <c r="G6" s="261"/>
      <c r="H6" s="210"/>
      <c r="I6" s="210"/>
      <c r="J6" s="263"/>
      <c r="K6" s="814"/>
      <c r="L6" s="751"/>
      <c r="M6" s="142"/>
      <c r="N6" s="142"/>
    </row>
    <row r="7" ht="27.75" customHeight="1" spans="1:14">
      <c r="A7" s="804" t="s">
        <v>34</v>
      </c>
      <c r="B7" s="216" t="s">
        <v>18</v>
      </c>
      <c r="C7" s="217" t="s">
        <v>138</v>
      </c>
      <c r="D7" s="216">
        <v>2</v>
      </c>
      <c r="E7" s="216" t="s">
        <v>23</v>
      </c>
      <c r="F7" s="755" t="s">
        <v>139</v>
      </c>
      <c r="G7" s="805"/>
      <c r="H7" s="138"/>
      <c r="I7" s="216"/>
      <c r="J7" s="274">
        <v>29</v>
      </c>
      <c r="K7" s="814"/>
      <c r="L7" s="273" t="s">
        <v>34</v>
      </c>
      <c r="M7" s="142" t="s">
        <v>140</v>
      </c>
      <c r="N7" s="142">
        <v>1</v>
      </c>
    </row>
    <row r="8" ht="42" customHeight="1" spans="1:14">
      <c r="A8" s="806"/>
      <c r="B8" s="216" t="s">
        <v>18</v>
      </c>
      <c r="C8" s="220" t="s">
        <v>36</v>
      </c>
      <c r="D8" s="216">
        <v>2</v>
      </c>
      <c r="E8" s="216" t="s">
        <v>23</v>
      </c>
      <c r="F8" s="755" t="s">
        <v>141</v>
      </c>
      <c r="G8" s="805"/>
      <c r="H8" s="138"/>
      <c r="I8" s="216"/>
      <c r="J8" s="274"/>
      <c r="K8" s="814"/>
      <c r="L8" s="757"/>
      <c r="M8" s="142"/>
      <c r="N8" s="142"/>
    </row>
    <row r="9" ht="27.75" customHeight="1" spans="1:14">
      <c r="A9" s="806"/>
      <c r="B9" s="216" t="s">
        <v>18</v>
      </c>
      <c r="C9" s="217" t="s">
        <v>142</v>
      </c>
      <c r="D9" s="216">
        <v>3</v>
      </c>
      <c r="E9" s="216" t="s">
        <v>23</v>
      </c>
      <c r="F9" s="755" t="s">
        <v>143</v>
      </c>
      <c r="G9" s="272"/>
      <c r="H9" s="216"/>
      <c r="I9" s="216"/>
      <c r="J9" s="274"/>
      <c r="K9" s="814"/>
      <c r="L9" s="757"/>
      <c r="M9" s="142"/>
      <c r="N9" s="142"/>
    </row>
    <row r="10" ht="27.75" customHeight="1" spans="1:14">
      <c r="A10" s="807"/>
      <c r="B10" s="216" t="s">
        <v>21</v>
      </c>
      <c r="C10" s="217" t="s">
        <v>138</v>
      </c>
      <c r="D10" s="216">
        <v>1</v>
      </c>
      <c r="E10" s="216" t="s">
        <v>20</v>
      </c>
      <c r="F10" s="755" t="s">
        <v>139</v>
      </c>
      <c r="G10" s="272"/>
      <c r="H10" s="216"/>
      <c r="I10" s="216"/>
      <c r="J10" s="274"/>
      <c r="K10" s="814"/>
      <c r="L10" s="757"/>
      <c r="M10" s="142"/>
      <c r="N10" s="142"/>
    </row>
    <row r="11" ht="27.75" customHeight="1" spans="1:14">
      <c r="A11" s="781" t="s">
        <v>43</v>
      </c>
      <c r="B11" s="222" t="s">
        <v>18</v>
      </c>
      <c r="C11" s="222" t="s">
        <v>133</v>
      </c>
      <c r="D11" s="222">
        <v>2</v>
      </c>
      <c r="E11" s="222" t="s">
        <v>23</v>
      </c>
      <c r="F11" s="750" t="s">
        <v>100</v>
      </c>
      <c r="G11" s="265"/>
      <c r="H11" s="222"/>
      <c r="I11" s="222"/>
      <c r="J11" s="267">
        <v>15</v>
      </c>
      <c r="K11" s="814"/>
      <c r="L11" s="266" t="s">
        <v>43</v>
      </c>
      <c r="M11" s="142"/>
      <c r="N11" s="142"/>
    </row>
    <row r="12" ht="42" customHeight="1" spans="1:14">
      <c r="A12" s="279"/>
      <c r="B12" s="222" t="s">
        <v>21</v>
      </c>
      <c r="C12" s="222" t="s">
        <v>70</v>
      </c>
      <c r="D12" s="222">
        <v>1</v>
      </c>
      <c r="E12" s="222" t="s">
        <v>23</v>
      </c>
      <c r="F12" s="750" t="s">
        <v>134</v>
      </c>
      <c r="G12" s="265"/>
      <c r="H12" s="222"/>
      <c r="I12" s="222"/>
      <c r="J12" s="267"/>
      <c r="K12" s="814"/>
      <c r="L12" s="757"/>
      <c r="M12" s="142"/>
      <c r="N12" s="142"/>
    </row>
    <row r="13" ht="42" customHeight="1" spans="1:14">
      <c r="A13" s="781"/>
      <c r="B13" s="222" t="s">
        <v>18</v>
      </c>
      <c r="C13" s="222" t="s">
        <v>69</v>
      </c>
      <c r="D13" s="222">
        <v>1</v>
      </c>
      <c r="E13" s="222" t="s">
        <v>23</v>
      </c>
      <c r="F13" s="808" t="s">
        <v>135</v>
      </c>
      <c r="G13" s="265"/>
      <c r="H13" s="222"/>
      <c r="I13" s="222"/>
      <c r="J13" s="267"/>
      <c r="K13" s="814"/>
      <c r="L13" s="266"/>
      <c r="M13" s="142"/>
      <c r="N13" s="142"/>
    </row>
    <row r="14" ht="42" customHeight="1" spans="1:14">
      <c r="A14" s="279"/>
      <c r="B14" s="222" t="s">
        <v>41</v>
      </c>
      <c r="C14" s="222" t="s">
        <v>96</v>
      </c>
      <c r="D14" s="222">
        <v>1</v>
      </c>
      <c r="E14" s="222" t="s">
        <v>20</v>
      </c>
      <c r="F14" s="658" t="s">
        <v>136</v>
      </c>
      <c r="G14" s="265"/>
      <c r="H14" s="222"/>
      <c r="I14" s="222"/>
      <c r="J14" s="267"/>
      <c r="K14" s="814"/>
      <c r="L14" s="757"/>
      <c r="M14" s="142"/>
      <c r="N14" s="142"/>
    </row>
    <row r="15" ht="33" spans="1:14">
      <c r="A15" s="278" t="s">
        <v>101</v>
      </c>
      <c r="B15" s="227" t="s">
        <v>18</v>
      </c>
      <c r="C15" s="227" t="s">
        <v>61</v>
      </c>
      <c r="D15" s="227">
        <v>5</v>
      </c>
      <c r="E15" s="227" t="s">
        <v>20</v>
      </c>
      <c r="F15" s="756" t="s">
        <v>102</v>
      </c>
      <c r="G15" s="275"/>
      <c r="H15" s="227"/>
      <c r="I15" s="227"/>
      <c r="J15" s="277">
        <v>85</v>
      </c>
      <c r="K15" s="814"/>
      <c r="L15" s="276" t="s">
        <v>101</v>
      </c>
      <c r="M15" s="142" t="s">
        <v>144</v>
      </c>
      <c r="N15" s="142">
        <v>1</v>
      </c>
    </row>
    <row r="16" ht="33" spans="1:14">
      <c r="A16" s="278"/>
      <c r="B16" s="227" t="s">
        <v>18</v>
      </c>
      <c r="C16" s="227" t="s">
        <v>32</v>
      </c>
      <c r="D16" s="227">
        <v>2</v>
      </c>
      <c r="E16" s="227" t="s">
        <v>20</v>
      </c>
      <c r="F16" s="756" t="s">
        <v>104</v>
      </c>
      <c r="G16" s="275"/>
      <c r="H16" s="227"/>
      <c r="I16" s="227"/>
      <c r="J16" s="277"/>
      <c r="K16" s="814"/>
      <c r="L16" s="276"/>
      <c r="M16" s="142" t="s">
        <v>145</v>
      </c>
      <c r="N16" s="142">
        <v>1</v>
      </c>
    </row>
    <row r="17" ht="33" spans="1:14">
      <c r="A17" s="278"/>
      <c r="B17" s="227" t="s">
        <v>21</v>
      </c>
      <c r="C17" s="227" t="s">
        <v>61</v>
      </c>
      <c r="D17" s="227">
        <v>2</v>
      </c>
      <c r="E17" s="227" t="s">
        <v>20</v>
      </c>
      <c r="F17" s="756" t="s">
        <v>102</v>
      </c>
      <c r="G17" s="275"/>
      <c r="H17" s="227"/>
      <c r="I17" s="227"/>
      <c r="J17" s="277"/>
      <c r="K17" s="814"/>
      <c r="L17" s="276"/>
      <c r="M17" s="142" t="s">
        <v>146</v>
      </c>
      <c r="N17" s="751">
        <v>2</v>
      </c>
    </row>
    <row r="18" ht="33" spans="1:14">
      <c r="A18" s="279"/>
      <c r="B18" s="227" t="s">
        <v>21</v>
      </c>
      <c r="C18" s="227" t="s">
        <v>32</v>
      </c>
      <c r="D18" s="227">
        <v>2</v>
      </c>
      <c r="E18" s="227" t="s">
        <v>20</v>
      </c>
      <c r="F18" s="756" t="s">
        <v>104</v>
      </c>
      <c r="G18" s="275"/>
      <c r="H18" s="227"/>
      <c r="I18" s="227"/>
      <c r="J18" s="815"/>
      <c r="K18" s="814"/>
      <c r="L18" s="757"/>
      <c r="M18" s="751"/>
      <c r="N18" s="751"/>
    </row>
    <row r="19" ht="16.5" spans="1:14">
      <c r="A19" s="784" t="s">
        <v>40</v>
      </c>
      <c r="B19" s="230" t="s">
        <v>41</v>
      </c>
      <c r="C19" s="230" t="s">
        <v>110</v>
      </c>
      <c r="D19" s="230">
        <v>1</v>
      </c>
      <c r="E19" s="230" t="s">
        <v>23</v>
      </c>
      <c r="F19" s="758" t="s">
        <v>147</v>
      </c>
      <c r="G19" s="280"/>
      <c r="H19" s="230"/>
      <c r="I19" s="230"/>
      <c r="J19" s="282">
        <v>19</v>
      </c>
      <c r="K19" s="814"/>
      <c r="L19" s="281" t="s">
        <v>40</v>
      </c>
      <c r="M19" s="142"/>
      <c r="N19" s="142"/>
    </row>
    <row r="20" ht="42" customHeight="1" spans="1:14">
      <c r="A20" s="809" t="s">
        <v>112</v>
      </c>
      <c r="B20" s="233" t="s">
        <v>18</v>
      </c>
      <c r="C20" s="233" t="s">
        <v>68</v>
      </c>
      <c r="D20" s="233">
        <v>1</v>
      </c>
      <c r="E20" s="233" t="s">
        <v>23</v>
      </c>
      <c r="F20" s="759" t="s">
        <v>148</v>
      </c>
      <c r="G20" s="283"/>
      <c r="H20" s="233"/>
      <c r="I20" s="233"/>
      <c r="J20" s="285">
        <v>8</v>
      </c>
      <c r="K20" s="814"/>
      <c r="L20" s="284" t="s">
        <v>112</v>
      </c>
      <c r="M20" s="142"/>
      <c r="N20" s="142"/>
    </row>
    <row r="21" ht="16.5" spans="1:14">
      <c r="A21" s="806"/>
      <c r="B21" s="233" t="s">
        <v>18</v>
      </c>
      <c r="C21" s="233" t="s">
        <v>85</v>
      </c>
      <c r="D21" s="233">
        <v>1</v>
      </c>
      <c r="E21" s="233" t="s">
        <v>20</v>
      </c>
      <c r="F21" s="759" t="s">
        <v>149</v>
      </c>
      <c r="G21" s="283"/>
      <c r="H21" s="233"/>
      <c r="I21" s="233"/>
      <c r="J21" s="285"/>
      <c r="K21" s="814"/>
      <c r="L21" s="757"/>
      <c r="M21" s="142"/>
      <c r="N21" s="142"/>
    </row>
    <row r="22" ht="27.75" customHeight="1" spans="1:14">
      <c r="A22" s="807"/>
      <c r="B22" s="233" t="s">
        <v>21</v>
      </c>
      <c r="C22" s="233" t="s">
        <v>150</v>
      </c>
      <c r="D22" s="233">
        <v>1</v>
      </c>
      <c r="E22" s="233" t="s">
        <v>23</v>
      </c>
      <c r="F22" s="759" t="s">
        <v>151</v>
      </c>
      <c r="G22" s="283"/>
      <c r="H22" s="233"/>
      <c r="I22" s="233"/>
      <c r="J22" s="285"/>
      <c r="K22" s="814"/>
      <c r="L22" s="757"/>
      <c r="M22" s="751"/>
      <c r="N22" s="751"/>
    </row>
    <row r="23" ht="16.5" spans="1:14">
      <c r="A23" s="786" t="s">
        <v>115</v>
      </c>
      <c r="B23" s="237"/>
      <c r="C23" s="237"/>
      <c r="D23" s="237"/>
      <c r="E23" s="237"/>
      <c r="F23" s="787"/>
      <c r="G23" s="286"/>
      <c r="H23" s="237"/>
      <c r="I23" s="237"/>
      <c r="J23" s="288">
        <v>7</v>
      </c>
      <c r="K23" s="814"/>
      <c r="L23" s="287" t="s">
        <v>115</v>
      </c>
      <c r="M23" s="142" t="s">
        <v>152</v>
      </c>
      <c r="N23" s="142">
        <v>1</v>
      </c>
    </row>
    <row r="24" ht="27.75" customHeight="1" spans="1:14">
      <c r="A24" s="804" t="s">
        <v>153</v>
      </c>
      <c r="B24" s="216"/>
      <c r="C24" s="216"/>
      <c r="D24" s="216"/>
      <c r="E24" s="216"/>
      <c r="F24" s="755"/>
      <c r="G24" s="272"/>
      <c r="H24" s="216"/>
      <c r="I24" s="216"/>
      <c r="J24" s="274"/>
      <c r="K24" s="814"/>
      <c r="L24" s="273" t="s">
        <v>153</v>
      </c>
      <c r="M24" s="142" t="s">
        <v>154</v>
      </c>
      <c r="N24" s="142">
        <v>1</v>
      </c>
    </row>
    <row r="25" ht="27.75" customHeight="1" spans="1:14">
      <c r="A25" s="804" t="s">
        <v>118</v>
      </c>
      <c r="B25" s="216"/>
      <c r="C25" s="216"/>
      <c r="D25" s="216"/>
      <c r="E25" s="216"/>
      <c r="F25" s="755"/>
      <c r="G25" s="272"/>
      <c r="H25" s="216"/>
      <c r="I25" s="216"/>
      <c r="J25" s="274">
        <v>3</v>
      </c>
      <c r="K25" s="814"/>
      <c r="L25" s="273" t="s">
        <v>118</v>
      </c>
      <c r="M25" s="142" t="s">
        <v>155</v>
      </c>
      <c r="N25" s="142">
        <v>1</v>
      </c>
    </row>
    <row r="26" ht="27.75" customHeight="1" spans="1:14">
      <c r="A26" s="297" t="s">
        <v>49</v>
      </c>
      <c r="B26" s="240" t="s">
        <v>18</v>
      </c>
      <c r="C26" s="240" t="s">
        <v>157</v>
      </c>
      <c r="D26" s="240">
        <v>1</v>
      </c>
      <c r="E26" s="240" t="s">
        <v>23</v>
      </c>
      <c r="F26" s="761" t="s">
        <v>158</v>
      </c>
      <c r="G26" s="293"/>
      <c r="H26" s="240"/>
      <c r="I26" s="240"/>
      <c r="J26" s="295">
        <v>25</v>
      </c>
      <c r="K26" s="814"/>
      <c r="L26" s="294" t="s">
        <v>49</v>
      </c>
      <c r="M26" s="142"/>
      <c r="N26" s="142"/>
    </row>
    <row r="27" ht="17.25" spans="1:14">
      <c r="A27" s="806"/>
      <c r="B27" s="242" t="s">
        <v>21</v>
      </c>
      <c r="C27" s="242" t="s">
        <v>123</v>
      </c>
      <c r="D27" s="242">
        <v>1</v>
      </c>
      <c r="E27" s="242" t="s">
        <v>23</v>
      </c>
      <c r="F27" s="789" t="s">
        <v>124</v>
      </c>
      <c r="G27" s="310"/>
      <c r="H27" s="242"/>
      <c r="I27" s="242"/>
      <c r="J27" s="299"/>
      <c r="K27" s="814"/>
      <c r="L27" s="757"/>
      <c r="M27" s="751"/>
      <c r="N27" s="751"/>
    </row>
    <row r="28" ht="13.5" spans="1:10">
      <c r="A28" s="790"/>
      <c r="B28" s="791"/>
      <c r="C28" s="791"/>
      <c r="D28" s="791">
        <f>SUM(D4:D27)</f>
        <v>37</v>
      </c>
      <c r="E28" s="791"/>
      <c r="F28" s="792"/>
      <c r="G28" s="793">
        <f>SUM(G4:G27)</f>
        <v>0</v>
      </c>
      <c r="H28" s="791">
        <f>SUM(H4:H27)</f>
        <v>0</v>
      </c>
      <c r="I28" s="791">
        <f>SUM(I4:I27)</f>
        <v>0</v>
      </c>
      <c r="J28" s="791">
        <f>SUM(J4:J27)</f>
        <v>262</v>
      </c>
    </row>
    <row r="29" ht="12.75" spans="1:1">
      <c r="A29" s="65"/>
    </row>
    <row r="30" ht="12.75" spans="1:1">
      <c r="A30" s="65"/>
    </row>
    <row r="31" ht="12.75" spans="1:1">
      <c r="A31" s="65"/>
    </row>
    <row r="32" ht="12.75" spans="1:1">
      <c r="A32" s="65"/>
    </row>
    <row r="33" ht="12.75" spans="1:1">
      <c r="A33" s="65"/>
    </row>
    <row r="34" ht="12.75" spans="1:1">
      <c r="A34" s="65"/>
    </row>
    <row r="35" ht="12.75" spans="1:1">
      <c r="A35" s="65"/>
    </row>
    <row r="36" ht="12.75" spans="1:1">
      <c r="A36" s="65"/>
    </row>
    <row r="37" ht="12.75" spans="1:1">
      <c r="A37" s="65"/>
    </row>
    <row r="38" ht="12.75" spans="1:1">
      <c r="A38" s="65"/>
    </row>
    <row r="39" ht="12.75" spans="1:1">
      <c r="A39" s="65"/>
    </row>
    <row r="40" ht="12.75" spans="1:1">
      <c r="A40" s="65"/>
    </row>
    <row r="41" ht="12.75" spans="1:1">
      <c r="A41" s="65"/>
    </row>
    <row r="42" ht="12.75" spans="1:1">
      <c r="A42" s="65"/>
    </row>
    <row r="43" ht="12.75" spans="1:1">
      <c r="A43" s="65"/>
    </row>
    <row r="44" ht="12.75" spans="1:1">
      <c r="A44" s="65"/>
    </row>
    <row r="45" ht="12.75" spans="1:1">
      <c r="A45" s="65"/>
    </row>
    <row r="46" ht="12.75" spans="1:1">
      <c r="A46" s="65"/>
    </row>
    <row r="47" ht="12.75" spans="1:1">
      <c r="A47" s="65"/>
    </row>
    <row r="48" ht="12.75" spans="1:1">
      <c r="A48" s="65"/>
    </row>
    <row r="49" ht="12.75" spans="1:1">
      <c r="A49" s="65"/>
    </row>
    <row r="50" ht="12.75" spans="1:1">
      <c r="A50" s="65"/>
    </row>
    <row r="51" ht="12.75" spans="1:1">
      <c r="A51" s="65"/>
    </row>
    <row r="52" ht="12.75" spans="1:1">
      <c r="A52" s="65"/>
    </row>
    <row r="53" ht="12.75" spans="1:1">
      <c r="A53" s="65"/>
    </row>
    <row r="54" ht="12.75" spans="1:1">
      <c r="A54" s="65"/>
    </row>
    <row r="55" ht="12.75" spans="1:1">
      <c r="A55" s="65"/>
    </row>
    <row r="56" ht="12.75" spans="1:1">
      <c r="A56" s="65"/>
    </row>
    <row r="57" ht="12.75" spans="1:1">
      <c r="A57" s="65"/>
    </row>
    <row r="58" ht="12.75" spans="1:1">
      <c r="A58" s="65"/>
    </row>
    <row r="59" ht="12.75" spans="1:1">
      <c r="A59" s="65"/>
    </row>
    <row r="60" ht="12.75" spans="1:1">
      <c r="A60" s="65"/>
    </row>
    <row r="61" ht="12.75" spans="1:1">
      <c r="A61" s="65"/>
    </row>
    <row r="62" ht="12.75" spans="1:1">
      <c r="A62" s="65"/>
    </row>
    <row r="63" ht="12.75" spans="1:1">
      <c r="A63" s="65"/>
    </row>
    <row r="64" ht="12.75" spans="1:1">
      <c r="A64" s="65"/>
    </row>
    <row r="65" ht="12.75" spans="1:1">
      <c r="A65" s="65"/>
    </row>
    <row r="66" ht="12.75" spans="1:1">
      <c r="A66" s="65"/>
    </row>
    <row r="67" ht="12.75" spans="1:1">
      <c r="A67" s="65"/>
    </row>
    <row r="68" ht="12.75" spans="1:1">
      <c r="A68" s="65"/>
    </row>
    <row r="69" ht="12.75" spans="1:1">
      <c r="A69" s="65"/>
    </row>
    <row r="70" ht="12.75" spans="1:1">
      <c r="A70" s="65"/>
    </row>
    <row r="71" ht="12.75" spans="1:1">
      <c r="A71" s="65"/>
    </row>
    <row r="72" ht="12.75" spans="1:1">
      <c r="A72" s="65"/>
    </row>
    <row r="73" ht="12.75" spans="1:1">
      <c r="A73" s="65"/>
    </row>
    <row r="74" ht="12.75" spans="1:1">
      <c r="A74" s="65"/>
    </row>
    <row r="75" ht="12.75" spans="1:1">
      <c r="A75" s="65"/>
    </row>
    <row r="76" ht="12.75" spans="1:1">
      <c r="A76" s="65"/>
    </row>
    <row r="77" ht="12.75" spans="1:1">
      <c r="A77" s="65"/>
    </row>
    <row r="78" ht="12.75" spans="1:1">
      <c r="A78" s="65"/>
    </row>
    <row r="79" ht="12.75" spans="1:1">
      <c r="A79" s="65"/>
    </row>
    <row r="80" ht="12.75" spans="1:1">
      <c r="A80" s="65"/>
    </row>
    <row r="81" ht="12.75" spans="1:1">
      <c r="A81" s="65"/>
    </row>
    <row r="82" ht="12.75" spans="1:1">
      <c r="A82" s="65"/>
    </row>
    <row r="83" ht="12.75" spans="1:1">
      <c r="A83" s="65"/>
    </row>
    <row r="84" ht="12.75" spans="1:1">
      <c r="A84" s="65"/>
    </row>
    <row r="85" ht="12.75" spans="1:1">
      <c r="A85" s="65"/>
    </row>
    <row r="86" ht="12.75" spans="1:1">
      <c r="A86" s="65"/>
    </row>
    <row r="87" ht="12.75" spans="1:1">
      <c r="A87" s="65"/>
    </row>
    <row r="88" ht="12.75" spans="1:1">
      <c r="A88" s="65"/>
    </row>
    <row r="89" ht="12.75" spans="1:1">
      <c r="A89" s="65"/>
    </row>
    <row r="90" ht="12.75" spans="1:1">
      <c r="A90" s="65"/>
    </row>
    <row r="91" ht="12.75" spans="1:1">
      <c r="A91" s="65"/>
    </row>
    <row r="92" ht="12.75" spans="1:1">
      <c r="A92" s="65"/>
    </row>
    <row r="93" ht="12.75" spans="1:1">
      <c r="A93" s="65"/>
    </row>
    <row r="94" ht="12.75" spans="1:1">
      <c r="A94" s="65"/>
    </row>
    <row r="95" ht="12.75" spans="1:1">
      <c r="A95" s="65"/>
    </row>
    <row r="96" ht="12.75" spans="1:1">
      <c r="A96" s="65"/>
    </row>
    <row r="97" ht="12.75" spans="1:1">
      <c r="A97" s="65"/>
    </row>
    <row r="98" ht="12.75" spans="1:1">
      <c r="A98" s="65"/>
    </row>
    <row r="99" ht="12.75" spans="1:1">
      <c r="A99" s="65"/>
    </row>
    <row r="100" ht="12.75" spans="1:1">
      <c r="A100" s="65"/>
    </row>
    <row r="101" ht="12.75" spans="1:1">
      <c r="A101" s="65"/>
    </row>
    <row r="102" ht="12.75" spans="1:1">
      <c r="A102" s="65"/>
    </row>
    <row r="103" ht="12.75" spans="1:1">
      <c r="A103" s="65"/>
    </row>
    <row r="104" ht="12.75" spans="1:1">
      <c r="A104" s="65"/>
    </row>
    <row r="105" ht="12.75" spans="1:1">
      <c r="A105" s="65"/>
    </row>
    <row r="106" ht="12.75" spans="1:1">
      <c r="A106" s="65"/>
    </row>
    <row r="107" ht="12.75" spans="1:1">
      <c r="A107" s="65"/>
    </row>
    <row r="108" ht="12.75" spans="1:1">
      <c r="A108" s="65"/>
    </row>
    <row r="109" ht="12.75" spans="1:1">
      <c r="A109" s="65"/>
    </row>
    <row r="110" ht="12.75" spans="1:1">
      <c r="A110" s="65"/>
    </row>
    <row r="111" ht="12.75" spans="1:1">
      <c r="A111" s="65"/>
    </row>
    <row r="112" ht="12.75" spans="1:1">
      <c r="A112" s="65"/>
    </row>
    <row r="113" ht="12.75" spans="1:1">
      <c r="A113" s="65"/>
    </row>
    <row r="114" ht="12.75" spans="1:1">
      <c r="A114" s="65"/>
    </row>
    <row r="115" ht="12.75" spans="1:1">
      <c r="A115" s="65"/>
    </row>
    <row r="116" ht="12.75" spans="1:1">
      <c r="A116" s="65"/>
    </row>
    <row r="117" ht="12.75" spans="1:1">
      <c r="A117" s="65"/>
    </row>
    <row r="118" ht="12.75" spans="1:1">
      <c r="A118" s="65"/>
    </row>
    <row r="119" ht="12.75" spans="1:1">
      <c r="A119" s="65"/>
    </row>
    <row r="120" ht="12.75" spans="1:1">
      <c r="A120" s="65"/>
    </row>
    <row r="121" ht="12.75" spans="1:1">
      <c r="A121" s="65"/>
    </row>
    <row r="122" ht="12.75" spans="1:1">
      <c r="A122" s="65"/>
    </row>
    <row r="123" ht="12.75" spans="1:1">
      <c r="A123" s="65"/>
    </row>
    <row r="124" ht="12.75" spans="1:1">
      <c r="A124" s="65"/>
    </row>
    <row r="125" ht="12.75" spans="1:1">
      <c r="A125" s="65"/>
    </row>
    <row r="126" ht="12.75" spans="1:1">
      <c r="A126" s="65"/>
    </row>
    <row r="127" ht="12.75" spans="1:1">
      <c r="A127" s="65"/>
    </row>
    <row r="128" ht="12.75" spans="1:1">
      <c r="A128" s="65"/>
    </row>
    <row r="129" ht="12.75" spans="1:1">
      <c r="A129" s="65"/>
    </row>
    <row r="130" ht="12.75" spans="1:1">
      <c r="A130" s="65"/>
    </row>
    <row r="131" ht="12.75" spans="1:1">
      <c r="A131" s="65"/>
    </row>
    <row r="132" ht="12.75" spans="1:1">
      <c r="A132" s="65"/>
    </row>
    <row r="133" ht="12.75" spans="1:1">
      <c r="A133" s="65"/>
    </row>
    <row r="134" ht="12.75" spans="1:1">
      <c r="A134" s="65"/>
    </row>
    <row r="135" ht="12.75" spans="1:1">
      <c r="A135" s="65"/>
    </row>
    <row r="136" ht="12.75" spans="1:1">
      <c r="A136" s="65"/>
    </row>
    <row r="137" ht="12.75" spans="1:1">
      <c r="A137" s="65"/>
    </row>
    <row r="138" ht="12.75" spans="1:1">
      <c r="A138" s="65"/>
    </row>
    <row r="139" ht="12.75" spans="1:1">
      <c r="A139" s="65"/>
    </row>
    <row r="140" ht="12.75" spans="1:1">
      <c r="A140" s="65"/>
    </row>
    <row r="141" ht="12.75" spans="1:1">
      <c r="A141" s="65"/>
    </row>
    <row r="142" ht="12.75" spans="1:1">
      <c r="A142" s="65"/>
    </row>
    <row r="143" ht="12.75" spans="1:1">
      <c r="A143" s="65"/>
    </row>
    <row r="144" ht="12.75" spans="1:1">
      <c r="A144" s="65"/>
    </row>
    <row r="145" ht="12.75" spans="1:1">
      <c r="A145" s="65"/>
    </row>
    <row r="146" ht="12.75" spans="1:1">
      <c r="A146" s="65"/>
    </row>
    <row r="147" ht="12.75" spans="1:1">
      <c r="A147" s="65"/>
    </row>
    <row r="148" ht="12.75" spans="1:1">
      <c r="A148" s="65"/>
    </row>
    <row r="149" ht="12.75" spans="1:1">
      <c r="A149" s="65"/>
    </row>
    <row r="150" ht="12.75" spans="1:1">
      <c r="A150" s="65"/>
    </row>
    <row r="151" ht="12.75" spans="1:1">
      <c r="A151" s="65"/>
    </row>
    <row r="152" ht="12.75" spans="1:1">
      <c r="A152" s="65"/>
    </row>
    <row r="153" ht="12.75" spans="1:1">
      <c r="A153" s="65"/>
    </row>
    <row r="154" ht="12.75" spans="1:1">
      <c r="A154" s="65"/>
    </row>
    <row r="155" ht="12.75" spans="1:1">
      <c r="A155" s="65"/>
    </row>
    <row r="156" ht="12.75" spans="1:1">
      <c r="A156" s="65"/>
    </row>
    <row r="157" ht="12.75" spans="1:1">
      <c r="A157" s="65"/>
    </row>
    <row r="158" ht="12.75" spans="1:1">
      <c r="A158" s="65"/>
    </row>
    <row r="159" ht="12.75" spans="1:1">
      <c r="A159" s="65"/>
    </row>
    <row r="160" ht="12.75" spans="1:1">
      <c r="A160" s="65"/>
    </row>
    <row r="161" ht="12.75" spans="1:1">
      <c r="A161" s="65"/>
    </row>
    <row r="162" ht="12.75" spans="1:1">
      <c r="A162" s="65"/>
    </row>
    <row r="163" ht="12.75" spans="1:1">
      <c r="A163" s="65"/>
    </row>
    <row r="164" ht="12.75" spans="1:1">
      <c r="A164" s="65"/>
    </row>
    <row r="165" ht="12.75" spans="1:1">
      <c r="A165" s="65"/>
    </row>
    <row r="166" ht="12.75" spans="1:1">
      <c r="A166" s="65"/>
    </row>
    <row r="167" ht="12.75" spans="1:1">
      <c r="A167" s="65"/>
    </row>
    <row r="168" ht="12.75" spans="1:1">
      <c r="A168" s="65"/>
    </row>
    <row r="169" ht="12.75" spans="1:1">
      <c r="A169" s="65"/>
    </row>
    <row r="170" ht="12.75" spans="1:1">
      <c r="A170" s="65"/>
    </row>
    <row r="171" ht="12.75" spans="1:1">
      <c r="A171" s="65"/>
    </row>
    <row r="172" ht="12.75" spans="1:1">
      <c r="A172" s="65"/>
    </row>
    <row r="173" ht="12.75" spans="1:1">
      <c r="A173" s="65"/>
    </row>
    <row r="174" ht="12.75" spans="1:1">
      <c r="A174" s="65"/>
    </row>
    <row r="175" ht="12.75" spans="1:1">
      <c r="A175" s="65"/>
    </row>
    <row r="176" ht="12.75" spans="1:1">
      <c r="A176" s="65"/>
    </row>
    <row r="177" ht="12.75" spans="1:1">
      <c r="A177" s="65"/>
    </row>
    <row r="178" ht="12.75" spans="1:1">
      <c r="A178" s="65"/>
    </row>
    <row r="179" ht="12.75" spans="1:1">
      <c r="A179" s="65"/>
    </row>
    <row r="180" ht="12.75" spans="1:1">
      <c r="A180" s="65"/>
    </row>
    <row r="181" ht="12.75" spans="1:1">
      <c r="A181" s="65"/>
    </row>
    <row r="182" ht="12.75" spans="1:1">
      <c r="A182" s="65"/>
    </row>
    <row r="183" ht="12.75" spans="1:1">
      <c r="A183" s="65"/>
    </row>
    <row r="184" ht="12.75" spans="1:1">
      <c r="A184" s="65"/>
    </row>
    <row r="185" ht="12.75" spans="1:1">
      <c r="A185" s="65"/>
    </row>
    <row r="186" ht="12.75" spans="1:1">
      <c r="A186" s="65"/>
    </row>
    <row r="187" ht="12.75" spans="1:1">
      <c r="A187" s="65"/>
    </row>
    <row r="188" ht="12.75" spans="1:1">
      <c r="A188" s="65"/>
    </row>
    <row r="189" ht="12.75" spans="1:1">
      <c r="A189" s="65"/>
    </row>
    <row r="190" ht="12.75" spans="1:1">
      <c r="A190" s="65"/>
    </row>
    <row r="191" ht="12.75" spans="1:1">
      <c r="A191" s="65"/>
    </row>
    <row r="192" ht="12.75" spans="1:1">
      <c r="A192" s="65"/>
    </row>
    <row r="193" ht="12.75" spans="1:1">
      <c r="A193" s="65"/>
    </row>
    <row r="194" ht="12.75" spans="1:1">
      <c r="A194" s="65"/>
    </row>
    <row r="195" ht="12.75" spans="1:1">
      <c r="A195" s="65"/>
    </row>
    <row r="196" ht="12.75" spans="1:1">
      <c r="A196" s="65"/>
    </row>
    <row r="197" ht="12.75" spans="1:1">
      <c r="A197" s="65"/>
    </row>
    <row r="198" ht="12.75" spans="1:1">
      <c r="A198" s="65"/>
    </row>
    <row r="199" ht="12.75" spans="1:1">
      <c r="A199" s="65"/>
    </row>
    <row r="200" ht="12.75" spans="1:1">
      <c r="A200" s="65"/>
    </row>
    <row r="201" ht="12.75" spans="1:1">
      <c r="A201" s="65"/>
    </row>
    <row r="202" ht="12.75" spans="1:1">
      <c r="A202" s="65"/>
    </row>
    <row r="203" ht="12.75" spans="1:1">
      <c r="A203" s="65"/>
    </row>
    <row r="204" ht="12.75" spans="1:1">
      <c r="A204" s="65"/>
    </row>
    <row r="205" ht="12.75" spans="1:1">
      <c r="A205" s="65"/>
    </row>
  </sheetData>
  <mergeCells count="16">
    <mergeCell ref="A1:F1"/>
    <mergeCell ref="G1:J1"/>
    <mergeCell ref="L1:N1"/>
    <mergeCell ref="A4:A6"/>
    <mergeCell ref="A7:A10"/>
    <mergeCell ref="A11:A14"/>
    <mergeCell ref="A15:A18"/>
    <mergeCell ref="A20:A22"/>
    <mergeCell ref="A26:A27"/>
    <mergeCell ref="J26:J27"/>
    <mergeCell ref="L4:L6"/>
    <mergeCell ref="L7:L10"/>
    <mergeCell ref="L11:L14"/>
    <mergeCell ref="L15:L18"/>
    <mergeCell ref="L20:L22"/>
    <mergeCell ref="L26:L27"/>
  </mergeCells>
  <dataValidations count="3">
    <dataValidation type="list" allowBlank="1" showInputMessage="1" showErrorMessage="1" sqref="L7 L11 L15 A4:A1048576 K3:K27 L3:L4 L19:L20 L23:L26">
      <formula1>"自孵部,签约部,培训部,外采部,商务中台,运营中台,总经办+财务部,财务部,技术中台,内容中台,AI中台,数据中台,"</formula1>
    </dataValidation>
    <dataValidation type="list" allowBlank="1" showInputMessage="1" showErrorMessage="1" sqref="B3:B27">
      <formula1>"新增需求,替补需求,储备需求,上个月未交付延期本月,临时新增,"</formula1>
    </dataValidation>
    <dataValidation type="list" allowBlank="1" showInputMessage="1" showErrorMessage="1" sqref="E3:E27">
      <formula1>"社招,校招,社招&amp;校招,"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7"/>
  <dimension ref="A1:J197"/>
  <sheetViews>
    <sheetView workbookViewId="0">
      <selection activeCell="A1" sqref="A1:F1"/>
    </sheetView>
  </sheetViews>
  <sheetFormatPr defaultColWidth="14" defaultRowHeight="18" customHeight="1"/>
  <cols>
    <col min="6" max="6" width="38.0285714285714" customWidth="1"/>
    <col min="10" max="10" width="15.6380952380952" customWidth="1"/>
  </cols>
  <sheetData>
    <row r="1" ht="17.25" spans="1:7">
      <c r="A1" s="6" t="s">
        <v>0</v>
      </c>
      <c r="G1" s="109" t="s">
        <v>75</v>
      </c>
    </row>
    <row r="2" spans="1:10">
      <c r="A2" s="742" t="s">
        <v>160</v>
      </c>
      <c r="B2" s="743"/>
      <c r="C2" s="69"/>
      <c r="D2" s="69"/>
      <c r="E2" s="69"/>
      <c r="F2" s="69"/>
      <c r="G2" s="744" t="s">
        <v>161</v>
      </c>
      <c r="H2" s="745"/>
      <c r="I2" s="745"/>
      <c r="J2" s="765"/>
    </row>
    <row r="3" ht="16.5" spans="1:10">
      <c r="A3" s="257" t="s">
        <v>4</v>
      </c>
      <c r="B3" s="199" t="s">
        <v>78</v>
      </c>
      <c r="C3" s="199" t="s">
        <v>8</v>
      </c>
      <c r="D3" s="199" t="s">
        <v>9</v>
      </c>
      <c r="E3" s="199" t="s">
        <v>10</v>
      </c>
      <c r="F3" s="746" t="s">
        <v>11</v>
      </c>
      <c r="G3" s="747" t="s">
        <v>12</v>
      </c>
      <c r="H3" s="291" t="s">
        <v>13</v>
      </c>
      <c r="I3" s="291" t="s">
        <v>14</v>
      </c>
      <c r="J3" s="766" t="s">
        <v>162</v>
      </c>
    </row>
    <row r="4" ht="16.5" spans="1:10">
      <c r="A4" s="780" t="s">
        <v>25</v>
      </c>
      <c r="B4" s="210" t="s">
        <v>18</v>
      </c>
      <c r="C4" s="210" t="s">
        <v>85</v>
      </c>
      <c r="D4" s="210">
        <v>10</v>
      </c>
      <c r="E4" s="210" t="s">
        <v>30</v>
      </c>
      <c r="F4" s="748" t="s">
        <v>163</v>
      </c>
      <c r="G4" s="261">
        <v>8</v>
      </c>
      <c r="H4" s="210">
        <v>8</v>
      </c>
      <c r="I4" s="210">
        <v>6</v>
      </c>
      <c r="J4" s="794">
        <v>79</v>
      </c>
    </row>
    <row r="5" ht="16.5" spans="1:10">
      <c r="A5" s="780" t="s">
        <v>25</v>
      </c>
      <c r="B5" s="210" t="s">
        <v>21</v>
      </c>
      <c r="C5" s="210" t="s">
        <v>130</v>
      </c>
      <c r="D5" s="210">
        <v>3</v>
      </c>
      <c r="E5" s="210" t="s">
        <v>23</v>
      </c>
      <c r="F5" s="748" t="s">
        <v>164</v>
      </c>
      <c r="G5" s="261">
        <v>8</v>
      </c>
      <c r="H5" s="210">
        <v>5</v>
      </c>
      <c r="I5" s="210">
        <v>5</v>
      </c>
      <c r="J5" s="795"/>
    </row>
    <row r="6" ht="16.5" spans="1:10">
      <c r="A6" s="780" t="s">
        <v>25</v>
      </c>
      <c r="B6" s="210" t="s">
        <v>18</v>
      </c>
      <c r="C6" s="210" t="s">
        <v>110</v>
      </c>
      <c r="D6" s="210">
        <v>1</v>
      </c>
      <c r="E6" s="210" t="s">
        <v>30</v>
      </c>
      <c r="F6" s="263" t="s">
        <v>165</v>
      </c>
      <c r="G6" s="261">
        <v>0</v>
      </c>
      <c r="H6" s="210">
        <v>1</v>
      </c>
      <c r="I6" s="210">
        <v>2</v>
      </c>
      <c r="J6" s="795"/>
    </row>
    <row r="7" ht="16.5" spans="1:10">
      <c r="A7" s="780" t="s">
        <v>25</v>
      </c>
      <c r="B7" s="210" t="s">
        <v>116</v>
      </c>
      <c r="C7" s="210" t="s">
        <v>166</v>
      </c>
      <c r="D7" s="210" t="s">
        <v>116</v>
      </c>
      <c r="E7" s="210" t="s">
        <v>116</v>
      </c>
      <c r="F7" s="263"/>
      <c r="G7" s="261" t="s">
        <v>116</v>
      </c>
      <c r="H7" s="210" t="s">
        <v>116</v>
      </c>
      <c r="I7" s="210">
        <v>1</v>
      </c>
      <c r="J7" s="795"/>
    </row>
    <row r="8" ht="16.5" spans="1:10">
      <c r="A8" s="780" t="s">
        <v>25</v>
      </c>
      <c r="B8" s="210" t="s">
        <v>116</v>
      </c>
      <c r="C8" s="210" t="s">
        <v>167</v>
      </c>
      <c r="D8" s="210" t="s">
        <v>116</v>
      </c>
      <c r="E8" s="210" t="s">
        <v>116</v>
      </c>
      <c r="F8" s="263"/>
      <c r="G8" s="261" t="s">
        <v>116</v>
      </c>
      <c r="H8" s="210" t="s">
        <v>116</v>
      </c>
      <c r="I8" s="210">
        <v>1</v>
      </c>
      <c r="J8" s="796"/>
    </row>
    <row r="9" ht="27.75" customHeight="1" spans="1:10">
      <c r="A9" s="781" t="s">
        <v>43</v>
      </c>
      <c r="B9" s="222" t="s">
        <v>21</v>
      </c>
      <c r="C9" s="222" t="s">
        <v>133</v>
      </c>
      <c r="D9" s="222">
        <v>1</v>
      </c>
      <c r="E9" s="222" t="s">
        <v>23</v>
      </c>
      <c r="F9" s="750" t="s">
        <v>100</v>
      </c>
      <c r="G9" s="265" t="s">
        <v>116</v>
      </c>
      <c r="H9" s="222" t="s">
        <v>116</v>
      </c>
      <c r="I9" s="222">
        <v>0</v>
      </c>
      <c r="J9" s="797">
        <v>15</v>
      </c>
    </row>
    <row r="10" ht="42" customHeight="1" spans="1:10">
      <c r="A10" s="781" t="s">
        <v>43</v>
      </c>
      <c r="B10" s="222" t="s">
        <v>21</v>
      </c>
      <c r="C10" s="222" t="s">
        <v>70</v>
      </c>
      <c r="D10" s="222">
        <v>1</v>
      </c>
      <c r="E10" s="222" t="s">
        <v>23</v>
      </c>
      <c r="F10" s="750" t="s">
        <v>134</v>
      </c>
      <c r="G10" s="265" t="s">
        <v>116</v>
      </c>
      <c r="H10" s="222" t="s">
        <v>116</v>
      </c>
      <c r="I10" s="222">
        <v>0</v>
      </c>
      <c r="J10" s="796"/>
    </row>
    <row r="11" ht="16.5" spans="1:10">
      <c r="A11" s="782" t="s">
        <v>16</v>
      </c>
      <c r="B11" s="205" t="s">
        <v>18</v>
      </c>
      <c r="C11" s="205" t="s">
        <v>19</v>
      </c>
      <c r="D11" s="205">
        <v>2</v>
      </c>
      <c r="E11" s="205" t="s">
        <v>23</v>
      </c>
      <c r="F11" s="752" t="s">
        <v>137</v>
      </c>
      <c r="G11" s="269">
        <v>1</v>
      </c>
      <c r="H11" s="205">
        <v>1</v>
      </c>
      <c r="I11" s="205">
        <v>2</v>
      </c>
      <c r="J11" s="798">
        <v>59</v>
      </c>
    </row>
    <row r="12" ht="16.5" spans="1:10">
      <c r="A12" s="782" t="s">
        <v>16</v>
      </c>
      <c r="B12" s="205" t="s">
        <v>168</v>
      </c>
      <c r="C12" s="205" t="s">
        <v>113</v>
      </c>
      <c r="D12" s="205" t="s">
        <v>116</v>
      </c>
      <c r="E12" s="205" t="s">
        <v>23</v>
      </c>
      <c r="F12" s="752" t="s">
        <v>169</v>
      </c>
      <c r="G12" s="269">
        <v>1</v>
      </c>
      <c r="H12" s="205">
        <v>1</v>
      </c>
      <c r="I12" s="205">
        <v>0</v>
      </c>
      <c r="J12" s="795"/>
    </row>
    <row r="13" ht="16.5" spans="1:10">
      <c r="A13" s="782" t="s">
        <v>16</v>
      </c>
      <c r="B13" s="205" t="s">
        <v>168</v>
      </c>
      <c r="C13" s="205" t="s">
        <v>170</v>
      </c>
      <c r="D13" s="205" t="s">
        <v>116</v>
      </c>
      <c r="E13" s="205" t="s">
        <v>23</v>
      </c>
      <c r="F13" s="752" t="s">
        <v>171</v>
      </c>
      <c r="G13" s="269">
        <v>1</v>
      </c>
      <c r="H13" s="205">
        <v>1</v>
      </c>
      <c r="I13" s="205">
        <v>0</v>
      </c>
      <c r="J13" s="796"/>
    </row>
    <row r="14" ht="16.5" spans="1:10">
      <c r="A14" s="783" t="s">
        <v>34</v>
      </c>
      <c r="B14" s="216" t="s">
        <v>41</v>
      </c>
      <c r="C14" s="216" t="s">
        <v>142</v>
      </c>
      <c r="D14" s="216" t="s">
        <v>116</v>
      </c>
      <c r="E14" s="216" t="s">
        <v>20</v>
      </c>
      <c r="F14" s="755" t="s">
        <v>172</v>
      </c>
      <c r="G14" s="753">
        <v>1</v>
      </c>
      <c r="H14" s="754">
        <v>1</v>
      </c>
      <c r="I14" s="216">
        <v>0</v>
      </c>
      <c r="J14" s="771">
        <v>32</v>
      </c>
    </row>
    <row r="15" ht="16.5" spans="1:10">
      <c r="A15" s="783" t="s">
        <v>34</v>
      </c>
      <c r="B15" s="216" t="s">
        <v>41</v>
      </c>
      <c r="C15" s="216" t="s">
        <v>138</v>
      </c>
      <c r="D15" s="216" t="s">
        <v>116</v>
      </c>
      <c r="E15" s="216" t="s">
        <v>20</v>
      </c>
      <c r="F15" s="755" t="s">
        <v>172</v>
      </c>
      <c r="G15" s="753">
        <v>1</v>
      </c>
      <c r="H15" s="754">
        <v>1</v>
      </c>
      <c r="I15" s="216">
        <v>1</v>
      </c>
      <c r="J15" s="771"/>
    </row>
    <row r="16" ht="33" spans="1:10">
      <c r="A16" s="278" t="s">
        <v>101</v>
      </c>
      <c r="B16" s="227" t="s">
        <v>18</v>
      </c>
      <c r="C16" s="227" t="s">
        <v>61</v>
      </c>
      <c r="D16" s="227">
        <v>3</v>
      </c>
      <c r="E16" s="227" t="s">
        <v>20</v>
      </c>
      <c r="F16" s="756" t="s">
        <v>102</v>
      </c>
      <c r="G16" s="275">
        <v>6</v>
      </c>
      <c r="H16" s="227">
        <v>5</v>
      </c>
      <c r="I16" s="227">
        <v>1</v>
      </c>
      <c r="J16" s="773">
        <v>84</v>
      </c>
    </row>
    <row r="17" ht="33" spans="1:10">
      <c r="A17" s="278" t="s">
        <v>101</v>
      </c>
      <c r="B17" s="227" t="s">
        <v>18</v>
      </c>
      <c r="C17" s="227" t="s">
        <v>32</v>
      </c>
      <c r="D17" s="227">
        <v>1</v>
      </c>
      <c r="E17" s="227" t="s">
        <v>20</v>
      </c>
      <c r="F17" s="756" t="s">
        <v>104</v>
      </c>
      <c r="G17" s="275">
        <v>1</v>
      </c>
      <c r="H17" s="227">
        <v>1</v>
      </c>
      <c r="I17" s="227">
        <v>2</v>
      </c>
      <c r="J17" s="773"/>
    </row>
    <row r="18" ht="33" spans="1:10">
      <c r="A18" s="278" t="s">
        <v>101</v>
      </c>
      <c r="B18" s="227" t="s">
        <v>21</v>
      </c>
      <c r="C18" s="227" t="s">
        <v>61</v>
      </c>
      <c r="D18" s="227">
        <v>2</v>
      </c>
      <c r="E18" s="227" t="s">
        <v>20</v>
      </c>
      <c r="F18" s="756" t="s">
        <v>102</v>
      </c>
      <c r="G18" s="275" t="s">
        <v>116</v>
      </c>
      <c r="H18" s="227" t="s">
        <v>116</v>
      </c>
      <c r="I18" s="227" t="s">
        <v>116</v>
      </c>
      <c r="J18" s="773"/>
    </row>
    <row r="19" ht="33" spans="1:10">
      <c r="A19" s="278" t="s">
        <v>101</v>
      </c>
      <c r="B19" s="227" t="s">
        <v>21</v>
      </c>
      <c r="C19" s="227" t="s">
        <v>32</v>
      </c>
      <c r="D19" s="227">
        <v>3</v>
      </c>
      <c r="E19" s="227" t="s">
        <v>20</v>
      </c>
      <c r="F19" s="756" t="s">
        <v>104</v>
      </c>
      <c r="G19" s="275" t="s">
        <v>116</v>
      </c>
      <c r="H19" s="227" t="s">
        <v>116</v>
      </c>
      <c r="I19" s="227" t="s">
        <v>116</v>
      </c>
      <c r="J19" s="770"/>
    </row>
    <row r="20" ht="16.5" spans="1:10">
      <c r="A20" s="784" t="s">
        <v>40</v>
      </c>
      <c r="B20" s="230" t="s">
        <v>21</v>
      </c>
      <c r="C20" s="230" t="s">
        <v>110</v>
      </c>
      <c r="D20" s="230">
        <v>1</v>
      </c>
      <c r="E20" s="230" t="s">
        <v>23</v>
      </c>
      <c r="F20" s="758" t="s">
        <v>147</v>
      </c>
      <c r="G20" s="280">
        <v>1</v>
      </c>
      <c r="H20" s="230">
        <v>0</v>
      </c>
      <c r="I20" s="230">
        <v>0</v>
      </c>
      <c r="J20" s="775">
        <v>20</v>
      </c>
    </row>
    <row r="21" ht="27.75" customHeight="1" spans="1:10">
      <c r="A21" s="785" t="s">
        <v>112</v>
      </c>
      <c r="B21" s="233" t="s">
        <v>21</v>
      </c>
      <c r="C21" s="233" t="s">
        <v>150</v>
      </c>
      <c r="D21" s="233">
        <v>1</v>
      </c>
      <c r="E21" s="233" t="s">
        <v>23</v>
      </c>
      <c r="F21" s="759" t="s">
        <v>173</v>
      </c>
      <c r="G21" s="283" t="s">
        <v>116</v>
      </c>
      <c r="H21" s="233" t="s">
        <v>116</v>
      </c>
      <c r="I21" s="233" t="s">
        <v>116</v>
      </c>
      <c r="J21" s="799">
        <v>7</v>
      </c>
    </row>
    <row r="22" ht="16.5" spans="1:10">
      <c r="A22" s="785" t="s">
        <v>112</v>
      </c>
      <c r="B22" s="233" t="s">
        <v>168</v>
      </c>
      <c r="C22" s="233" t="s">
        <v>130</v>
      </c>
      <c r="D22" s="233" t="s">
        <v>116</v>
      </c>
      <c r="E22" s="233" t="s">
        <v>23</v>
      </c>
      <c r="F22" s="759"/>
      <c r="G22" s="283">
        <v>1</v>
      </c>
      <c r="H22" s="233">
        <v>2</v>
      </c>
      <c r="I22" s="233">
        <v>1</v>
      </c>
      <c r="J22" s="796"/>
    </row>
    <row r="23" ht="16.5" spans="1:10">
      <c r="A23" s="786" t="s">
        <v>115</v>
      </c>
      <c r="B23" s="237"/>
      <c r="C23" s="237" t="s">
        <v>116</v>
      </c>
      <c r="D23" s="237" t="s">
        <v>116</v>
      </c>
      <c r="E23" s="237"/>
      <c r="F23" s="787" t="s">
        <v>116</v>
      </c>
      <c r="G23" s="286" t="s">
        <v>116</v>
      </c>
      <c r="H23" s="237" t="s">
        <v>116</v>
      </c>
      <c r="I23" s="237" t="s">
        <v>116</v>
      </c>
      <c r="J23" s="777">
        <v>7</v>
      </c>
    </row>
    <row r="24" ht="16.5" spans="1:10">
      <c r="A24" s="783" t="s">
        <v>118</v>
      </c>
      <c r="B24" s="216"/>
      <c r="C24" s="216" t="s">
        <v>116</v>
      </c>
      <c r="D24" s="216" t="s">
        <v>116</v>
      </c>
      <c r="E24" s="216"/>
      <c r="F24" s="755" t="s">
        <v>116</v>
      </c>
      <c r="G24" s="272" t="s">
        <v>116</v>
      </c>
      <c r="H24" s="216" t="s">
        <v>116</v>
      </c>
      <c r="I24" s="216" t="s">
        <v>116</v>
      </c>
      <c r="J24" s="800">
        <v>2</v>
      </c>
    </row>
    <row r="25" ht="16.5" spans="1:10">
      <c r="A25" s="788" t="s">
        <v>49</v>
      </c>
      <c r="B25" s="240" t="s">
        <v>18</v>
      </c>
      <c r="C25" s="240" t="s">
        <v>119</v>
      </c>
      <c r="D25" s="240">
        <v>2</v>
      </c>
      <c r="E25" s="240" t="s">
        <v>20</v>
      </c>
      <c r="F25" s="761" t="s">
        <v>174</v>
      </c>
      <c r="G25" s="293">
        <v>4</v>
      </c>
      <c r="H25" s="240">
        <v>1</v>
      </c>
      <c r="I25" s="240">
        <v>0</v>
      </c>
      <c r="J25" s="801">
        <v>22</v>
      </c>
    </row>
    <row r="26" ht="16.5" spans="1:10">
      <c r="A26" s="788" t="s">
        <v>49</v>
      </c>
      <c r="B26" s="240" t="s">
        <v>116</v>
      </c>
      <c r="C26" s="240" t="s">
        <v>175</v>
      </c>
      <c r="D26" s="240" t="s">
        <v>116</v>
      </c>
      <c r="E26" s="240"/>
      <c r="F26" s="295"/>
      <c r="G26" s="293" t="s">
        <v>116</v>
      </c>
      <c r="H26" s="240" t="s">
        <v>116</v>
      </c>
      <c r="I26" s="240">
        <v>1</v>
      </c>
      <c r="J26" s="795"/>
    </row>
    <row r="27" ht="16.5" spans="1:10">
      <c r="A27" s="788" t="s">
        <v>49</v>
      </c>
      <c r="B27" s="240" t="s">
        <v>21</v>
      </c>
      <c r="C27" s="240" t="s">
        <v>176</v>
      </c>
      <c r="D27" s="240">
        <v>1</v>
      </c>
      <c r="E27" s="240" t="s">
        <v>23</v>
      </c>
      <c r="F27" s="761" t="s">
        <v>124</v>
      </c>
      <c r="G27" s="293" t="s">
        <v>116</v>
      </c>
      <c r="H27" s="240" t="s">
        <v>116</v>
      </c>
      <c r="I27" s="240" t="s">
        <v>116</v>
      </c>
      <c r="J27" s="795"/>
    </row>
    <row r="28" ht="27.75" customHeight="1" spans="1:10">
      <c r="A28" s="297" t="s">
        <v>49</v>
      </c>
      <c r="B28" s="242" t="s">
        <v>21</v>
      </c>
      <c r="C28" s="242" t="s">
        <v>157</v>
      </c>
      <c r="D28" s="242">
        <v>1</v>
      </c>
      <c r="E28" s="242" t="s">
        <v>23</v>
      </c>
      <c r="F28" s="789" t="s">
        <v>158</v>
      </c>
      <c r="G28" s="310" t="s">
        <v>116</v>
      </c>
      <c r="H28" s="242" t="s">
        <v>116</v>
      </c>
      <c r="I28" s="242" t="s">
        <v>116</v>
      </c>
      <c r="J28" s="795"/>
    </row>
    <row r="29" ht="13.5" spans="1:10">
      <c r="A29" s="790" t="s">
        <v>177</v>
      </c>
      <c r="B29" s="791"/>
      <c r="C29" s="791"/>
      <c r="D29" s="791">
        <f>SUM(D4:D28)</f>
        <v>33</v>
      </c>
      <c r="E29" s="791"/>
      <c r="F29" s="792"/>
      <c r="G29" s="793">
        <f>SUM(G4:G28)</f>
        <v>34</v>
      </c>
      <c r="H29" s="791">
        <f>SUM(H4:H28)</f>
        <v>28</v>
      </c>
      <c r="I29" s="791">
        <f>SUM(I4:I28)</f>
        <v>23</v>
      </c>
      <c r="J29" s="792">
        <f>SUM(J4:J28)</f>
        <v>327</v>
      </c>
    </row>
    <row r="30" ht="12.75" spans="1:1">
      <c r="A30" s="65"/>
    </row>
    <row r="31" ht="12.75" spans="1:1">
      <c r="A31" s="65"/>
    </row>
    <row r="32" ht="12.75" spans="1:1">
      <c r="A32" s="65"/>
    </row>
    <row r="33" ht="12.75" spans="1:1">
      <c r="A33" s="65"/>
    </row>
    <row r="34" ht="12.75" spans="1:1">
      <c r="A34" s="65"/>
    </row>
    <row r="35" ht="12.75" spans="1:1">
      <c r="A35" s="65"/>
    </row>
    <row r="36" ht="12.75" spans="1:1">
      <c r="A36" s="65"/>
    </row>
    <row r="37" ht="12.75" spans="1:1">
      <c r="A37" s="65"/>
    </row>
    <row r="38" ht="12.75" spans="1:1">
      <c r="A38" s="65"/>
    </row>
    <row r="39" ht="12.75" spans="1:1">
      <c r="A39" s="65"/>
    </row>
    <row r="40" ht="12.75" spans="1:1">
      <c r="A40" s="65"/>
    </row>
    <row r="41" ht="12.75" spans="1:1">
      <c r="A41" s="65"/>
    </row>
    <row r="42" ht="12.75" spans="1:1">
      <c r="A42" s="65"/>
    </row>
    <row r="43" ht="12.75" spans="1:1">
      <c r="A43" s="65"/>
    </row>
    <row r="44" ht="12.75" spans="1:1">
      <c r="A44" s="65"/>
    </row>
    <row r="45" ht="12.75" spans="1:1">
      <c r="A45" s="65"/>
    </row>
    <row r="46" ht="12.75" spans="1:1">
      <c r="A46" s="65"/>
    </row>
    <row r="47" ht="12.75" spans="1:1">
      <c r="A47" s="65"/>
    </row>
    <row r="48" ht="12.75" spans="1:1">
      <c r="A48" s="65"/>
    </row>
    <row r="49" ht="12.75" spans="1:1">
      <c r="A49" s="65"/>
    </row>
    <row r="50" ht="12.75" spans="1:1">
      <c r="A50" s="65"/>
    </row>
    <row r="51" ht="12.75" spans="1:1">
      <c r="A51" s="65"/>
    </row>
    <row r="52" ht="12.75" spans="1:1">
      <c r="A52" s="65"/>
    </row>
    <row r="53" ht="12.75" spans="1:1">
      <c r="A53" s="65"/>
    </row>
    <row r="54" ht="12.75" spans="1:1">
      <c r="A54" s="65"/>
    </row>
    <row r="55" ht="12.75" spans="1:1">
      <c r="A55" s="65"/>
    </row>
    <row r="56" ht="12.75" spans="1:1">
      <c r="A56" s="65"/>
    </row>
    <row r="57" ht="12.75" spans="1:1">
      <c r="A57" s="65"/>
    </row>
    <row r="58" ht="12.75" spans="1:1">
      <c r="A58" s="65"/>
    </row>
    <row r="59" ht="12.75" spans="1:1">
      <c r="A59" s="65"/>
    </row>
    <row r="60" ht="12.75" spans="1:1">
      <c r="A60" s="65"/>
    </row>
    <row r="61" ht="12.75" spans="1:1">
      <c r="A61" s="65"/>
    </row>
    <row r="62" ht="12.75" spans="1:1">
      <c r="A62" s="65"/>
    </row>
    <row r="63" ht="12.75" spans="1:1">
      <c r="A63" s="65"/>
    </row>
    <row r="64" ht="12.75" spans="1:1">
      <c r="A64" s="65"/>
    </row>
    <row r="65" ht="12.75" spans="1:1">
      <c r="A65" s="65"/>
    </row>
    <row r="66" ht="12.75" spans="1:1">
      <c r="A66" s="65"/>
    </row>
    <row r="67" ht="12.75" spans="1:1">
      <c r="A67" s="65"/>
    </row>
    <row r="68" ht="12.75" spans="1:1">
      <c r="A68" s="65"/>
    </row>
    <row r="69" ht="12.75" spans="1:1">
      <c r="A69" s="65"/>
    </row>
    <row r="70" ht="12.75" spans="1:1">
      <c r="A70" s="65"/>
    </row>
    <row r="71" ht="12.75" spans="1:1">
      <c r="A71" s="65"/>
    </row>
    <row r="72" ht="12.75" spans="1:1">
      <c r="A72" s="65"/>
    </row>
    <row r="73" ht="12.75" spans="1:1">
      <c r="A73" s="65"/>
    </row>
    <row r="74" ht="12.75" spans="1:1">
      <c r="A74" s="65"/>
    </row>
    <row r="75" ht="12.75" spans="1:1">
      <c r="A75" s="65"/>
    </row>
    <row r="76" ht="12.75" spans="1:1">
      <c r="A76" s="65"/>
    </row>
    <row r="77" ht="12.75" spans="1:1">
      <c r="A77" s="65"/>
    </row>
    <row r="78" ht="12.75" spans="1:1">
      <c r="A78" s="65"/>
    </row>
    <row r="79" ht="12.75" spans="1:1">
      <c r="A79" s="65"/>
    </row>
    <row r="80" ht="12.75" spans="1:1">
      <c r="A80" s="65"/>
    </row>
    <row r="81" ht="12.75" spans="1:1">
      <c r="A81" s="65"/>
    </row>
    <row r="82" ht="12.75" spans="1:1">
      <c r="A82" s="65"/>
    </row>
    <row r="83" ht="12.75" spans="1:1">
      <c r="A83" s="65"/>
    </row>
    <row r="84" ht="12.75" spans="1:1">
      <c r="A84" s="65"/>
    </row>
    <row r="85" ht="12.75" spans="1:1">
      <c r="A85" s="65"/>
    </row>
    <row r="86" ht="12.75" spans="1:1">
      <c r="A86" s="65"/>
    </row>
    <row r="87" ht="12.75" spans="1:1">
      <c r="A87" s="65"/>
    </row>
    <row r="88" ht="12.75" spans="1:1">
      <c r="A88" s="65"/>
    </row>
    <row r="89" ht="12.75" spans="1:1">
      <c r="A89" s="65"/>
    </row>
    <row r="90" ht="12.75" spans="1:1">
      <c r="A90" s="65"/>
    </row>
    <row r="91" ht="12.75" spans="1:1">
      <c r="A91" s="65"/>
    </row>
    <row r="92" ht="12.75" spans="1:1">
      <c r="A92" s="65"/>
    </row>
    <row r="93" ht="12.75" spans="1:1">
      <c r="A93" s="65"/>
    </row>
    <row r="94" ht="12.75" spans="1:1">
      <c r="A94" s="65"/>
    </row>
    <row r="95" ht="12.75" spans="1:1">
      <c r="A95" s="65"/>
    </row>
    <row r="96" ht="12.75" spans="1:1">
      <c r="A96" s="65"/>
    </row>
    <row r="97" ht="12.75" spans="1:1">
      <c r="A97" s="65"/>
    </row>
    <row r="98" ht="12.75" spans="1:1">
      <c r="A98" s="65"/>
    </row>
    <row r="99" ht="12.75" spans="1:1">
      <c r="A99" s="65"/>
    </row>
    <row r="100" ht="12.75" spans="1:1">
      <c r="A100" s="65"/>
    </row>
    <row r="101" ht="12.75" spans="1:1">
      <c r="A101" s="65"/>
    </row>
    <row r="102" ht="12.75" spans="1:1">
      <c r="A102" s="65"/>
    </row>
    <row r="103" ht="12.75" spans="1:1">
      <c r="A103" s="65"/>
    </row>
    <row r="104" ht="12.75" spans="1:1">
      <c r="A104" s="65"/>
    </row>
    <row r="105" ht="12.75" spans="1:1">
      <c r="A105" s="65"/>
    </row>
    <row r="106" ht="12.75" spans="1:1">
      <c r="A106" s="65"/>
    </row>
    <row r="107" ht="12.75" spans="1:1">
      <c r="A107" s="65"/>
    </row>
    <row r="108" ht="12.75" spans="1:1">
      <c r="A108" s="65"/>
    </row>
    <row r="109" ht="12.75" spans="1:1">
      <c r="A109" s="65"/>
    </row>
    <row r="110" ht="12.75" spans="1:1">
      <c r="A110" s="65"/>
    </row>
    <row r="111" ht="12.75" spans="1:1">
      <c r="A111" s="65"/>
    </row>
    <row r="112" ht="12.75" spans="1:1">
      <c r="A112" s="65"/>
    </row>
    <row r="113" ht="12.75" spans="1:1">
      <c r="A113" s="65"/>
    </row>
    <row r="114" ht="12.75" spans="1:1">
      <c r="A114" s="65"/>
    </row>
    <row r="115" ht="12.75" spans="1:1">
      <c r="A115" s="65"/>
    </row>
    <row r="116" ht="12.75" spans="1:1">
      <c r="A116" s="65"/>
    </row>
    <row r="117" ht="12.75" spans="1:1">
      <c r="A117" s="65"/>
    </row>
    <row r="118" ht="12.75" spans="1:1">
      <c r="A118" s="65"/>
    </row>
    <row r="119" ht="12.75" spans="1:1">
      <c r="A119" s="65"/>
    </row>
    <row r="120" ht="12.75" spans="1:1">
      <c r="A120" s="65"/>
    </row>
    <row r="121" ht="12.75" spans="1:1">
      <c r="A121" s="65"/>
    </row>
    <row r="122" ht="12.75" spans="1:1">
      <c r="A122" s="65"/>
    </row>
    <row r="123" ht="12.75" spans="1:1">
      <c r="A123" s="65"/>
    </row>
    <row r="124" ht="12.75" spans="1:1">
      <c r="A124" s="65"/>
    </row>
    <row r="125" ht="12.75" spans="1:1">
      <c r="A125" s="65"/>
    </row>
    <row r="126" ht="12.75" spans="1:1">
      <c r="A126" s="65"/>
    </row>
    <row r="127" ht="12.75" spans="1:1">
      <c r="A127" s="65"/>
    </row>
    <row r="128" ht="12.75" spans="1:1">
      <c r="A128" s="65"/>
    </row>
    <row r="129" ht="12.75" spans="1:1">
      <c r="A129" s="65"/>
    </row>
    <row r="130" ht="12.75" spans="1:1">
      <c r="A130" s="65"/>
    </row>
    <row r="131" ht="12.75" spans="1:1">
      <c r="A131" s="65"/>
    </row>
    <row r="132" ht="12.75" spans="1:1">
      <c r="A132" s="65"/>
    </row>
    <row r="133" ht="12.75" spans="1:1">
      <c r="A133" s="65"/>
    </row>
    <row r="134" ht="12.75" spans="1:1">
      <c r="A134" s="65"/>
    </row>
    <row r="135" ht="12.75" spans="1:1">
      <c r="A135" s="65"/>
    </row>
    <row r="136" ht="12.75" spans="1:1">
      <c r="A136" s="65"/>
    </row>
    <row r="137" ht="12.75" spans="1:1">
      <c r="A137" s="65"/>
    </row>
    <row r="138" ht="12.75" spans="1:1">
      <c r="A138" s="65"/>
    </row>
    <row r="139" ht="12.75" spans="1:1">
      <c r="A139" s="65"/>
    </row>
    <row r="140" ht="12.75" spans="1:1">
      <c r="A140" s="65"/>
    </row>
    <row r="141" ht="12.75" spans="1:1">
      <c r="A141" s="65"/>
    </row>
    <row r="142" ht="12.75" spans="1:1">
      <c r="A142" s="65"/>
    </row>
    <row r="143" ht="12.75" spans="1:1">
      <c r="A143" s="65"/>
    </row>
    <row r="144" ht="12.75" spans="1:1">
      <c r="A144" s="65"/>
    </row>
    <row r="145" ht="12.75" spans="1:1">
      <c r="A145" s="65"/>
    </row>
    <row r="146" ht="12.75" spans="1:1">
      <c r="A146" s="65"/>
    </row>
    <row r="147" ht="12.75" spans="1:1">
      <c r="A147" s="65"/>
    </row>
    <row r="148" ht="12.75" spans="1:1">
      <c r="A148" s="65"/>
    </row>
    <row r="149" ht="12.75" spans="1:1">
      <c r="A149" s="65"/>
    </row>
    <row r="150" ht="12.75" spans="1:1">
      <c r="A150" s="65"/>
    </row>
    <row r="151" ht="12.75" spans="1:1">
      <c r="A151" s="65"/>
    </row>
    <row r="152" ht="12.75" spans="1:1">
      <c r="A152" s="65"/>
    </row>
    <row r="153" ht="12.75" spans="1:1">
      <c r="A153" s="65"/>
    </row>
    <row r="154" ht="12.75" spans="1:1">
      <c r="A154" s="65"/>
    </row>
    <row r="155" ht="12.75" spans="1:1">
      <c r="A155" s="65"/>
    </row>
    <row r="156" ht="12.75" spans="1:1">
      <c r="A156" s="65"/>
    </row>
    <row r="157" ht="12.75" spans="1:1">
      <c r="A157" s="65"/>
    </row>
    <row r="158" ht="12.75" spans="1:1">
      <c r="A158" s="65"/>
    </row>
    <row r="159" ht="12.75" spans="1:1">
      <c r="A159" s="65"/>
    </row>
    <row r="160" ht="12.75" spans="1:1">
      <c r="A160" s="65"/>
    </row>
    <row r="161" ht="12.75" spans="1:1">
      <c r="A161" s="65"/>
    </row>
    <row r="162" ht="12.75" spans="1:1">
      <c r="A162" s="65"/>
    </row>
    <row r="163" ht="12.75" spans="1:1">
      <c r="A163" s="65"/>
    </row>
    <row r="164" ht="12.75" spans="1:1">
      <c r="A164" s="65"/>
    </row>
    <row r="165" ht="12.75" spans="1:1">
      <c r="A165" s="65"/>
    </row>
    <row r="166" ht="12.75" spans="1:1">
      <c r="A166" s="65"/>
    </row>
    <row r="167" ht="12.75" spans="1:1">
      <c r="A167" s="65"/>
    </row>
    <row r="168" ht="12.75" spans="1:1">
      <c r="A168" s="65"/>
    </row>
    <row r="169" ht="12.75" spans="1:1">
      <c r="A169" s="65"/>
    </row>
    <row r="170" ht="12.75" spans="1:1">
      <c r="A170" s="65"/>
    </row>
    <row r="171" ht="12.75" spans="1:1">
      <c r="A171" s="65"/>
    </row>
    <row r="172" ht="12.75" spans="1:1">
      <c r="A172" s="65"/>
    </row>
    <row r="173" ht="12.75" spans="1:1">
      <c r="A173" s="65"/>
    </row>
    <row r="174" ht="12.75" spans="1:1">
      <c r="A174" s="65"/>
    </row>
    <row r="175" ht="12.75" spans="1:1">
      <c r="A175" s="65"/>
    </row>
    <row r="176" ht="12.75" spans="1:1">
      <c r="A176" s="65"/>
    </row>
    <row r="177" ht="12.75" spans="1:1">
      <c r="A177" s="65"/>
    </row>
    <row r="178" ht="12.75" spans="1:1">
      <c r="A178" s="65"/>
    </row>
    <row r="179" ht="12.75" spans="1:1">
      <c r="A179" s="65"/>
    </row>
    <row r="180" ht="12.75" spans="1:1">
      <c r="A180" s="65"/>
    </row>
    <row r="181" ht="12.75" spans="1:1">
      <c r="A181" s="65"/>
    </row>
    <row r="182" ht="12.75" spans="1:1">
      <c r="A182" s="65"/>
    </row>
    <row r="183" ht="12.75" spans="1:1">
      <c r="A183" s="65"/>
    </row>
    <row r="184" ht="12.75" spans="1:1">
      <c r="A184" s="65"/>
    </row>
    <row r="185" ht="12.75" spans="1:1">
      <c r="A185" s="65"/>
    </row>
    <row r="186" ht="12.75" spans="1:1">
      <c r="A186" s="65"/>
    </row>
    <row r="187" ht="12.75" spans="1:1">
      <c r="A187" s="65"/>
    </row>
    <row r="188" ht="12.75" spans="1:1">
      <c r="A188" s="65"/>
    </row>
    <row r="189" ht="12.75" spans="1:1">
      <c r="A189" s="65"/>
    </row>
    <row r="190" ht="12.75" spans="1:1">
      <c r="A190" s="65"/>
    </row>
    <row r="191" ht="12.75" spans="1:1">
      <c r="A191" s="65"/>
    </row>
    <row r="192" ht="12.75" spans="1:1">
      <c r="A192" s="65"/>
    </row>
    <row r="193" ht="12.75" spans="1:1">
      <c r="A193" s="65"/>
    </row>
    <row r="194" ht="12.75" spans="1:1">
      <c r="A194" s="65"/>
    </row>
    <row r="195" ht="12.75" spans="1:1">
      <c r="A195" s="65"/>
    </row>
    <row r="196" ht="12.75" spans="1:1">
      <c r="A196" s="65"/>
    </row>
    <row r="197" ht="12.75" spans="1:1">
      <c r="A197" s="65"/>
    </row>
  </sheetData>
  <mergeCells count="11">
    <mergeCell ref="A1:F1"/>
    <mergeCell ref="G1:J1"/>
    <mergeCell ref="A2:F2"/>
    <mergeCell ref="G2:J2"/>
    <mergeCell ref="J4:J8"/>
    <mergeCell ref="J9:J10"/>
    <mergeCell ref="J11:J13"/>
    <mergeCell ref="J14:J15"/>
    <mergeCell ref="J16:J19"/>
    <mergeCell ref="J21:J22"/>
    <mergeCell ref="J25:J28"/>
  </mergeCells>
  <dataValidations count="3">
    <dataValidation type="list" allowBlank="1" showInputMessage="1" showErrorMessage="1" sqref="A4:A1048576">
      <formula1>"自孵部,签约部,培训部,外采部,商务中台,运营中台,总经办+财务部,财务部,技术中台,内容中台,总计,AI中台,"</formula1>
    </dataValidation>
    <dataValidation type="list" allowBlank="1" showInputMessage="1" showErrorMessage="1" sqref="B4:B6 B9:B25 B27:B28">
      <formula1>"新增需求,替补需求,储备需求,上个月未交付延期本月,临时新增,"</formula1>
    </dataValidation>
    <dataValidation type="list" allowBlank="1" showInputMessage="1" showErrorMessage="1" sqref="E4:E6 E9:E25 E27:E28">
      <formula1>"社招,校招,社招&amp;校招,"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6"/>
  <dimension ref="A1:P30"/>
  <sheetViews>
    <sheetView workbookViewId="0">
      <selection activeCell="A1" sqref="A1:F1"/>
    </sheetView>
  </sheetViews>
  <sheetFormatPr defaultColWidth="14" defaultRowHeight="18" customHeight="1"/>
  <cols>
    <col min="3" max="3" width="23.3333333333333" customWidth="1"/>
    <col min="6" max="6" width="22.5238095238095" customWidth="1"/>
    <col min="10" max="10" width="19.9619047619048" customWidth="1"/>
  </cols>
  <sheetData>
    <row r="1" ht="17.25" spans="1:8">
      <c r="A1" s="6" t="s">
        <v>0</v>
      </c>
      <c r="G1" s="109"/>
      <c r="H1" s="109" t="s">
        <v>1</v>
      </c>
    </row>
    <row r="2" spans="1:10">
      <c r="A2" s="742" t="s">
        <v>178</v>
      </c>
      <c r="B2" s="743"/>
      <c r="C2" s="69"/>
      <c r="D2" s="69"/>
      <c r="E2" s="69"/>
      <c r="F2" s="69"/>
      <c r="G2" s="744" t="s">
        <v>179</v>
      </c>
      <c r="H2" s="745"/>
      <c r="I2" s="745"/>
      <c r="J2" s="765"/>
    </row>
    <row r="3" ht="16.5" spans="1:10">
      <c r="A3" s="393"/>
      <c r="B3" s="393" t="s">
        <v>18</v>
      </c>
      <c r="C3" s="199" t="s">
        <v>8</v>
      </c>
      <c r="D3" s="199" t="s">
        <v>9</v>
      </c>
      <c r="E3" s="199" t="s">
        <v>10</v>
      </c>
      <c r="F3" s="746" t="s">
        <v>11</v>
      </c>
      <c r="G3" s="747" t="s">
        <v>12</v>
      </c>
      <c r="H3" s="291" t="s">
        <v>13</v>
      </c>
      <c r="I3" s="291" t="s">
        <v>14</v>
      </c>
      <c r="J3" s="766" t="s">
        <v>180</v>
      </c>
    </row>
    <row r="4" ht="16.5" spans="1:10">
      <c r="A4" s="210" t="s">
        <v>25</v>
      </c>
      <c r="B4" s="210" t="s">
        <v>168</v>
      </c>
      <c r="C4" s="210" t="s">
        <v>181</v>
      </c>
      <c r="D4" s="210">
        <v>2</v>
      </c>
      <c r="E4" s="210" t="s">
        <v>20</v>
      </c>
      <c r="F4" s="748" t="s">
        <v>182</v>
      </c>
      <c r="G4" s="261">
        <v>3</v>
      </c>
      <c r="H4" s="210">
        <v>2</v>
      </c>
      <c r="I4" s="210"/>
      <c r="J4" s="767"/>
    </row>
    <row r="5" ht="16.5" spans="1:10">
      <c r="A5" s="210"/>
      <c r="B5" s="749" t="s">
        <v>168</v>
      </c>
      <c r="C5" s="375" t="s">
        <v>183</v>
      </c>
      <c r="D5" s="375"/>
      <c r="E5" s="556" t="s">
        <v>20</v>
      </c>
      <c r="F5" s="748"/>
      <c r="G5" s="261">
        <v>1</v>
      </c>
      <c r="H5" s="210">
        <v>1</v>
      </c>
      <c r="I5" s="210"/>
      <c r="J5" s="767"/>
    </row>
    <row r="6" ht="16.5" spans="1:10">
      <c r="A6" s="210"/>
      <c r="B6" s="749" t="s">
        <v>168</v>
      </c>
      <c r="C6" s="375" t="s">
        <v>184</v>
      </c>
      <c r="D6" s="375"/>
      <c r="E6" s="556" t="s">
        <v>20</v>
      </c>
      <c r="F6" s="748"/>
      <c r="G6" s="261">
        <v>1</v>
      </c>
      <c r="H6" s="210">
        <v>1</v>
      </c>
      <c r="I6" s="210"/>
      <c r="J6" s="767"/>
    </row>
    <row r="7" ht="16.5" spans="1:10">
      <c r="A7" s="222" t="s">
        <v>43</v>
      </c>
      <c r="B7" s="222" t="s">
        <v>21</v>
      </c>
      <c r="C7" s="222" t="s">
        <v>185</v>
      </c>
      <c r="D7" s="222">
        <v>1</v>
      </c>
      <c r="E7" s="222" t="s">
        <v>23</v>
      </c>
      <c r="F7" s="750"/>
      <c r="G7" s="265"/>
      <c r="H7" s="222"/>
      <c r="I7" s="222"/>
      <c r="J7" s="768"/>
    </row>
    <row r="8" ht="33" spans="1:10">
      <c r="A8" s="751"/>
      <c r="B8" s="222" t="s">
        <v>72</v>
      </c>
      <c r="C8" s="222" t="s">
        <v>186</v>
      </c>
      <c r="D8" s="222">
        <v>2</v>
      </c>
      <c r="E8" s="222" t="s">
        <v>20</v>
      </c>
      <c r="F8" s="750" t="s">
        <v>187</v>
      </c>
      <c r="G8" s="265">
        <v>3</v>
      </c>
      <c r="H8" s="222">
        <v>3</v>
      </c>
      <c r="I8" s="222"/>
      <c r="J8" s="768"/>
    </row>
    <row r="9" ht="27.75" customHeight="1" spans="1:10">
      <c r="A9" s="751"/>
      <c r="B9" s="222" t="s">
        <v>21</v>
      </c>
      <c r="C9" s="222" t="s">
        <v>186</v>
      </c>
      <c r="D9" s="222">
        <v>1</v>
      </c>
      <c r="E9" s="222" t="s">
        <v>20</v>
      </c>
      <c r="F9" s="750" t="s">
        <v>188</v>
      </c>
      <c r="G9" s="265"/>
      <c r="H9" s="222"/>
      <c r="I9" s="222"/>
      <c r="J9" s="768"/>
    </row>
    <row r="10" ht="33" spans="1:10">
      <c r="A10" s="563" t="s">
        <v>16</v>
      </c>
      <c r="B10" s="331" t="s">
        <v>18</v>
      </c>
      <c r="C10" s="331" t="s">
        <v>19</v>
      </c>
      <c r="D10" s="331">
        <v>3</v>
      </c>
      <c r="E10" s="564" t="s">
        <v>23</v>
      </c>
      <c r="F10" s="752" t="s">
        <v>137</v>
      </c>
      <c r="G10" s="269">
        <v>3</v>
      </c>
      <c r="H10" s="205">
        <v>2</v>
      </c>
      <c r="I10" s="205"/>
      <c r="J10" s="769"/>
    </row>
    <row r="11" ht="49.5" spans="1:10">
      <c r="A11" s="563"/>
      <c r="B11" s="331" t="s">
        <v>18</v>
      </c>
      <c r="C11" s="331" t="s">
        <v>113</v>
      </c>
      <c r="D11" s="331">
        <v>1</v>
      </c>
      <c r="E11" s="564" t="s">
        <v>23</v>
      </c>
      <c r="F11" s="752" t="s">
        <v>189</v>
      </c>
      <c r="G11" s="269">
        <v>1</v>
      </c>
      <c r="H11" s="205">
        <v>1</v>
      </c>
      <c r="I11" s="205"/>
      <c r="J11" s="770"/>
    </row>
    <row r="12" ht="25.5" customHeight="1" spans="1:16">
      <c r="A12" s="563"/>
      <c r="B12" s="331" t="s">
        <v>168</v>
      </c>
      <c r="C12" s="331" t="s">
        <v>24</v>
      </c>
      <c r="D12" s="331"/>
      <c r="E12" s="564"/>
      <c r="F12" s="752" t="s">
        <v>116</v>
      </c>
      <c r="G12" s="753">
        <v>1</v>
      </c>
      <c r="H12" s="754">
        <v>1</v>
      </c>
      <c r="I12" s="216"/>
      <c r="J12" s="771"/>
      <c r="K12" s="772"/>
      <c r="L12" s="4"/>
      <c r="M12" s="4"/>
      <c r="N12" s="4"/>
      <c r="O12" s="4"/>
      <c r="P12" s="4"/>
    </row>
    <row r="13" ht="25.5" customHeight="1" spans="1:16">
      <c r="A13" s="565" t="s">
        <v>34</v>
      </c>
      <c r="B13" s="220" t="s">
        <v>18</v>
      </c>
      <c r="C13" s="220" t="s">
        <v>36</v>
      </c>
      <c r="D13" s="220">
        <v>2</v>
      </c>
      <c r="E13" s="566" t="s">
        <v>20</v>
      </c>
      <c r="F13" s="755" t="s">
        <v>104</v>
      </c>
      <c r="G13" s="753">
        <v>2</v>
      </c>
      <c r="H13" s="754">
        <v>2</v>
      </c>
      <c r="I13" s="216"/>
      <c r="J13" s="771"/>
      <c r="K13" s="4"/>
      <c r="L13" s="4"/>
      <c r="M13" s="4"/>
      <c r="N13" s="4"/>
      <c r="O13" s="4"/>
      <c r="P13" s="4"/>
    </row>
    <row r="14" ht="49.5" spans="1:10">
      <c r="A14" s="227" t="s">
        <v>101</v>
      </c>
      <c r="B14" s="227" t="s">
        <v>18</v>
      </c>
      <c r="C14" s="227" t="s">
        <v>32</v>
      </c>
      <c r="D14" s="227">
        <v>4</v>
      </c>
      <c r="E14" s="227" t="s">
        <v>20</v>
      </c>
      <c r="F14" s="756" t="s">
        <v>104</v>
      </c>
      <c r="G14" s="275">
        <v>3</v>
      </c>
      <c r="H14" s="227">
        <v>4</v>
      </c>
      <c r="I14" s="227"/>
      <c r="J14" s="773"/>
    </row>
    <row r="15" ht="16.5" spans="1:10">
      <c r="A15" s="227"/>
      <c r="B15" s="227" t="s">
        <v>168</v>
      </c>
      <c r="C15" s="227" t="s">
        <v>190</v>
      </c>
      <c r="D15" s="227"/>
      <c r="E15" s="227" t="s">
        <v>23</v>
      </c>
      <c r="F15" s="756"/>
      <c r="G15" s="275">
        <v>2</v>
      </c>
      <c r="H15" s="227">
        <v>1</v>
      </c>
      <c r="I15" s="227"/>
      <c r="J15" s="773"/>
    </row>
    <row r="16" ht="66" spans="1:10">
      <c r="A16" s="276"/>
      <c r="B16" s="227" t="s">
        <v>18</v>
      </c>
      <c r="C16" s="227" t="s">
        <v>61</v>
      </c>
      <c r="D16" s="227">
        <v>6</v>
      </c>
      <c r="E16" s="227" t="s">
        <v>20</v>
      </c>
      <c r="F16" s="756" t="s">
        <v>102</v>
      </c>
      <c r="G16" s="275">
        <v>5</v>
      </c>
      <c r="H16" s="227">
        <v>3</v>
      </c>
      <c r="I16" s="227"/>
      <c r="J16" s="773"/>
    </row>
    <row r="17" ht="16.5" spans="1:10">
      <c r="A17" s="227"/>
      <c r="B17" s="227" t="s">
        <v>168</v>
      </c>
      <c r="C17" s="339" t="s">
        <v>191</v>
      </c>
      <c r="D17" s="227"/>
      <c r="E17" s="227" t="s">
        <v>20</v>
      </c>
      <c r="F17" s="756"/>
      <c r="G17" s="275">
        <v>1</v>
      </c>
      <c r="H17" s="227">
        <v>1</v>
      </c>
      <c r="I17" s="227"/>
      <c r="J17" s="773"/>
    </row>
    <row r="18" ht="66" spans="1:10">
      <c r="A18" s="757"/>
      <c r="B18" s="227" t="s">
        <v>21</v>
      </c>
      <c r="C18" s="227" t="s">
        <v>61</v>
      </c>
      <c r="D18" s="227">
        <v>4</v>
      </c>
      <c r="E18" s="227" t="s">
        <v>20</v>
      </c>
      <c r="F18" s="756" t="s">
        <v>102</v>
      </c>
      <c r="G18" s="275"/>
      <c r="H18" s="227"/>
      <c r="I18" s="227"/>
      <c r="J18" s="774"/>
    </row>
    <row r="19" ht="49.5" spans="1:10">
      <c r="A19" s="230" t="s">
        <v>40</v>
      </c>
      <c r="B19" s="230" t="s">
        <v>18</v>
      </c>
      <c r="C19" s="230" t="s">
        <v>192</v>
      </c>
      <c r="D19" s="230">
        <v>1</v>
      </c>
      <c r="E19" s="230" t="s">
        <v>20</v>
      </c>
      <c r="F19" s="758" t="s">
        <v>193</v>
      </c>
      <c r="G19" s="280">
        <v>1</v>
      </c>
      <c r="H19" s="230">
        <v>1</v>
      </c>
      <c r="I19" s="230"/>
      <c r="J19" s="775"/>
    </row>
    <row r="20" ht="33" spans="1:10">
      <c r="A20" s="281"/>
      <c r="B20" s="230" t="s">
        <v>72</v>
      </c>
      <c r="C20" s="230" t="s">
        <v>194</v>
      </c>
      <c r="D20" s="230">
        <v>1</v>
      </c>
      <c r="E20" s="230" t="s">
        <v>20</v>
      </c>
      <c r="F20" s="758" t="s">
        <v>147</v>
      </c>
      <c r="G20" s="280"/>
      <c r="H20" s="230">
        <v>1</v>
      </c>
      <c r="I20" s="230"/>
      <c r="J20" s="775"/>
    </row>
    <row r="21" ht="214.5" spans="1:10">
      <c r="A21" s="230"/>
      <c r="B21" s="230" t="s">
        <v>168</v>
      </c>
      <c r="C21" s="230" t="s">
        <v>105</v>
      </c>
      <c r="D21" s="230">
        <v>1</v>
      </c>
      <c r="E21" s="230" t="s">
        <v>20</v>
      </c>
      <c r="F21" s="758" t="s">
        <v>195</v>
      </c>
      <c r="G21" s="280">
        <v>1</v>
      </c>
      <c r="H21" s="230">
        <v>1</v>
      </c>
      <c r="I21" s="230"/>
      <c r="J21" s="775"/>
    </row>
    <row r="22" ht="27.75" customHeight="1" spans="1:10">
      <c r="A22" s="233" t="s">
        <v>112</v>
      </c>
      <c r="B22" s="233" t="s">
        <v>21</v>
      </c>
      <c r="C22" s="233" t="s">
        <v>196</v>
      </c>
      <c r="D22" s="233">
        <v>1</v>
      </c>
      <c r="E22" s="233" t="s">
        <v>23</v>
      </c>
      <c r="F22" s="759" t="s">
        <v>197</v>
      </c>
      <c r="G22" s="283"/>
      <c r="H22" s="233"/>
      <c r="I22" s="233"/>
      <c r="J22" s="776"/>
    </row>
    <row r="23" ht="27.75" customHeight="1" spans="1:10">
      <c r="A23" s="751"/>
      <c r="B23" s="233" t="s">
        <v>168</v>
      </c>
      <c r="C23" s="233" t="s">
        <v>130</v>
      </c>
      <c r="D23" s="233">
        <v>2</v>
      </c>
      <c r="E23" s="233" t="s">
        <v>20</v>
      </c>
      <c r="F23" s="759" t="s">
        <v>198</v>
      </c>
      <c r="G23" s="283">
        <v>1</v>
      </c>
      <c r="H23" s="233"/>
      <c r="I23" s="233"/>
      <c r="J23" s="776"/>
    </row>
    <row r="24" ht="33" spans="1:10">
      <c r="A24" s="751"/>
      <c r="B24" s="233" t="s">
        <v>21</v>
      </c>
      <c r="C24" s="233" t="s">
        <v>199</v>
      </c>
      <c r="D24" s="233">
        <v>1</v>
      </c>
      <c r="E24" s="233" t="s">
        <v>23</v>
      </c>
      <c r="F24" s="759" t="s">
        <v>173</v>
      </c>
      <c r="G24" s="283"/>
      <c r="H24" s="233"/>
      <c r="I24" s="233"/>
      <c r="J24" s="776"/>
    </row>
    <row r="25" ht="16.5" spans="1:10">
      <c r="A25" s="289" t="s">
        <v>118</v>
      </c>
      <c r="B25" s="632" t="s">
        <v>168</v>
      </c>
      <c r="C25" s="264" t="s">
        <v>200</v>
      </c>
      <c r="D25" s="264"/>
      <c r="E25" s="576" t="s">
        <v>20</v>
      </c>
      <c r="F25" s="760">
        <v>1</v>
      </c>
      <c r="G25" s="286">
        <v>1</v>
      </c>
      <c r="H25" s="237">
        <v>1</v>
      </c>
      <c r="I25" s="237"/>
      <c r="J25" s="777"/>
    </row>
    <row r="26" ht="16.5" spans="1:10">
      <c r="A26" s="240" t="s">
        <v>49</v>
      </c>
      <c r="B26" s="240" t="s">
        <v>18</v>
      </c>
      <c r="C26" s="240" t="s">
        <v>119</v>
      </c>
      <c r="D26" s="240">
        <v>1</v>
      </c>
      <c r="E26" s="240" t="s">
        <v>23</v>
      </c>
      <c r="F26" s="761" t="s">
        <v>201</v>
      </c>
      <c r="G26" s="293">
        <v>1</v>
      </c>
      <c r="H26" s="240"/>
      <c r="I26" s="240"/>
      <c r="J26" s="778"/>
    </row>
    <row r="27" ht="16.5" spans="2:10">
      <c r="B27" s="359" t="s">
        <v>72</v>
      </c>
      <c r="C27" s="359" t="s">
        <v>175</v>
      </c>
      <c r="D27" s="359"/>
      <c r="E27" s="585" t="s">
        <v>23</v>
      </c>
      <c r="F27" s="761" t="s">
        <v>202</v>
      </c>
      <c r="G27" s="293">
        <v>1</v>
      </c>
      <c r="H27" s="240">
        <v>1</v>
      </c>
      <c r="I27" s="240"/>
      <c r="J27" s="774"/>
    </row>
    <row r="28" ht="17.25" spans="2:10">
      <c r="B28" s="588" t="s">
        <v>72</v>
      </c>
      <c r="C28" s="588" t="s">
        <v>203</v>
      </c>
      <c r="D28" s="588"/>
      <c r="E28" s="589" t="s">
        <v>23</v>
      </c>
      <c r="F28" s="761" t="s">
        <v>204</v>
      </c>
      <c r="G28" s="762"/>
      <c r="H28" s="763">
        <v>1</v>
      </c>
      <c r="I28" s="763"/>
      <c r="J28" s="779"/>
    </row>
    <row r="29" ht="33" spans="1:6">
      <c r="A29" s="764"/>
      <c r="B29" s="240" t="s">
        <v>21</v>
      </c>
      <c r="C29" s="240" t="s">
        <v>176</v>
      </c>
      <c r="D29" s="240">
        <v>1</v>
      </c>
      <c r="E29" s="240" t="s">
        <v>23</v>
      </c>
      <c r="F29" s="761" t="s">
        <v>124</v>
      </c>
    </row>
    <row r="30" ht="49.5" spans="1:6">
      <c r="A30" s="240"/>
      <c r="B30" s="240" t="s">
        <v>21</v>
      </c>
      <c r="C30" s="240" t="s">
        <v>157</v>
      </c>
      <c r="D30" s="240">
        <v>1</v>
      </c>
      <c r="E30" s="240" t="s">
        <v>23</v>
      </c>
      <c r="F30" s="761" t="s">
        <v>158</v>
      </c>
    </row>
  </sheetData>
  <mergeCells count="14">
    <mergeCell ref="A1:F1"/>
    <mergeCell ref="H1:J1"/>
    <mergeCell ref="A2:F2"/>
    <mergeCell ref="G2:J2"/>
    <mergeCell ref="A7:A9"/>
    <mergeCell ref="A14:A18"/>
    <mergeCell ref="A19:A20"/>
    <mergeCell ref="A22:A24"/>
    <mergeCell ref="J8:J9"/>
    <mergeCell ref="J10:J11"/>
    <mergeCell ref="J12:J13"/>
    <mergeCell ref="J14:J18"/>
    <mergeCell ref="J19:J20"/>
    <mergeCell ref="J26:J28"/>
  </mergeCells>
  <dataValidations count="5">
    <dataValidation type="list" allowBlank="1" showInputMessage="1" showErrorMessage="1" sqref="A13">
      <formula1>"自孵部,签约部,培训部,外采部,商务部,运营中台,总经办+财务部,财务部,技术部,"</formula1>
    </dataValidation>
    <dataValidation type="list" allowBlank="1" showInputMessage="1" showErrorMessage="1" sqref="A17 A19 A26 A30 A3:A7 A14:A15 A21:A22">
      <formula1>"自孵部,签约部,培训部,外采部,商务中台,运营中台,总经办+财务部,财务部,技术中台,内容中台,"</formula1>
    </dataValidation>
    <dataValidation type="list" allowBlank="1" showInputMessage="1" showErrorMessage="1" sqref="A25 A10:A12">
      <formula1>"自孵部,签约部,培训部,外采部,商务中台,运营中台,总经办+财务部,财务部,技术中台,内容中台,AI中台,"</formula1>
    </dataValidation>
    <dataValidation type="list" allowBlank="1" showInputMessage="1" showErrorMessage="1" sqref="B3:B30">
      <formula1>"新增需求,替补需求,储备需求,上个月未交付延期本月,临时新增,"</formula1>
    </dataValidation>
    <dataValidation type="list" allowBlank="1" showInputMessage="1" showErrorMessage="1" sqref="E4:E30">
      <formula1>"社招,校招,社招&amp;校招,"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5"/>
  <dimension ref="A1:W35"/>
  <sheetViews>
    <sheetView workbookViewId="0">
      <selection activeCell="A1" sqref="A1:F1"/>
    </sheetView>
  </sheetViews>
  <sheetFormatPr defaultColWidth="14" defaultRowHeight="18" customHeight="1"/>
  <cols>
    <col min="3" max="3" width="23.3333333333333" customWidth="1"/>
    <col min="6" max="6" width="45.9904761904762" customWidth="1"/>
    <col min="7" max="9" width="13.6761904761905"/>
    <col min="10" max="10" width="19.9619047619048" customWidth="1"/>
  </cols>
  <sheetData>
    <row r="1" ht="17.25" spans="1:8">
      <c r="A1" s="6" t="s">
        <v>0</v>
      </c>
      <c r="G1" s="109"/>
      <c r="H1" s="109" t="s">
        <v>1</v>
      </c>
    </row>
    <row r="2" spans="1:10">
      <c r="A2" s="95" t="s">
        <v>205</v>
      </c>
      <c r="B2" s="8"/>
      <c r="C2" s="9"/>
      <c r="D2" s="9"/>
      <c r="E2" s="9"/>
      <c r="F2" s="9"/>
      <c r="G2" s="682" t="s">
        <v>206</v>
      </c>
      <c r="H2" s="683"/>
      <c r="I2" s="683"/>
      <c r="J2" s="684"/>
    </row>
    <row r="3" ht="16.5" spans="1:10">
      <c r="A3" s="12"/>
      <c r="B3" s="12"/>
      <c r="C3" s="11" t="s">
        <v>8</v>
      </c>
      <c r="D3" s="11" t="s">
        <v>9</v>
      </c>
      <c r="E3" s="11" t="s">
        <v>10</v>
      </c>
      <c r="F3" s="656" t="s">
        <v>11</v>
      </c>
      <c r="G3" s="685" t="s">
        <v>12</v>
      </c>
      <c r="H3" s="686" t="s">
        <v>13</v>
      </c>
      <c r="I3" s="686" t="s">
        <v>14</v>
      </c>
      <c r="J3" s="687" t="s">
        <v>207</v>
      </c>
    </row>
    <row r="4" ht="16.5" spans="1:10">
      <c r="A4" s="22" t="s">
        <v>25</v>
      </c>
      <c r="B4" s="24" t="s">
        <v>18</v>
      </c>
      <c r="C4" s="24" t="s">
        <v>208</v>
      </c>
      <c r="D4" s="24">
        <v>15</v>
      </c>
      <c r="E4" s="24" t="s">
        <v>30</v>
      </c>
      <c r="F4" s="657"/>
      <c r="G4" s="688">
        <v>16</v>
      </c>
      <c r="H4" s="607">
        <v>16</v>
      </c>
      <c r="I4" s="607">
        <v>0</v>
      </c>
      <c r="J4" s="689">
        <v>90</v>
      </c>
    </row>
    <row r="5" ht="16.5" spans="1:10">
      <c r="A5" s="19"/>
      <c r="B5" s="24" t="s">
        <v>168</v>
      </c>
      <c r="C5" s="24" t="s">
        <v>132</v>
      </c>
      <c r="D5" s="24"/>
      <c r="E5" s="24" t="s">
        <v>23</v>
      </c>
      <c r="F5" s="657"/>
      <c r="G5" s="688">
        <v>1</v>
      </c>
      <c r="H5" s="607">
        <v>0</v>
      </c>
      <c r="I5" s="607">
        <v>0</v>
      </c>
      <c r="J5" s="690"/>
    </row>
    <row r="6" ht="16.5" spans="1:10">
      <c r="A6" s="19"/>
      <c r="B6" s="24" t="s">
        <v>168</v>
      </c>
      <c r="C6" s="24" t="s">
        <v>184</v>
      </c>
      <c r="D6" s="24"/>
      <c r="E6" s="24" t="s">
        <v>30</v>
      </c>
      <c r="F6" s="657"/>
      <c r="G6" s="688">
        <v>7</v>
      </c>
      <c r="H6" s="607">
        <v>6</v>
      </c>
      <c r="I6" s="607">
        <v>17</v>
      </c>
      <c r="J6" s="690"/>
    </row>
    <row r="7" ht="16.5" spans="1:10">
      <c r="A7" s="19"/>
      <c r="B7" s="24" t="s">
        <v>41</v>
      </c>
      <c r="C7" s="24" t="s">
        <v>130</v>
      </c>
      <c r="D7" s="24"/>
      <c r="E7" s="24" t="s">
        <v>30</v>
      </c>
      <c r="F7" s="657"/>
      <c r="G7" s="688">
        <v>0</v>
      </c>
      <c r="H7" s="607">
        <v>1</v>
      </c>
      <c r="I7" s="607">
        <v>2</v>
      </c>
      <c r="J7" s="690"/>
    </row>
    <row r="8" ht="16.5" spans="1:10">
      <c r="A8" s="46" t="s">
        <v>43</v>
      </c>
      <c r="B8" s="48" t="s">
        <v>18</v>
      </c>
      <c r="C8" s="48" t="s">
        <v>186</v>
      </c>
      <c r="D8" s="48">
        <v>1</v>
      </c>
      <c r="E8" s="48" t="s">
        <v>20</v>
      </c>
      <c r="F8" s="658" t="s">
        <v>187</v>
      </c>
      <c r="G8" s="691">
        <v>1</v>
      </c>
      <c r="H8" s="611">
        <v>1</v>
      </c>
      <c r="I8" s="611">
        <v>3</v>
      </c>
      <c r="J8" s="695">
        <v>41</v>
      </c>
    </row>
    <row r="9" ht="27.75" customHeight="1" spans="1:10">
      <c r="A9" s="19"/>
      <c r="B9" s="48" t="s">
        <v>18</v>
      </c>
      <c r="C9" s="48" t="s">
        <v>209</v>
      </c>
      <c r="D9" s="48">
        <v>1</v>
      </c>
      <c r="E9" s="48" t="s">
        <v>20</v>
      </c>
      <c r="F9" s="658" t="s">
        <v>188</v>
      </c>
      <c r="G9" s="691">
        <v>0</v>
      </c>
      <c r="H9" s="611">
        <v>0</v>
      </c>
      <c r="I9" s="611">
        <v>1</v>
      </c>
      <c r="J9" s="690"/>
    </row>
    <row r="10" ht="16.5" spans="1:10">
      <c r="A10" s="19"/>
      <c r="B10" s="48" t="s">
        <v>21</v>
      </c>
      <c r="C10" s="48" t="s">
        <v>210</v>
      </c>
      <c r="D10" s="48">
        <v>1</v>
      </c>
      <c r="E10" s="48" t="s">
        <v>23</v>
      </c>
      <c r="F10" s="658" t="s">
        <v>211</v>
      </c>
      <c r="G10" s="691">
        <v>0</v>
      </c>
      <c r="H10" s="611">
        <v>0</v>
      </c>
      <c r="I10" s="611">
        <v>0</v>
      </c>
      <c r="J10" s="690"/>
    </row>
    <row r="11" ht="16.5" spans="1:10">
      <c r="A11" s="15" t="s">
        <v>16</v>
      </c>
      <c r="B11" s="511" t="s">
        <v>18</v>
      </c>
      <c r="C11" s="511" t="s">
        <v>19</v>
      </c>
      <c r="D11" s="511">
        <v>5</v>
      </c>
      <c r="E11" s="511" t="s">
        <v>23</v>
      </c>
      <c r="F11" s="718" t="s">
        <v>137</v>
      </c>
      <c r="G11" s="719">
        <v>1</v>
      </c>
      <c r="H11" s="614">
        <v>1</v>
      </c>
      <c r="I11" s="614">
        <v>0</v>
      </c>
      <c r="J11" s="697">
        <v>57</v>
      </c>
    </row>
    <row r="12" ht="33" spans="1:10">
      <c r="A12" s="659"/>
      <c r="B12" s="511" t="s">
        <v>18</v>
      </c>
      <c r="C12" s="511" t="s">
        <v>113</v>
      </c>
      <c r="D12" s="511">
        <v>2</v>
      </c>
      <c r="E12" s="511" t="s">
        <v>23</v>
      </c>
      <c r="F12" s="718" t="s">
        <v>189</v>
      </c>
      <c r="G12" s="719">
        <v>0</v>
      </c>
      <c r="H12" s="614">
        <v>0</v>
      </c>
      <c r="I12" s="614">
        <v>1</v>
      </c>
      <c r="J12" s="694"/>
    </row>
    <row r="13" ht="16.5" spans="1:10">
      <c r="A13" s="659"/>
      <c r="B13" s="511" t="s">
        <v>18</v>
      </c>
      <c r="C13" s="511" t="s">
        <v>24</v>
      </c>
      <c r="D13" s="511">
        <v>2</v>
      </c>
      <c r="E13" s="511" t="s">
        <v>23</v>
      </c>
      <c r="F13" s="718" t="s">
        <v>212</v>
      </c>
      <c r="G13" s="719">
        <v>0</v>
      </c>
      <c r="H13" s="614">
        <v>0</v>
      </c>
      <c r="I13" s="614">
        <v>0</v>
      </c>
      <c r="J13" s="694"/>
    </row>
    <row r="14" ht="25.5" customHeight="1" spans="1:23">
      <c r="A14" s="515" t="s">
        <v>34</v>
      </c>
      <c r="B14" s="616" t="s">
        <v>18</v>
      </c>
      <c r="C14" s="616" t="s">
        <v>213</v>
      </c>
      <c r="D14" s="616">
        <v>3</v>
      </c>
      <c r="E14" s="616" t="s">
        <v>23</v>
      </c>
      <c r="F14" s="617" t="s">
        <v>214</v>
      </c>
      <c r="G14" s="642">
        <v>2</v>
      </c>
      <c r="H14" s="643">
        <v>2</v>
      </c>
      <c r="I14" s="515">
        <v>1</v>
      </c>
      <c r="J14" s="735">
        <v>26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25.5" customHeight="1" spans="1:23">
      <c r="A15" s="496"/>
      <c r="B15" s="720" t="s">
        <v>18</v>
      </c>
      <c r="C15" s="720" t="s">
        <v>215</v>
      </c>
      <c r="D15" s="720">
        <v>1</v>
      </c>
      <c r="E15" s="720" t="s">
        <v>23</v>
      </c>
      <c r="F15" s="721" t="s">
        <v>216</v>
      </c>
      <c r="G15" s="722">
        <v>0</v>
      </c>
      <c r="H15" s="723">
        <v>0</v>
      </c>
      <c r="I15" s="736">
        <v>0</v>
      </c>
      <c r="J15" s="73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25.5" customHeight="1" spans="1:23">
      <c r="A16" s="496"/>
      <c r="B16" s="515" t="s">
        <v>168</v>
      </c>
      <c r="C16" s="217" t="s">
        <v>217</v>
      </c>
      <c r="D16" s="217"/>
      <c r="E16" s="515" t="s">
        <v>23</v>
      </c>
      <c r="F16" s="724"/>
      <c r="G16" s="725">
        <v>0</v>
      </c>
      <c r="H16" s="643">
        <v>1</v>
      </c>
      <c r="I16" s="515">
        <v>0</v>
      </c>
      <c r="J16" s="7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25.5" customHeight="1" spans="1:23">
      <c r="A17" s="496"/>
      <c r="B17" s="515" t="s">
        <v>168</v>
      </c>
      <c r="C17" s="217" t="s">
        <v>142</v>
      </c>
      <c r="D17" s="217"/>
      <c r="E17" s="515" t="s">
        <v>23</v>
      </c>
      <c r="F17" s="724"/>
      <c r="G17" s="725">
        <v>1</v>
      </c>
      <c r="H17" s="643">
        <v>1</v>
      </c>
      <c r="I17" s="515">
        <v>1</v>
      </c>
      <c r="J17" s="7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25.5" customHeight="1" spans="1:23">
      <c r="A18" s="496"/>
      <c r="B18" s="515" t="s">
        <v>168</v>
      </c>
      <c r="C18" s="217" t="s">
        <v>36</v>
      </c>
      <c r="D18" s="217"/>
      <c r="E18" s="515" t="s">
        <v>23</v>
      </c>
      <c r="F18" s="724"/>
      <c r="G18" s="725">
        <v>1</v>
      </c>
      <c r="H18" s="643">
        <v>1</v>
      </c>
      <c r="I18" s="515">
        <v>1</v>
      </c>
      <c r="J18" s="7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33" spans="1:10">
      <c r="A19" s="99" t="s">
        <v>101</v>
      </c>
      <c r="B19" s="726" t="s">
        <v>18</v>
      </c>
      <c r="C19" s="726" t="s">
        <v>32</v>
      </c>
      <c r="D19" s="726">
        <v>6</v>
      </c>
      <c r="E19" s="726" t="s">
        <v>20</v>
      </c>
      <c r="F19" s="727" t="s">
        <v>104</v>
      </c>
      <c r="G19" s="728">
        <v>5</v>
      </c>
      <c r="H19" s="729">
        <v>4</v>
      </c>
      <c r="I19" s="729">
        <v>3</v>
      </c>
      <c r="J19" s="703">
        <v>86</v>
      </c>
    </row>
    <row r="20" ht="33" spans="1:10">
      <c r="A20" s="98"/>
      <c r="B20" s="31" t="s">
        <v>18</v>
      </c>
      <c r="C20" s="31" t="s">
        <v>61</v>
      </c>
      <c r="D20" s="31">
        <v>5</v>
      </c>
      <c r="E20" s="31" t="s">
        <v>20</v>
      </c>
      <c r="F20" s="665" t="s">
        <v>102</v>
      </c>
      <c r="G20" s="702">
        <v>4</v>
      </c>
      <c r="H20" s="619">
        <v>4</v>
      </c>
      <c r="I20" s="619">
        <v>4</v>
      </c>
      <c r="J20" s="703"/>
    </row>
    <row r="21" ht="16.5" spans="1:10">
      <c r="A21" s="659"/>
      <c r="B21" s="31" t="s">
        <v>18</v>
      </c>
      <c r="C21" s="31" t="s">
        <v>218</v>
      </c>
      <c r="D21" s="31">
        <v>1</v>
      </c>
      <c r="E21" s="31" t="s">
        <v>20</v>
      </c>
      <c r="F21" s="665" t="s">
        <v>219</v>
      </c>
      <c r="G21" s="702">
        <v>0</v>
      </c>
      <c r="H21" s="619">
        <v>0</v>
      </c>
      <c r="I21" s="619">
        <v>0</v>
      </c>
      <c r="J21" s="698"/>
    </row>
    <row r="22" ht="33" spans="1:10">
      <c r="A22" s="98"/>
      <c r="B22" s="31" t="s">
        <v>21</v>
      </c>
      <c r="C22" s="726" t="s">
        <v>32</v>
      </c>
      <c r="D22" s="31">
        <v>1</v>
      </c>
      <c r="E22" s="726" t="s">
        <v>20</v>
      </c>
      <c r="F22" s="727" t="s">
        <v>104</v>
      </c>
      <c r="G22" s="702">
        <v>0</v>
      </c>
      <c r="H22" s="619">
        <v>0</v>
      </c>
      <c r="I22" s="619">
        <v>0</v>
      </c>
      <c r="J22" s="703"/>
    </row>
    <row r="23" ht="16.5" spans="1:10">
      <c r="A23" s="41" t="s">
        <v>40</v>
      </c>
      <c r="B23" s="43" t="s">
        <v>21</v>
      </c>
      <c r="C23" s="43" t="s">
        <v>133</v>
      </c>
      <c r="D23" s="43" t="s">
        <v>220</v>
      </c>
      <c r="E23" s="43" t="s">
        <v>20</v>
      </c>
      <c r="F23" s="668" t="s">
        <v>193</v>
      </c>
      <c r="G23" s="701">
        <v>0</v>
      </c>
      <c r="H23" s="624">
        <v>0</v>
      </c>
      <c r="I23" s="624">
        <v>2</v>
      </c>
      <c r="J23" s="738">
        <v>16</v>
      </c>
    </row>
    <row r="24" ht="16.5" spans="1:10">
      <c r="A24" s="19"/>
      <c r="B24" s="43" t="s">
        <v>18</v>
      </c>
      <c r="C24" s="43" t="s">
        <v>110</v>
      </c>
      <c r="D24" s="43" t="s">
        <v>220</v>
      </c>
      <c r="E24" s="43" t="s">
        <v>20</v>
      </c>
      <c r="F24" s="668" t="s">
        <v>147</v>
      </c>
      <c r="G24" s="701">
        <v>2</v>
      </c>
      <c r="H24" s="624">
        <v>2</v>
      </c>
      <c r="I24" s="624">
        <v>0</v>
      </c>
      <c r="J24" s="690"/>
    </row>
    <row r="25" ht="16.5" spans="1:10">
      <c r="A25" s="19"/>
      <c r="B25" s="43" t="s">
        <v>72</v>
      </c>
      <c r="C25" s="230" t="s">
        <v>204</v>
      </c>
      <c r="D25" s="43"/>
      <c r="E25" s="43" t="s">
        <v>20</v>
      </c>
      <c r="F25" s="668"/>
      <c r="G25" s="701">
        <v>2</v>
      </c>
      <c r="H25" s="624">
        <v>1</v>
      </c>
      <c r="I25" s="624">
        <v>0</v>
      </c>
      <c r="J25" s="690"/>
    </row>
    <row r="26" ht="16.5" spans="1:10">
      <c r="A26" s="670" t="s">
        <v>112</v>
      </c>
      <c r="B26" s="59" t="s">
        <v>72</v>
      </c>
      <c r="C26" s="59" t="s">
        <v>113</v>
      </c>
      <c r="D26" s="59">
        <v>1</v>
      </c>
      <c r="E26" s="59" t="s">
        <v>23</v>
      </c>
      <c r="F26" s="622" t="s">
        <v>221</v>
      </c>
      <c r="G26" s="705">
        <v>0</v>
      </c>
      <c r="H26" s="706">
        <v>1</v>
      </c>
      <c r="I26" s="706">
        <v>1</v>
      </c>
      <c r="J26" s="739">
        <v>3</v>
      </c>
    </row>
    <row r="27" ht="16.5" spans="1:10">
      <c r="A27" s="730" t="s">
        <v>115</v>
      </c>
      <c r="B27" s="731" t="s">
        <v>18</v>
      </c>
      <c r="C27" s="731" t="s">
        <v>222</v>
      </c>
      <c r="D27" s="731">
        <v>1</v>
      </c>
      <c r="E27" s="731" t="s">
        <v>23</v>
      </c>
      <c r="F27" s="732" t="s">
        <v>223</v>
      </c>
      <c r="G27" s="733">
        <v>0</v>
      </c>
      <c r="H27" s="734">
        <v>0</v>
      </c>
      <c r="I27" s="734">
        <v>0</v>
      </c>
      <c r="J27" s="740">
        <v>7</v>
      </c>
    </row>
    <row r="28" ht="16.5" spans="1:10">
      <c r="A28" s="19"/>
      <c r="B28" s="731" t="s">
        <v>18</v>
      </c>
      <c r="C28" s="731" t="s">
        <v>224</v>
      </c>
      <c r="D28" s="731">
        <v>1</v>
      </c>
      <c r="E28" s="731" t="s">
        <v>20</v>
      </c>
      <c r="F28" s="732" t="s">
        <v>225</v>
      </c>
      <c r="G28" s="733">
        <v>0</v>
      </c>
      <c r="H28" s="734">
        <v>1</v>
      </c>
      <c r="I28" s="734">
        <v>0</v>
      </c>
      <c r="J28" s="690"/>
    </row>
    <row r="29" ht="16.5" spans="1:10">
      <c r="A29" s="53" t="s">
        <v>49</v>
      </c>
      <c r="B29" s="55" t="s">
        <v>18</v>
      </c>
      <c r="C29" s="55" t="s">
        <v>119</v>
      </c>
      <c r="D29" s="55">
        <v>1</v>
      </c>
      <c r="E29" s="55" t="s">
        <v>23</v>
      </c>
      <c r="F29" s="679" t="s">
        <v>201</v>
      </c>
      <c r="G29" s="711">
        <v>1</v>
      </c>
      <c r="H29" s="627">
        <v>1</v>
      </c>
      <c r="I29" s="627">
        <v>1</v>
      </c>
      <c r="J29" s="741">
        <v>17</v>
      </c>
    </row>
    <row r="30" ht="16.5" spans="1:10">
      <c r="A30" s="659"/>
      <c r="B30" s="55" t="s">
        <v>18</v>
      </c>
      <c r="C30" s="55" t="s">
        <v>176</v>
      </c>
      <c r="D30" s="55">
        <v>1</v>
      </c>
      <c r="E30" s="55" t="s">
        <v>23</v>
      </c>
      <c r="F30" s="679" t="s">
        <v>124</v>
      </c>
      <c r="G30" s="711">
        <v>0</v>
      </c>
      <c r="H30" s="627">
        <v>0</v>
      </c>
      <c r="I30" s="627">
        <v>0</v>
      </c>
      <c r="J30" s="698"/>
    </row>
    <row r="31" ht="16.5" spans="1:10">
      <c r="A31" s="105"/>
      <c r="B31" s="55" t="s">
        <v>168</v>
      </c>
      <c r="C31" s="55" t="s">
        <v>226</v>
      </c>
      <c r="D31" s="55"/>
      <c r="E31" s="55" t="s">
        <v>23</v>
      </c>
      <c r="F31" s="679"/>
      <c r="G31" s="711">
        <v>1</v>
      </c>
      <c r="H31" s="627">
        <v>1</v>
      </c>
      <c r="I31" s="627">
        <v>0</v>
      </c>
      <c r="J31" s="741"/>
    </row>
    <row r="32" ht="33" spans="1:10">
      <c r="A32" s="104"/>
      <c r="B32" s="55" t="s">
        <v>18</v>
      </c>
      <c r="C32" s="55" t="s">
        <v>157</v>
      </c>
      <c r="D32" s="55">
        <v>1</v>
      </c>
      <c r="E32" s="55" t="s">
        <v>23</v>
      </c>
      <c r="F32" s="679" t="s">
        <v>158</v>
      </c>
      <c r="G32" s="711">
        <v>0</v>
      </c>
      <c r="H32" s="627">
        <v>0</v>
      </c>
      <c r="I32" s="627">
        <v>0</v>
      </c>
      <c r="J32" s="741"/>
    </row>
    <row r="33" ht="49.5" spans="1:10">
      <c r="A33" s="659"/>
      <c r="B33" s="55" t="s">
        <v>72</v>
      </c>
      <c r="C33" s="55" t="s">
        <v>203</v>
      </c>
      <c r="D33" s="55">
        <v>1</v>
      </c>
      <c r="E33" s="55" t="s">
        <v>23</v>
      </c>
      <c r="F33" s="679" t="s">
        <v>227</v>
      </c>
      <c r="G33" s="711">
        <v>1</v>
      </c>
      <c r="H33" s="627">
        <v>0</v>
      </c>
      <c r="I33" s="627">
        <v>0</v>
      </c>
      <c r="J33" s="698"/>
    </row>
    <row r="34" ht="16.5" spans="1:10">
      <c r="A34" s="659"/>
      <c r="B34" s="55" t="s">
        <v>72</v>
      </c>
      <c r="C34" s="55" t="s">
        <v>228</v>
      </c>
      <c r="D34" s="55"/>
      <c r="E34" s="55" t="s">
        <v>23</v>
      </c>
      <c r="F34" s="679"/>
      <c r="G34" s="711">
        <v>0</v>
      </c>
      <c r="H34" s="627">
        <v>1</v>
      </c>
      <c r="I34" s="627">
        <v>0</v>
      </c>
      <c r="J34" s="698"/>
    </row>
    <row r="35" ht="12.75" spans="4:9">
      <c r="D35">
        <f>SUM(D4:D34)</f>
        <v>51</v>
      </c>
      <c r="G35">
        <f>SUM(G4:G34)</f>
        <v>46</v>
      </c>
      <c r="H35">
        <f>SUM(H4:H34)</f>
        <v>46</v>
      </c>
      <c r="I35">
        <f>SUM(I4:I34)</f>
        <v>38</v>
      </c>
    </row>
  </sheetData>
  <autoFilter xmlns:etc="http://www.wps.cn/officeDocument/2017/etCustomData" ref="A3:J35" etc:filterBottomFollowUsedRange="0">
    <extLst/>
  </autoFilter>
  <mergeCells count="20">
    <mergeCell ref="A1:F1"/>
    <mergeCell ref="H1:J1"/>
    <mergeCell ref="A2:F2"/>
    <mergeCell ref="G2:J2"/>
    <mergeCell ref="A4:A7"/>
    <mergeCell ref="A8:A10"/>
    <mergeCell ref="A11:A13"/>
    <mergeCell ref="A14:A18"/>
    <mergeCell ref="A19:A22"/>
    <mergeCell ref="A23:A25"/>
    <mergeCell ref="A27:A28"/>
    <mergeCell ref="A29:A34"/>
    <mergeCell ref="J4:J7"/>
    <mergeCell ref="J8:J10"/>
    <mergeCell ref="J11:J13"/>
    <mergeCell ref="J14:J18"/>
    <mergeCell ref="J19:J22"/>
    <mergeCell ref="J23:J25"/>
    <mergeCell ref="J27:J28"/>
    <mergeCell ref="J29:J34"/>
  </mergeCells>
  <dataValidations count="4">
    <dataValidation type="list" allowBlank="1" showInputMessage="1" showErrorMessage="1" sqref="A8 A11 A19 A23 A29 A3:A4 A26:A27 A31:A32">
      <formula1>"自孵部,签约部,培训部,外采部,商务中台,运营中台,总经办+财务部,财务部,技术中台,内容中台,"</formula1>
    </dataValidation>
    <dataValidation type="list" allowBlank="1" showInputMessage="1" showErrorMessage="1" sqref="A14">
      <formula1>"自孵部,签约部,培训部,外采部,商务部,运营中台,总经办+财务部,财务部,技术部,"</formula1>
    </dataValidation>
    <dataValidation type="list" allowBlank="1" showInputMessage="1" showErrorMessage="1" sqref="B3:B34">
      <formula1>"新增需求,替补需求,储备需求,上个月未交付延期本月,临时新增,"</formula1>
    </dataValidation>
    <dataValidation type="list" allowBlank="1" showInputMessage="1" showErrorMessage="1" sqref="E4:E34">
      <formula1>"社招,校招,社招&amp;校招,"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2026-4"/>
  <dimension ref="A1:L209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14" defaultRowHeight="18" customHeight="1"/>
  <cols>
    <col min="1" max="1" width="16.7238095238095" style="1" customWidth="1"/>
    <col min="2" max="2" width="10.6857142857143" style="1" hidden="1" customWidth="1"/>
    <col min="3" max="3" width="15.5142857142857" style="1" customWidth="1"/>
    <col min="4" max="5" width="13.8952380952381" style="1" customWidth="1"/>
    <col min="6" max="6" width="10.9238095238095" style="1" customWidth="1"/>
    <col min="7" max="7" width="13.2095238095238" style="1" customWidth="1"/>
    <col min="8" max="8" width="45.8666666666667" style="2" customWidth="1"/>
    <col min="9" max="11" width="13.6761904761905" style="4"/>
    <col min="12" max="12" width="15.3714285714286" style="4" customWidth="1"/>
    <col min="13" max="25" width="13.6761904761905" style="4"/>
  </cols>
  <sheetData>
    <row r="1" ht="61.5" customHeight="1" spans="1:10">
      <c r="A1" s="6" t="s">
        <v>0</v>
      </c>
      <c r="B1" s="6"/>
      <c r="I1" s="109"/>
      <c r="J1" s="109" t="s">
        <v>1</v>
      </c>
    </row>
    <row r="2" ht="25.5" customHeight="1" spans="1:12">
      <c r="A2" s="95" t="s">
        <v>229</v>
      </c>
      <c r="B2" s="8"/>
      <c r="C2" s="8"/>
      <c r="D2" s="8"/>
      <c r="E2" s="9"/>
      <c r="F2" s="9"/>
      <c r="G2" s="9"/>
      <c r="H2" s="9"/>
      <c r="I2" s="682" t="s">
        <v>230</v>
      </c>
      <c r="J2" s="683"/>
      <c r="K2" s="683"/>
      <c r="L2" s="684"/>
    </row>
    <row r="3" ht="19.5" customHeight="1" spans="1:12">
      <c r="A3" s="12"/>
      <c r="B3" s="11" t="s">
        <v>231</v>
      </c>
      <c r="C3" s="11" t="s">
        <v>232</v>
      </c>
      <c r="D3" s="12"/>
      <c r="E3" s="11" t="s">
        <v>8</v>
      </c>
      <c r="F3" s="11" t="s">
        <v>9</v>
      </c>
      <c r="G3" s="11" t="s">
        <v>10</v>
      </c>
      <c r="H3" s="656" t="s">
        <v>11</v>
      </c>
      <c r="I3" s="685" t="s">
        <v>12</v>
      </c>
      <c r="J3" s="686" t="s">
        <v>13</v>
      </c>
      <c r="K3" s="686" t="s">
        <v>14</v>
      </c>
      <c r="L3" s="687" t="s">
        <v>233</v>
      </c>
    </row>
    <row r="4" ht="16.5" spans="1:12">
      <c r="A4" s="21" t="s">
        <v>25</v>
      </c>
      <c r="B4" s="22"/>
      <c r="C4" s="22">
        <v>80</v>
      </c>
      <c r="D4" s="23" t="s">
        <v>18</v>
      </c>
      <c r="E4" s="24" t="s">
        <v>27</v>
      </c>
      <c r="F4" s="23">
        <v>4</v>
      </c>
      <c r="G4" s="23" t="s">
        <v>23</v>
      </c>
      <c r="H4" s="657" t="s">
        <v>234</v>
      </c>
      <c r="I4" s="688">
        <v>5</v>
      </c>
      <c r="J4" s="607">
        <v>3</v>
      </c>
      <c r="K4" s="607">
        <v>2</v>
      </c>
      <c r="L4" s="689">
        <v>88</v>
      </c>
    </row>
    <row r="5" ht="16.5" spans="1:12">
      <c r="A5" s="19"/>
      <c r="B5" s="19"/>
      <c r="C5" s="19"/>
      <c r="D5" s="23" t="s">
        <v>18</v>
      </c>
      <c r="E5" s="24" t="s">
        <v>235</v>
      </c>
      <c r="F5" s="23">
        <v>10</v>
      </c>
      <c r="G5" s="23" t="s">
        <v>30</v>
      </c>
      <c r="H5" s="657" t="s">
        <v>236</v>
      </c>
      <c r="I5" s="688">
        <v>28</v>
      </c>
      <c r="J5" s="607">
        <v>17</v>
      </c>
      <c r="K5" s="607">
        <v>16</v>
      </c>
      <c r="L5" s="690"/>
    </row>
    <row r="6" ht="42" customHeight="1" spans="1:12">
      <c r="A6" s="19"/>
      <c r="B6" s="19"/>
      <c r="C6" s="19"/>
      <c r="D6" s="47" t="s">
        <v>168</v>
      </c>
      <c r="E6" s="48" t="s">
        <v>237</v>
      </c>
      <c r="F6" s="47"/>
      <c r="G6" s="47" t="s">
        <v>23</v>
      </c>
      <c r="H6" s="658"/>
      <c r="I6" s="691">
        <v>1</v>
      </c>
      <c r="J6" s="611">
        <v>1</v>
      </c>
      <c r="K6" s="611">
        <v>0</v>
      </c>
      <c r="L6" s="692"/>
    </row>
    <row r="7" ht="42" customHeight="1" spans="1:12">
      <c r="A7" s="45" t="s">
        <v>43</v>
      </c>
      <c r="B7" s="46"/>
      <c r="C7" s="46">
        <v>45</v>
      </c>
      <c r="D7" s="47" t="s">
        <v>21</v>
      </c>
      <c r="E7" s="48" t="s">
        <v>68</v>
      </c>
      <c r="F7" s="47">
        <v>1</v>
      </c>
      <c r="G7" s="47" t="s">
        <v>20</v>
      </c>
      <c r="H7" s="658" t="s">
        <v>238</v>
      </c>
      <c r="I7" s="691">
        <v>1</v>
      </c>
      <c r="J7" s="611">
        <v>0</v>
      </c>
      <c r="K7" s="611">
        <v>1</v>
      </c>
      <c r="L7" s="693">
        <v>45</v>
      </c>
    </row>
    <row r="8" ht="27.75" customHeight="1" spans="1:12">
      <c r="A8" s="659"/>
      <c r="B8" s="19"/>
      <c r="C8" s="19"/>
      <c r="D8" s="47" t="s">
        <v>41</v>
      </c>
      <c r="E8" s="48" t="s">
        <v>239</v>
      </c>
      <c r="F8" s="47">
        <v>1</v>
      </c>
      <c r="G8" s="47" t="s">
        <v>23</v>
      </c>
      <c r="H8" s="658" t="s">
        <v>240</v>
      </c>
      <c r="I8" s="691">
        <v>1</v>
      </c>
      <c r="J8" s="611">
        <v>0</v>
      </c>
      <c r="K8" s="611">
        <v>2</v>
      </c>
      <c r="L8" s="693"/>
    </row>
    <row r="9" ht="16.5" spans="1:12">
      <c r="A9" s="659"/>
      <c r="B9" s="19"/>
      <c r="C9" s="19"/>
      <c r="D9" s="47" t="s">
        <v>21</v>
      </c>
      <c r="E9" s="48" t="s">
        <v>186</v>
      </c>
      <c r="F9" s="47">
        <v>3</v>
      </c>
      <c r="G9" s="47" t="s">
        <v>20</v>
      </c>
      <c r="H9" s="658" t="s">
        <v>187</v>
      </c>
      <c r="I9" s="691">
        <v>0</v>
      </c>
      <c r="J9" s="611">
        <v>0</v>
      </c>
      <c r="K9" s="611">
        <v>3</v>
      </c>
      <c r="L9" s="693"/>
    </row>
    <row r="10" ht="16.5" spans="1:12">
      <c r="A10" s="659"/>
      <c r="B10" s="660"/>
      <c r="C10" s="660"/>
      <c r="D10" s="47" t="s">
        <v>21</v>
      </c>
      <c r="E10" s="48" t="s">
        <v>210</v>
      </c>
      <c r="F10" s="47">
        <v>1</v>
      </c>
      <c r="G10" s="47" t="s">
        <v>23</v>
      </c>
      <c r="H10" s="658" t="s">
        <v>211</v>
      </c>
      <c r="I10" s="691">
        <v>0</v>
      </c>
      <c r="J10" s="611">
        <v>0</v>
      </c>
      <c r="K10" s="611">
        <v>0</v>
      </c>
      <c r="L10" s="694"/>
    </row>
    <row r="11" ht="16.5" spans="1:12">
      <c r="A11" s="102" t="s">
        <v>34</v>
      </c>
      <c r="B11" s="103"/>
      <c r="C11" s="103">
        <v>29</v>
      </c>
      <c r="D11" s="47" t="s">
        <v>168</v>
      </c>
      <c r="E11" s="48" t="s">
        <v>138</v>
      </c>
      <c r="F11" s="661"/>
      <c r="G11" s="47"/>
      <c r="H11" s="658"/>
      <c r="I11" s="691">
        <v>1</v>
      </c>
      <c r="J11" s="611">
        <v>1</v>
      </c>
      <c r="K11" s="611">
        <v>1</v>
      </c>
      <c r="L11" s="695">
        <v>29</v>
      </c>
    </row>
    <row r="12" ht="16.5" spans="1:12">
      <c r="A12" s="19"/>
      <c r="B12" s="103"/>
      <c r="C12" s="19"/>
      <c r="D12" s="47" t="s">
        <v>168</v>
      </c>
      <c r="E12" s="48" t="s">
        <v>241</v>
      </c>
      <c r="F12" s="661"/>
      <c r="G12" s="47"/>
      <c r="H12" s="658"/>
      <c r="I12" s="691">
        <v>1</v>
      </c>
      <c r="J12" s="611">
        <v>0</v>
      </c>
      <c r="K12" s="611">
        <v>0</v>
      </c>
      <c r="L12" s="690"/>
    </row>
    <row r="13" ht="16.5" spans="1:12">
      <c r="A13" s="19"/>
      <c r="B13" s="103"/>
      <c r="C13" s="19"/>
      <c r="D13" s="47" t="s">
        <v>168</v>
      </c>
      <c r="E13" s="48" t="s">
        <v>242</v>
      </c>
      <c r="F13" s="661"/>
      <c r="G13" s="47"/>
      <c r="H13" s="658"/>
      <c r="I13" s="691">
        <v>1</v>
      </c>
      <c r="J13" s="611">
        <v>1</v>
      </c>
      <c r="K13" s="611">
        <v>0</v>
      </c>
      <c r="L13" s="692"/>
    </row>
    <row r="14" ht="16.5" spans="1:12">
      <c r="A14" s="14" t="s">
        <v>16</v>
      </c>
      <c r="B14" s="15"/>
      <c r="C14" s="15">
        <v>58</v>
      </c>
      <c r="D14" s="16" t="s">
        <v>18</v>
      </c>
      <c r="E14" s="17" t="s">
        <v>19</v>
      </c>
      <c r="F14" s="20">
        <v>6</v>
      </c>
      <c r="G14" s="16" t="s">
        <v>20</v>
      </c>
      <c r="H14" s="662" t="s">
        <v>137</v>
      </c>
      <c r="I14" s="696">
        <v>1</v>
      </c>
      <c r="J14" s="614">
        <v>1</v>
      </c>
      <c r="K14" s="614">
        <v>0</v>
      </c>
      <c r="L14" s="697">
        <v>58</v>
      </c>
    </row>
    <row r="15" ht="33" spans="1:12">
      <c r="A15" s="659"/>
      <c r="B15" s="19"/>
      <c r="C15" s="19"/>
      <c r="D15" s="16" t="s">
        <v>18</v>
      </c>
      <c r="E15" s="17" t="s">
        <v>113</v>
      </c>
      <c r="F15" s="20">
        <v>3</v>
      </c>
      <c r="G15" s="16" t="s">
        <v>23</v>
      </c>
      <c r="H15" s="662" t="s">
        <v>189</v>
      </c>
      <c r="I15" s="696">
        <v>2</v>
      </c>
      <c r="J15" s="614">
        <v>2</v>
      </c>
      <c r="K15" s="614">
        <v>1</v>
      </c>
      <c r="L15" s="698"/>
    </row>
    <row r="16" ht="16.5" spans="1:12">
      <c r="A16" s="96"/>
      <c r="B16" s="97"/>
      <c r="C16" s="97"/>
      <c r="D16" s="16" t="s">
        <v>168</v>
      </c>
      <c r="E16" s="17" t="s">
        <v>243</v>
      </c>
      <c r="F16" s="20">
        <v>1</v>
      </c>
      <c r="G16" s="16" t="s">
        <v>20</v>
      </c>
      <c r="H16" s="662"/>
      <c r="I16" s="696">
        <v>1</v>
      </c>
      <c r="J16" s="614">
        <v>1</v>
      </c>
      <c r="K16" s="614">
        <v>0</v>
      </c>
      <c r="L16" s="697"/>
    </row>
    <row r="17" ht="16.5" spans="1:12">
      <c r="A17" s="659"/>
      <c r="B17" s="19"/>
      <c r="C17" s="19"/>
      <c r="D17" s="16" t="s">
        <v>18</v>
      </c>
      <c r="E17" s="17" t="s">
        <v>24</v>
      </c>
      <c r="F17" s="20">
        <v>2</v>
      </c>
      <c r="G17" s="16" t="s">
        <v>20</v>
      </c>
      <c r="H17" s="662" t="s">
        <v>244</v>
      </c>
      <c r="I17" s="696">
        <v>0</v>
      </c>
      <c r="J17" s="614">
        <v>0</v>
      </c>
      <c r="K17" s="614">
        <v>0</v>
      </c>
      <c r="L17" s="698"/>
    </row>
    <row r="18" ht="16.5" hidden="1" spans="1:12">
      <c r="A18" s="33" t="s">
        <v>34</v>
      </c>
      <c r="B18" s="34"/>
      <c r="C18" s="34"/>
      <c r="D18" s="35"/>
      <c r="E18" s="35" t="s">
        <v>116</v>
      </c>
      <c r="F18" s="35" t="s">
        <v>116</v>
      </c>
      <c r="G18" s="35"/>
      <c r="H18" s="663" t="s">
        <v>116</v>
      </c>
      <c r="I18" s="699"/>
      <c r="J18" s="616"/>
      <c r="K18" s="616"/>
      <c r="L18" s="700"/>
    </row>
    <row r="19" ht="16.5" hidden="1" spans="1:12">
      <c r="A19" s="659"/>
      <c r="B19" s="19"/>
      <c r="C19" s="19"/>
      <c r="D19" s="35"/>
      <c r="E19" s="35"/>
      <c r="F19" s="35"/>
      <c r="G19" s="35"/>
      <c r="H19" s="663"/>
      <c r="I19" s="699"/>
      <c r="J19" s="616"/>
      <c r="K19" s="616"/>
      <c r="L19" s="698"/>
    </row>
    <row r="20" ht="16.5" hidden="1" spans="1:12">
      <c r="A20" s="38"/>
      <c r="B20" s="39"/>
      <c r="C20" s="39"/>
      <c r="D20" s="35"/>
      <c r="E20" s="36"/>
      <c r="F20" s="35"/>
      <c r="G20" s="35"/>
      <c r="H20" s="664"/>
      <c r="I20" s="699"/>
      <c r="J20" s="616"/>
      <c r="K20" s="616"/>
      <c r="L20" s="700"/>
    </row>
    <row r="21" ht="16.5" hidden="1" spans="1:12">
      <c r="A21" s="659"/>
      <c r="B21" s="19"/>
      <c r="C21" s="19"/>
      <c r="D21" s="35"/>
      <c r="E21" s="36"/>
      <c r="F21" s="35"/>
      <c r="G21" s="35"/>
      <c r="H21" s="664"/>
      <c r="I21" s="699"/>
      <c r="J21" s="616"/>
      <c r="K21" s="616"/>
      <c r="L21" s="698"/>
    </row>
    <row r="22" ht="16.5" hidden="1" spans="1:12">
      <c r="A22" s="659"/>
      <c r="B22" s="19"/>
      <c r="C22" s="19"/>
      <c r="D22" s="35"/>
      <c r="E22" s="35"/>
      <c r="F22" s="35"/>
      <c r="G22" s="35"/>
      <c r="H22" s="663"/>
      <c r="I22" s="701"/>
      <c r="J22" s="624"/>
      <c r="K22" s="624"/>
      <c r="L22" s="698"/>
    </row>
    <row r="23" ht="33" spans="1:12">
      <c r="A23" s="28" t="s">
        <v>101</v>
      </c>
      <c r="B23" s="29"/>
      <c r="C23" s="29">
        <v>87</v>
      </c>
      <c r="D23" s="30" t="s">
        <v>41</v>
      </c>
      <c r="E23" s="31" t="s">
        <v>61</v>
      </c>
      <c r="F23" s="30">
        <v>2</v>
      </c>
      <c r="G23" s="30" t="s">
        <v>20</v>
      </c>
      <c r="H23" s="665" t="s">
        <v>102</v>
      </c>
      <c r="I23" s="702">
        <v>0</v>
      </c>
      <c r="J23" s="619">
        <v>0</v>
      </c>
      <c r="K23" s="619">
        <v>0</v>
      </c>
      <c r="L23" s="703">
        <v>87</v>
      </c>
    </row>
    <row r="24" ht="33" spans="1:12">
      <c r="A24" s="98"/>
      <c r="B24" s="99"/>
      <c r="C24" s="99"/>
      <c r="D24" s="30" t="s">
        <v>18</v>
      </c>
      <c r="E24" s="31" t="s">
        <v>61</v>
      </c>
      <c r="F24" s="30">
        <v>4</v>
      </c>
      <c r="G24" s="30" t="s">
        <v>20</v>
      </c>
      <c r="H24" s="665" t="s">
        <v>102</v>
      </c>
      <c r="I24" s="702">
        <v>6</v>
      </c>
      <c r="J24" s="619">
        <v>5</v>
      </c>
      <c r="K24" s="619">
        <v>4</v>
      </c>
      <c r="L24" s="703"/>
    </row>
    <row r="25" ht="33" spans="1:12">
      <c r="A25" s="659"/>
      <c r="B25" s="19"/>
      <c r="C25" s="19"/>
      <c r="D25" s="30" t="s">
        <v>21</v>
      </c>
      <c r="E25" s="31" t="s">
        <v>32</v>
      </c>
      <c r="F25" s="30">
        <v>1</v>
      </c>
      <c r="G25" s="30" t="s">
        <v>20</v>
      </c>
      <c r="H25" s="665" t="s">
        <v>245</v>
      </c>
      <c r="I25" s="702">
        <v>2</v>
      </c>
      <c r="J25" s="619">
        <v>2</v>
      </c>
      <c r="K25" s="619">
        <v>3</v>
      </c>
      <c r="L25" s="698"/>
    </row>
    <row r="26" ht="16.5" spans="1:12">
      <c r="A26" s="98"/>
      <c r="B26" s="99"/>
      <c r="C26" s="99"/>
      <c r="D26" s="30" t="s">
        <v>21</v>
      </c>
      <c r="E26" s="31" t="s">
        <v>146</v>
      </c>
      <c r="F26" s="30">
        <v>1</v>
      </c>
      <c r="G26" s="30" t="s">
        <v>23</v>
      </c>
      <c r="H26" s="665" t="s">
        <v>246</v>
      </c>
      <c r="I26" s="702">
        <v>0</v>
      </c>
      <c r="J26" s="619">
        <v>0</v>
      </c>
      <c r="K26" s="619">
        <v>0</v>
      </c>
      <c r="L26" s="703"/>
    </row>
    <row r="27" ht="16.5" hidden="1" spans="1:12">
      <c r="A27" s="659"/>
      <c r="B27" s="19"/>
      <c r="C27" s="19"/>
      <c r="D27" s="30"/>
      <c r="E27" s="31"/>
      <c r="F27" s="30"/>
      <c r="G27" s="30"/>
      <c r="H27" s="665"/>
      <c r="I27" s="702"/>
      <c r="J27" s="619"/>
      <c r="K27" s="619"/>
      <c r="L27" s="698"/>
    </row>
    <row r="28" ht="16.5" hidden="1" spans="1:12">
      <c r="A28" s="659"/>
      <c r="B28" s="660"/>
      <c r="C28" s="660"/>
      <c r="D28" s="30"/>
      <c r="E28" s="31"/>
      <c r="F28" s="30"/>
      <c r="G28" s="30"/>
      <c r="H28" s="665"/>
      <c r="I28" s="702"/>
      <c r="J28" s="619"/>
      <c r="K28" s="619"/>
      <c r="L28" s="694"/>
    </row>
    <row r="29" ht="16.5" hidden="1" spans="1:12">
      <c r="A29" s="666"/>
      <c r="B29" s="667"/>
      <c r="C29" s="667"/>
      <c r="D29" s="30"/>
      <c r="E29" s="31"/>
      <c r="F29" s="30"/>
      <c r="G29" s="30"/>
      <c r="H29" s="665"/>
      <c r="I29" s="702"/>
      <c r="J29" s="619"/>
      <c r="K29" s="619"/>
      <c r="L29" s="694"/>
    </row>
    <row r="30" ht="49.5" spans="1:12">
      <c r="A30" s="40" t="s">
        <v>40</v>
      </c>
      <c r="B30" s="41"/>
      <c r="C30" s="41">
        <v>16</v>
      </c>
      <c r="D30" s="42" t="s">
        <v>18</v>
      </c>
      <c r="E30" s="43" t="s">
        <v>247</v>
      </c>
      <c r="F30" s="42">
        <v>2</v>
      </c>
      <c r="G30" s="42" t="s">
        <v>20</v>
      </c>
      <c r="H30" s="668" t="s">
        <v>248</v>
      </c>
      <c r="I30" s="701">
        <v>0</v>
      </c>
      <c r="J30" s="624">
        <v>0</v>
      </c>
      <c r="K30" s="624">
        <v>0</v>
      </c>
      <c r="L30" s="704">
        <v>16</v>
      </c>
    </row>
    <row r="31" ht="16.5" spans="1:12">
      <c r="A31" s="100"/>
      <c r="B31" s="101"/>
      <c r="C31" s="101"/>
      <c r="D31" s="42" t="s">
        <v>18</v>
      </c>
      <c r="E31" s="43" t="s">
        <v>133</v>
      </c>
      <c r="F31" s="42">
        <v>1</v>
      </c>
      <c r="G31" s="42" t="s">
        <v>20</v>
      </c>
      <c r="H31" s="668" t="s">
        <v>249</v>
      </c>
      <c r="I31" s="701">
        <v>0</v>
      </c>
      <c r="J31" s="624">
        <v>0</v>
      </c>
      <c r="K31" s="624">
        <v>2</v>
      </c>
      <c r="L31" s="704"/>
    </row>
    <row r="32" ht="16.5" spans="1:12">
      <c r="A32" s="659"/>
      <c r="B32" s="19"/>
      <c r="C32" s="19"/>
      <c r="D32" s="42" t="s">
        <v>18</v>
      </c>
      <c r="E32" s="43" t="s">
        <v>33</v>
      </c>
      <c r="F32" s="42">
        <v>1</v>
      </c>
      <c r="G32" s="42" t="s">
        <v>20</v>
      </c>
      <c r="H32" s="668"/>
      <c r="I32" s="701">
        <v>0</v>
      </c>
      <c r="J32" s="624">
        <v>0</v>
      </c>
      <c r="K32" s="624">
        <v>0</v>
      </c>
      <c r="L32" s="698"/>
    </row>
    <row r="33" ht="16.5" spans="1:12">
      <c r="A33" s="100"/>
      <c r="B33" s="101"/>
      <c r="C33" s="101"/>
      <c r="D33" s="42" t="s">
        <v>18</v>
      </c>
      <c r="E33" s="43" t="s">
        <v>110</v>
      </c>
      <c r="F33" s="42"/>
      <c r="G33" s="42"/>
      <c r="H33" s="668"/>
      <c r="I33" s="701">
        <v>2</v>
      </c>
      <c r="J33" s="624">
        <v>2</v>
      </c>
      <c r="K33" s="624">
        <v>0</v>
      </c>
      <c r="L33" s="704"/>
    </row>
    <row r="34" ht="16.5" hidden="1" spans="1:12">
      <c r="A34" s="659"/>
      <c r="B34" s="19"/>
      <c r="C34" s="19"/>
      <c r="D34" s="42"/>
      <c r="E34" s="43"/>
      <c r="F34" s="42"/>
      <c r="G34" s="42"/>
      <c r="H34" s="668"/>
      <c r="I34" s="701"/>
      <c r="J34" s="624"/>
      <c r="K34" s="624"/>
      <c r="L34" s="698"/>
    </row>
    <row r="35" ht="16.5" hidden="1" spans="1:12">
      <c r="A35" s="666"/>
      <c r="B35" s="57"/>
      <c r="C35" s="57"/>
      <c r="D35" s="42"/>
      <c r="E35" s="43"/>
      <c r="F35" s="42"/>
      <c r="G35" s="42"/>
      <c r="H35" s="668"/>
      <c r="I35" s="701"/>
      <c r="J35" s="624"/>
      <c r="K35" s="624"/>
      <c r="L35" s="698"/>
    </row>
    <row r="36" ht="16.5" spans="1:12">
      <c r="A36" s="669" t="s">
        <v>112</v>
      </c>
      <c r="B36" s="670"/>
      <c r="C36" s="670"/>
      <c r="D36" s="58" t="s">
        <v>18</v>
      </c>
      <c r="E36" s="59" t="s">
        <v>239</v>
      </c>
      <c r="F36" s="58">
        <v>3</v>
      </c>
      <c r="G36" s="58" t="s">
        <v>23</v>
      </c>
      <c r="H36" s="622" t="s">
        <v>250</v>
      </c>
      <c r="I36" s="705">
        <v>4</v>
      </c>
      <c r="J36" s="706">
        <v>2</v>
      </c>
      <c r="K36" s="706">
        <v>1</v>
      </c>
      <c r="L36" s="707"/>
    </row>
    <row r="37" ht="16.5" spans="1:12">
      <c r="A37" s="671" t="s">
        <v>115</v>
      </c>
      <c r="B37" s="672"/>
      <c r="C37" s="672"/>
      <c r="D37" s="673" t="s">
        <v>168</v>
      </c>
      <c r="E37" s="674" t="s">
        <v>200</v>
      </c>
      <c r="F37" s="673"/>
      <c r="G37" s="673"/>
      <c r="H37" s="675"/>
      <c r="I37" s="708">
        <v>1</v>
      </c>
      <c r="J37" s="709">
        <v>0</v>
      </c>
      <c r="K37" s="709">
        <v>0</v>
      </c>
      <c r="L37" s="710">
        <v>7</v>
      </c>
    </row>
    <row r="38" ht="16.5" hidden="1" spans="1:12">
      <c r="A38" s="676" t="s">
        <v>115</v>
      </c>
      <c r="B38" s="677"/>
      <c r="C38" s="677">
        <v>7</v>
      </c>
      <c r="D38" s="676"/>
      <c r="E38" s="677"/>
      <c r="F38" s="676"/>
      <c r="G38" s="676"/>
      <c r="H38" s="678"/>
      <c r="I38" s="685"/>
      <c r="J38" s="686"/>
      <c r="K38" s="686"/>
      <c r="L38" s="687">
        <v>7</v>
      </c>
    </row>
    <row r="39" ht="16.5" spans="1:12">
      <c r="A39" s="52" t="s">
        <v>49</v>
      </c>
      <c r="B39" s="53"/>
      <c r="C39" s="53">
        <v>22</v>
      </c>
      <c r="D39" s="54" t="s">
        <v>21</v>
      </c>
      <c r="E39" s="55" t="s">
        <v>251</v>
      </c>
      <c r="F39" s="54">
        <v>1</v>
      </c>
      <c r="G39" s="54" t="s">
        <v>23</v>
      </c>
      <c r="H39" s="679" t="s">
        <v>252</v>
      </c>
      <c r="I39" s="711">
        <v>0</v>
      </c>
      <c r="J39" s="627">
        <v>0</v>
      </c>
      <c r="K39" s="627">
        <v>0</v>
      </c>
      <c r="L39" s="712">
        <v>16</v>
      </c>
    </row>
    <row r="40" ht="16.5" spans="1:12">
      <c r="A40" s="19"/>
      <c r="B40" s="19"/>
      <c r="C40" s="19"/>
      <c r="D40" s="54" t="s">
        <v>18</v>
      </c>
      <c r="E40" s="55" t="s">
        <v>119</v>
      </c>
      <c r="F40" s="54">
        <v>2</v>
      </c>
      <c r="G40" s="54" t="s">
        <v>23</v>
      </c>
      <c r="H40" s="679" t="s">
        <v>253</v>
      </c>
      <c r="I40" s="711">
        <v>0</v>
      </c>
      <c r="J40" s="627">
        <v>0</v>
      </c>
      <c r="K40" s="627">
        <v>1</v>
      </c>
      <c r="L40" s="690"/>
    </row>
    <row r="41" ht="16.5" spans="1:12">
      <c r="A41" s="19"/>
      <c r="B41" s="19"/>
      <c r="C41" s="19"/>
      <c r="D41" s="54" t="s">
        <v>18</v>
      </c>
      <c r="E41" s="55" t="s">
        <v>176</v>
      </c>
      <c r="F41" s="54">
        <v>1</v>
      </c>
      <c r="G41" s="54" t="s">
        <v>23</v>
      </c>
      <c r="H41" s="679" t="s">
        <v>124</v>
      </c>
      <c r="I41" s="711">
        <v>1</v>
      </c>
      <c r="J41" s="627">
        <v>1</v>
      </c>
      <c r="K41" s="627">
        <v>0</v>
      </c>
      <c r="L41" s="690"/>
    </row>
    <row r="42" ht="27.75" customHeight="1" spans="1:12">
      <c r="A42" s="19"/>
      <c r="B42" s="19"/>
      <c r="C42" s="19"/>
      <c r="D42" s="54" t="s">
        <v>41</v>
      </c>
      <c r="E42" s="55" t="s">
        <v>254</v>
      </c>
      <c r="F42" s="54">
        <v>1</v>
      </c>
      <c r="G42" s="54" t="s">
        <v>23</v>
      </c>
      <c r="H42" s="679" t="s">
        <v>227</v>
      </c>
      <c r="I42" s="711">
        <v>0</v>
      </c>
      <c r="J42" s="627">
        <v>0</v>
      </c>
      <c r="K42" s="627">
        <v>0</v>
      </c>
      <c r="L42" s="690"/>
    </row>
    <row r="43" ht="27.75" customHeight="1" spans="1:12">
      <c r="A43" s="19"/>
      <c r="B43" s="105"/>
      <c r="C43" s="19"/>
      <c r="D43" s="52" t="s">
        <v>18</v>
      </c>
      <c r="E43" s="53" t="s">
        <v>228</v>
      </c>
      <c r="F43" s="52"/>
      <c r="G43" s="52"/>
      <c r="H43" s="680"/>
      <c r="I43" s="713">
        <v>2</v>
      </c>
      <c r="J43" s="714">
        <v>1</v>
      </c>
      <c r="K43" s="714">
        <v>0</v>
      </c>
      <c r="L43" s="690"/>
    </row>
    <row r="44" ht="27.75" customHeight="1" spans="1:12">
      <c r="A44" s="19"/>
      <c r="B44" s="105"/>
      <c r="C44" s="19"/>
      <c r="D44" s="52" t="s">
        <v>18</v>
      </c>
      <c r="E44" s="53" t="s">
        <v>157</v>
      </c>
      <c r="F44" s="52"/>
      <c r="G44" s="52"/>
      <c r="H44" s="680"/>
      <c r="I44" s="713">
        <v>0</v>
      </c>
      <c r="J44" s="714">
        <v>0</v>
      </c>
      <c r="K44" s="714">
        <v>0</v>
      </c>
      <c r="L44" s="690"/>
    </row>
    <row r="45" ht="17.25" hidden="1" spans="1:12">
      <c r="A45" s="106"/>
      <c r="B45" s="107"/>
      <c r="C45" s="107">
        <f>SUM(C14:C42)</f>
        <v>190</v>
      </c>
      <c r="D45" s="106"/>
      <c r="E45" s="107"/>
      <c r="F45" s="106">
        <f>SUM(F14:F41)</f>
        <v>31</v>
      </c>
      <c r="G45" s="106"/>
      <c r="H45" s="681"/>
      <c r="I45" s="715"/>
      <c r="J45" s="716"/>
      <c r="K45" s="716"/>
      <c r="L45" s="717">
        <f>SUM(L14:L42)</f>
        <v>191</v>
      </c>
    </row>
    <row r="46" ht="16.5" hidden="1" spans="1:4">
      <c r="A46" s="65"/>
      <c r="B46" s="1"/>
      <c r="C46" s="1"/>
      <c r="D46" s="65"/>
    </row>
    <row r="47" ht="16.5" spans="1:7">
      <c r="A47" s="65"/>
      <c r="B47" s="1"/>
      <c r="C47" s="1"/>
      <c r="D47" s="66"/>
      <c r="E47" s="1"/>
      <c r="F47" s="66"/>
      <c r="G47" s="66"/>
    </row>
    <row r="48" ht="16.5" spans="1:7">
      <c r="A48" s="65"/>
      <c r="B48" s="1"/>
      <c r="C48" s="1"/>
      <c r="D48" s="66"/>
      <c r="E48" s="1"/>
      <c r="F48" s="66"/>
      <c r="G48" s="66"/>
    </row>
    <row r="49" ht="16.5" spans="1:7">
      <c r="A49" s="65"/>
      <c r="B49" s="1"/>
      <c r="C49" s="1"/>
      <c r="D49" s="66"/>
      <c r="E49" s="1"/>
      <c r="F49" s="66"/>
      <c r="G49" s="66"/>
    </row>
    <row r="50" ht="16.5" spans="1:7">
      <c r="A50" s="65"/>
      <c r="B50" s="1"/>
      <c r="C50" s="1"/>
      <c r="D50" s="66"/>
      <c r="E50" s="1"/>
      <c r="F50" s="66"/>
      <c r="G50" s="66"/>
    </row>
    <row r="51" ht="16.5" spans="1:7">
      <c r="A51" s="65"/>
      <c r="B51" s="1"/>
      <c r="C51" s="1"/>
      <c r="D51" s="66"/>
      <c r="E51" s="1"/>
      <c r="F51" s="66"/>
      <c r="G51" s="66"/>
    </row>
    <row r="52" ht="16.5" spans="1:7">
      <c r="A52" s="65"/>
      <c r="B52" s="1"/>
      <c r="C52" s="1"/>
      <c r="D52" s="66"/>
      <c r="E52" s="1"/>
      <c r="F52" s="66"/>
      <c r="G52" s="66"/>
    </row>
    <row r="53" ht="16.5" spans="1:7">
      <c r="A53" s="65"/>
      <c r="B53" s="1"/>
      <c r="C53" s="1"/>
      <c r="D53" s="66"/>
      <c r="E53" s="1"/>
      <c r="F53" s="66"/>
      <c r="G53" s="66"/>
    </row>
    <row r="54" ht="16.5" spans="1:7">
      <c r="A54" s="65"/>
      <c r="B54" s="1"/>
      <c r="C54" s="1"/>
      <c r="D54" s="66"/>
      <c r="E54" s="1"/>
      <c r="F54" s="66"/>
      <c r="G54" s="66"/>
    </row>
    <row r="55" ht="16.5" spans="1:7">
      <c r="A55" s="65"/>
      <c r="B55" s="1"/>
      <c r="C55" s="1"/>
      <c r="D55" s="66"/>
      <c r="E55" s="1"/>
      <c r="F55" s="66"/>
      <c r="G55" s="66"/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1:7">
      <c r="A63" s="65"/>
      <c r="B63" s="1"/>
      <c r="C63" s="1"/>
      <c r="D63" s="66"/>
      <c r="E63" s="1"/>
      <c r="F63" s="66"/>
      <c r="G63" s="66"/>
    </row>
    <row r="64" ht="16.5" spans="1:7">
      <c r="A64" s="65"/>
      <c r="B64" s="1"/>
      <c r="C64" s="1"/>
      <c r="D64" s="66"/>
      <c r="E64" s="1"/>
      <c r="F64" s="66"/>
      <c r="G64" s="66"/>
    </row>
    <row r="65" ht="16.5" spans="1:7">
      <c r="A65" s="65"/>
      <c r="B65" s="1"/>
      <c r="C65" s="1"/>
      <c r="D65" s="66"/>
      <c r="E65" s="1"/>
      <c r="F65" s="66"/>
      <c r="G65" s="66"/>
    </row>
    <row r="66" ht="16.5" spans="1:7">
      <c r="A66" s="65"/>
      <c r="B66" s="1"/>
      <c r="C66" s="1"/>
      <c r="D66" s="66"/>
      <c r="E66" s="1"/>
      <c r="F66" s="66"/>
      <c r="G66" s="66"/>
    </row>
    <row r="67" ht="16.5" spans="1:7">
      <c r="A67" s="65"/>
      <c r="B67" s="1"/>
      <c r="C67" s="1"/>
      <c r="D67" s="66"/>
      <c r="E67" s="1"/>
      <c r="F67" s="66"/>
      <c r="G67" s="66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5"/>
      <c r="E208" s="1"/>
      <c r="F208" s="1"/>
      <c r="G208" s="65"/>
    </row>
    <row r="209" ht="16.5" spans="1:7">
      <c r="A209" s="65"/>
      <c r="B209" s="1"/>
      <c r="C209" s="1"/>
      <c r="D209" s="65"/>
      <c r="E209" s="1"/>
      <c r="F209" s="1"/>
      <c r="G209" s="65"/>
    </row>
  </sheetData>
  <autoFilter xmlns:etc="http://www.wps.cn/officeDocument/2017/etCustomData" ref="A3:L46" etc:filterBottomFollowUsedRange="0">
    <filterColumn colId="3">
      <filters>
        <filter val="储备需求"/>
        <filter val="新增需求"/>
        <filter val="替补需求"/>
      </filters>
    </filterColumn>
    <extLst/>
  </autoFilter>
  <mergeCells count="35">
    <mergeCell ref="A1:H1"/>
    <mergeCell ref="J1:L1"/>
    <mergeCell ref="A2:H2"/>
    <mergeCell ref="I2:L2"/>
    <mergeCell ref="A4:A6"/>
    <mergeCell ref="A7:A10"/>
    <mergeCell ref="A11:A13"/>
    <mergeCell ref="A14:A17"/>
    <mergeCell ref="A18:A22"/>
    <mergeCell ref="A23:A29"/>
    <mergeCell ref="A30:A35"/>
    <mergeCell ref="A39:A44"/>
    <mergeCell ref="B4:B6"/>
    <mergeCell ref="B7:B10"/>
    <mergeCell ref="B14:B17"/>
    <mergeCell ref="B18:B22"/>
    <mergeCell ref="B23:B29"/>
    <mergeCell ref="B30:B35"/>
    <mergeCell ref="B39:B42"/>
    <mergeCell ref="C4:C6"/>
    <mergeCell ref="C7:C10"/>
    <mergeCell ref="C11:C13"/>
    <mergeCell ref="C14:C17"/>
    <mergeCell ref="C18:C22"/>
    <mergeCell ref="C23:C29"/>
    <mergeCell ref="C30:C35"/>
    <mergeCell ref="C39:C44"/>
    <mergeCell ref="L4:L6"/>
    <mergeCell ref="L7:L10"/>
    <mergeCell ref="L11:L13"/>
    <mergeCell ref="L14:L17"/>
    <mergeCell ref="L18:L22"/>
    <mergeCell ref="L23:L29"/>
    <mergeCell ref="L30:L35"/>
    <mergeCell ref="L39:L44"/>
  </mergeCells>
  <dataValidations count="3">
    <dataValidation type="list" allowBlank="1" showInputMessage="1" showErrorMessage="1" sqref="A3:A1048576">
      <formula1>"自孵部,签约部,培训部,外采部,商务中台,运营中台,总经办+财务部,财务部,技术中台,内容中台,"</formula1>
    </dataValidation>
    <dataValidation type="list" allowBlank="1" showInputMessage="1" showErrorMessage="1" sqref="D3:D1048576">
      <formula1>"新增需求,替补需求,储备需求,上个月未交付延期本月,临时新增,"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3"/>
  <dimension ref="A1:L217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14" defaultRowHeight="18" customHeight="1"/>
  <cols>
    <col min="1" max="1" width="16.7238095238095" style="1" customWidth="1"/>
    <col min="2" max="2" width="12.8095238095238" style="1" customWidth="1"/>
    <col min="3" max="3" width="11.7333333333333" style="1" customWidth="1"/>
    <col min="4" max="5" width="13.8952380952381" style="1" customWidth="1"/>
    <col min="6" max="6" width="10.9238095238095" style="1" customWidth="1"/>
    <col min="7" max="7" width="13.2095238095238" style="1" customWidth="1"/>
    <col min="8" max="8" width="58.6761904761905" style="2" customWidth="1"/>
    <col min="9" max="11" width="13.6761904761905" style="4"/>
    <col min="12" max="12" width="15.3714285714286" style="4" customWidth="1"/>
    <col min="13" max="25" width="13.6761904761905" style="4"/>
  </cols>
  <sheetData>
    <row r="1" ht="61.5" customHeight="1" spans="1:10">
      <c r="A1" s="6" t="s">
        <v>0</v>
      </c>
      <c r="B1" s="6"/>
      <c r="I1" s="109"/>
      <c r="J1" s="109" t="s">
        <v>1</v>
      </c>
    </row>
    <row r="2" ht="25.5" customHeight="1" spans="1:12">
      <c r="A2" s="95" t="s">
        <v>255</v>
      </c>
      <c r="B2" s="8"/>
      <c r="C2" s="8"/>
      <c r="D2" s="8"/>
      <c r="E2" s="9"/>
      <c r="F2" s="9"/>
      <c r="G2" s="9"/>
      <c r="H2" s="9"/>
      <c r="I2" s="630" t="s">
        <v>256</v>
      </c>
      <c r="J2" s="631"/>
      <c r="K2" s="631"/>
      <c r="L2" s="469"/>
    </row>
    <row r="3" ht="19.5" customHeight="1" spans="1:12">
      <c r="A3" s="603" t="s">
        <v>4</v>
      </c>
      <c r="B3" s="603" t="s">
        <v>257</v>
      </c>
      <c r="C3" s="603" t="s">
        <v>258</v>
      </c>
      <c r="D3" s="604"/>
      <c r="E3" s="603" t="s">
        <v>8</v>
      </c>
      <c r="F3" s="603" t="s">
        <v>9</v>
      </c>
      <c r="G3" s="603" t="s">
        <v>10</v>
      </c>
      <c r="H3" s="605" t="s">
        <v>11</v>
      </c>
      <c r="I3" s="470" t="s">
        <v>12</v>
      </c>
      <c r="J3" s="632" t="s">
        <v>13</v>
      </c>
      <c r="K3" s="632" t="s">
        <v>14</v>
      </c>
      <c r="L3" s="471" t="s">
        <v>259</v>
      </c>
    </row>
    <row r="4" ht="16.5" spans="1:12">
      <c r="A4" s="606" t="s">
        <v>25</v>
      </c>
      <c r="B4" s="607"/>
      <c r="C4" s="607">
        <v>60</v>
      </c>
      <c r="D4" s="606" t="s">
        <v>18</v>
      </c>
      <c r="E4" s="607" t="s">
        <v>184</v>
      </c>
      <c r="F4" s="606">
        <v>30</v>
      </c>
      <c r="G4" s="606" t="s">
        <v>30</v>
      </c>
      <c r="H4" s="608"/>
      <c r="I4" s="633">
        <v>62</v>
      </c>
      <c r="J4" s="634">
        <v>50</v>
      </c>
      <c r="K4" s="502">
        <v>29</v>
      </c>
      <c r="L4" s="473">
        <v>60</v>
      </c>
    </row>
    <row r="5" ht="16.5" spans="1:12">
      <c r="A5" s="609"/>
      <c r="B5" s="609"/>
      <c r="C5" s="609"/>
      <c r="D5" s="606" t="s">
        <v>18</v>
      </c>
      <c r="E5" s="607" t="s">
        <v>27</v>
      </c>
      <c r="F5" s="606">
        <v>3</v>
      </c>
      <c r="G5" s="606" t="s">
        <v>23</v>
      </c>
      <c r="H5" s="608"/>
      <c r="I5" s="633">
        <v>3</v>
      </c>
      <c r="J5" s="634">
        <v>6</v>
      </c>
      <c r="K5" s="635"/>
      <c r="L5" s="636"/>
    </row>
    <row r="6" ht="16.5" spans="1:12">
      <c r="A6" s="606"/>
      <c r="B6" s="607"/>
      <c r="C6" s="607"/>
      <c r="D6" s="606" t="s">
        <v>18</v>
      </c>
      <c r="E6" s="607" t="s">
        <v>260</v>
      </c>
      <c r="F6" s="606">
        <v>1</v>
      </c>
      <c r="G6" s="606" t="s">
        <v>23</v>
      </c>
      <c r="H6" s="608"/>
      <c r="I6" s="633">
        <v>1</v>
      </c>
      <c r="J6" s="634">
        <v>1</v>
      </c>
      <c r="K6" s="502"/>
      <c r="L6" s="473"/>
    </row>
    <row r="7" ht="16.5" spans="1:12">
      <c r="A7" s="606"/>
      <c r="B7" s="607"/>
      <c r="C7" s="607"/>
      <c r="D7" s="606" t="s">
        <v>18</v>
      </c>
      <c r="E7" s="607" t="s">
        <v>110</v>
      </c>
      <c r="F7" s="606">
        <v>1</v>
      </c>
      <c r="G7" s="606" t="s">
        <v>23</v>
      </c>
      <c r="H7" s="608"/>
      <c r="I7" s="633">
        <v>0</v>
      </c>
      <c r="J7" s="634">
        <v>1</v>
      </c>
      <c r="K7" s="502"/>
      <c r="L7" s="473"/>
    </row>
    <row r="8" ht="16.5" spans="1:12">
      <c r="A8" s="610" t="s">
        <v>43</v>
      </c>
      <c r="B8" s="611"/>
      <c r="C8" s="611">
        <v>42</v>
      </c>
      <c r="D8" s="610" t="s">
        <v>41</v>
      </c>
      <c r="E8" s="611" t="s">
        <v>70</v>
      </c>
      <c r="F8" s="610">
        <v>1</v>
      </c>
      <c r="G8" s="610" t="s">
        <v>23</v>
      </c>
      <c r="H8" s="612" t="s">
        <v>261</v>
      </c>
      <c r="I8" s="637">
        <v>0</v>
      </c>
      <c r="J8" s="638">
        <v>0</v>
      </c>
      <c r="K8" s="507">
        <v>6</v>
      </c>
      <c r="L8" s="475">
        <v>42</v>
      </c>
    </row>
    <row r="9" ht="16.5" spans="1:12">
      <c r="A9" s="609"/>
      <c r="B9" s="609"/>
      <c r="C9" s="609"/>
      <c r="D9" s="610" t="s">
        <v>41</v>
      </c>
      <c r="E9" s="611" t="s">
        <v>69</v>
      </c>
      <c r="F9" s="610">
        <v>1</v>
      </c>
      <c r="G9" s="610" t="s">
        <v>23</v>
      </c>
      <c r="H9" s="612" t="s">
        <v>262</v>
      </c>
      <c r="I9" s="637">
        <v>1</v>
      </c>
      <c r="J9" s="638">
        <v>1</v>
      </c>
      <c r="K9" s="507"/>
      <c r="L9" s="639"/>
    </row>
    <row r="10" ht="55.5" customHeight="1" spans="1:12">
      <c r="A10" s="609"/>
      <c r="B10" s="609"/>
      <c r="C10" s="609"/>
      <c r="D10" s="610" t="s">
        <v>18</v>
      </c>
      <c r="E10" s="611" t="s">
        <v>68</v>
      </c>
      <c r="F10" s="610">
        <v>3</v>
      </c>
      <c r="G10" s="610" t="s">
        <v>23</v>
      </c>
      <c r="H10" s="612" t="s">
        <v>263</v>
      </c>
      <c r="I10" s="637">
        <v>2</v>
      </c>
      <c r="J10" s="638">
        <v>2</v>
      </c>
      <c r="K10" s="507"/>
      <c r="L10" s="639"/>
    </row>
    <row r="11" ht="42" customHeight="1" spans="1:12">
      <c r="A11" s="609"/>
      <c r="B11" s="609"/>
      <c r="C11" s="609"/>
      <c r="D11" s="610" t="s">
        <v>21</v>
      </c>
      <c r="E11" s="611" t="s">
        <v>68</v>
      </c>
      <c r="F11" s="610">
        <v>2</v>
      </c>
      <c r="G11" s="610" t="s">
        <v>20</v>
      </c>
      <c r="H11" s="612" t="s">
        <v>264</v>
      </c>
      <c r="I11" s="474"/>
      <c r="J11" s="507"/>
      <c r="K11" s="507"/>
      <c r="L11" s="639"/>
    </row>
    <row r="12" ht="27.75" customHeight="1" spans="1:12">
      <c r="A12" s="610"/>
      <c r="B12" s="611"/>
      <c r="C12" s="611"/>
      <c r="D12" s="610" t="s">
        <v>18</v>
      </c>
      <c r="E12" s="611" t="s">
        <v>239</v>
      </c>
      <c r="F12" s="610">
        <v>2</v>
      </c>
      <c r="G12" s="610" t="s">
        <v>23</v>
      </c>
      <c r="H12" s="612" t="s">
        <v>240</v>
      </c>
      <c r="I12" s="637">
        <v>2</v>
      </c>
      <c r="J12" s="638">
        <v>1</v>
      </c>
      <c r="K12" s="507"/>
      <c r="L12" s="639"/>
    </row>
    <row r="13" ht="27.75" customHeight="1" spans="1:12">
      <c r="A13" s="609"/>
      <c r="B13" s="609"/>
      <c r="C13" s="609"/>
      <c r="D13" s="610" t="s">
        <v>21</v>
      </c>
      <c r="E13" s="611" t="s">
        <v>239</v>
      </c>
      <c r="F13" s="610">
        <v>2</v>
      </c>
      <c r="G13" s="610" t="s">
        <v>23</v>
      </c>
      <c r="H13" s="612" t="s">
        <v>240</v>
      </c>
      <c r="I13" s="474"/>
      <c r="J13" s="507"/>
      <c r="K13" s="507"/>
      <c r="L13" s="639"/>
    </row>
    <row r="14" ht="16.5" spans="1:12">
      <c r="A14" s="609"/>
      <c r="B14" s="609"/>
      <c r="C14" s="609"/>
      <c r="D14" s="610" t="s">
        <v>18</v>
      </c>
      <c r="E14" s="611" t="s">
        <v>186</v>
      </c>
      <c r="F14" s="610">
        <v>3</v>
      </c>
      <c r="G14" s="610" t="s">
        <v>20</v>
      </c>
      <c r="H14" s="612" t="s">
        <v>187</v>
      </c>
      <c r="I14" s="637">
        <v>6</v>
      </c>
      <c r="J14" s="638">
        <v>5</v>
      </c>
      <c r="K14" s="507"/>
      <c r="L14" s="639"/>
    </row>
    <row r="15" ht="16.5" spans="1:12">
      <c r="A15" s="610"/>
      <c r="B15" s="611"/>
      <c r="C15" s="611"/>
      <c r="D15" s="610" t="s">
        <v>18</v>
      </c>
      <c r="E15" s="611" t="s">
        <v>210</v>
      </c>
      <c r="F15" s="610">
        <v>1</v>
      </c>
      <c r="G15" s="610" t="s">
        <v>23</v>
      </c>
      <c r="H15" s="612" t="s">
        <v>211</v>
      </c>
      <c r="I15" s="637">
        <v>0</v>
      </c>
      <c r="J15" s="638">
        <v>0</v>
      </c>
      <c r="K15" s="507"/>
      <c r="L15" s="639"/>
    </row>
    <row r="16" ht="16.5" spans="1:12">
      <c r="A16" s="610"/>
      <c r="B16" s="611"/>
      <c r="C16" s="611"/>
      <c r="D16" s="610" t="s">
        <v>18</v>
      </c>
      <c r="E16" s="611" t="s">
        <v>239</v>
      </c>
      <c r="F16" s="610">
        <v>1</v>
      </c>
      <c r="G16" s="610" t="s">
        <v>23</v>
      </c>
      <c r="H16" s="612" t="s">
        <v>265</v>
      </c>
      <c r="I16" s="637">
        <v>0</v>
      </c>
      <c r="J16" s="638">
        <v>0</v>
      </c>
      <c r="K16" s="507"/>
      <c r="L16" s="639"/>
    </row>
    <row r="17" ht="16.5" spans="1:12">
      <c r="A17" s="610"/>
      <c r="B17" s="611"/>
      <c r="C17" s="611"/>
      <c r="D17" s="610" t="s">
        <v>21</v>
      </c>
      <c r="E17" s="611" t="s">
        <v>68</v>
      </c>
      <c r="F17" s="610">
        <v>1</v>
      </c>
      <c r="G17" s="610" t="s">
        <v>23</v>
      </c>
      <c r="H17" s="612" t="s">
        <v>265</v>
      </c>
      <c r="I17" s="474"/>
      <c r="J17" s="507"/>
      <c r="K17" s="507"/>
      <c r="L17" s="639"/>
    </row>
    <row r="18" ht="16.5" spans="1:12">
      <c r="A18" s="613" t="s">
        <v>16</v>
      </c>
      <c r="B18" s="614"/>
      <c r="C18" s="614">
        <v>56</v>
      </c>
      <c r="D18" s="613" t="s">
        <v>18</v>
      </c>
      <c r="E18" s="614" t="s">
        <v>237</v>
      </c>
      <c r="F18" s="613">
        <v>1</v>
      </c>
      <c r="G18" s="613" t="s">
        <v>23</v>
      </c>
      <c r="H18" s="615" t="s">
        <v>266</v>
      </c>
      <c r="I18" s="640">
        <v>0</v>
      </c>
      <c r="J18" s="641">
        <v>0</v>
      </c>
      <c r="K18" s="511">
        <v>2</v>
      </c>
      <c r="L18" s="477">
        <v>56</v>
      </c>
    </row>
    <row r="19" ht="16.5" spans="1:12">
      <c r="A19" s="609"/>
      <c r="B19" s="609"/>
      <c r="C19" s="609"/>
      <c r="D19" s="613" t="s">
        <v>18</v>
      </c>
      <c r="E19" s="614" t="s">
        <v>19</v>
      </c>
      <c r="F19" s="614">
        <v>1</v>
      </c>
      <c r="G19" s="613" t="s">
        <v>20</v>
      </c>
      <c r="H19" s="615" t="s">
        <v>137</v>
      </c>
      <c r="I19" s="640">
        <v>2</v>
      </c>
      <c r="J19" s="641">
        <v>2</v>
      </c>
      <c r="K19" s="511"/>
      <c r="L19" s="636"/>
    </row>
    <row r="20" ht="16.5" spans="1:12">
      <c r="A20" s="609"/>
      <c r="B20" s="609"/>
      <c r="C20" s="609"/>
      <c r="D20" s="613" t="s">
        <v>18</v>
      </c>
      <c r="E20" s="614" t="s">
        <v>113</v>
      </c>
      <c r="F20" s="614">
        <v>3</v>
      </c>
      <c r="G20" s="613" t="s">
        <v>20</v>
      </c>
      <c r="H20" s="615" t="s">
        <v>189</v>
      </c>
      <c r="I20" s="640">
        <v>0</v>
      </c>
      <c r="J20" s="641">
        <v>0</v>
      </c>
      <c r="K20" s="511"/>
      <c r="L20" s="636"/>
    </row>
    <row r="21" ht="33" spans="1:12">
      <c r="A21" s="609"/>
      <c r="B21" s="609"/>
      <c r="C21" s="609"/>
      <c r="D21" s="613" t="s">
        <v>18</v>
      </c>
      <c r="E21" s="614" t="s">
        <v>24</v>
      </c>
      <c r="F21" s="614">
        <v>2</v>
      </c>
      <c r="G21" s="613" t="s">
        <v>20</v>
      </c>
      <c r="H21" s="615" t="s">
        <v>267</v>
      </c>
      <c r="I21" s="640">
        <v>0</v>
      </c>
      <c r="J21" s="641">
        <v>0</v>
      </c>
      <c r="K21" s="511"/>
      <c r="L21" s="636"/>
    </row>
    <row r="22" ht="16.5" spans="1:12">
      <c r="A22" s="479" t="s">
        <v>34</v>
      </c>
      <c r="B22" s="616"/>
      <c r="C22" s="616">
        <v>26</v>
      </c>
      <c r="D22" s="479" t="s">
        <v>18</v>
      </c>
      <c r="E22" s="479" t="s">
        <v>61</v>
      </c>
      <c r="F22" s="479">
        <v>6</v>
      </c>
      <c r="G22" s="479" t="s">
        <v>20</v>
      </c>
      <c r="H22" s="480"/>
      <c r="I22" s="642">
        <v>2</v>
      </c>
      <c r="J22" s="643">
        <v>2</v>
      </c>
      <c r="K22" s="515">
        <v>8</v>
      </c>
      <c r="L22" s="644">
        <v>26</v>
      </c>
    </row>
    <row r="23" ht="16.5" spans="1:12">
      <c r="A23" s="609"/>
      <c r="B23" s="609"/>
      <c r="C23" s="609"/>
      <c r="D23" s="479" t="s">
        <v>18</v>
      </c>
      <c r="E23" s="479" t="s">
        <v>268</v>
      </c>
      <c r="F23" s="479">
        <v>6</v>
      </c>
      <c r="G23" s="479" t="s">
        <v>20</v>
      </c>
      <c r="H23" s="480"/>
      <c r="I23" s="642">
        <v>3</v>
      </c>
      <c r="J23" s="643">
        <v>3</v>
      </c>
      <c r="K23" s="515"/>
      <c r="L23" s="636"/>
    </row>
    <row r="24" ht="16.5" spans="1:12">
      <c r="A24" s="609"/>
      <c r="B24" s="609"/>
      <c r="C24" s="609"/>
      <c r="D24" s="479" t="s">
        <v>18</v>
      </c>
      <c r="E24" s="479" t="s">
        <v>66</v>
      </c>
      <c r="F24" s="479">
        <v>6</v>
      </c>
      <c r="G24" s="479" t="s">
        <v>20</v>
      </c>
      <c r="H24" s="480"/>
      <c r="I24" s="642">
        <v>9</v>
      </c>
      <c r="J24" s="643">
        <v>8</v>
      </c>
      <c r="K24" s="515"/>
      <c r="L24" s="636"/>
    </row>
    <row r="25" ht="16.5" spans="1:12">
      <c r="A25" s="609"/>
      <c r="B25" s="609"/>
      <c r="C25" s="609"/>
      <c r="D25" s="479" t="s">
        <v>18</v>
      </c>
      <c r="E25" s="479" t="s">
        <v>269</v>
      </c>
      <c r="F25" s="479">
        <v>3</v>
      </c>
      <c r="G25" s="479" t="s">
        <v>30</v>
      </c>
      <c r="H25" s="480"/>
      <c r="I25" s="642">
        <v>1</v>
      </c>
      <c r="J25" s="643">
        <v>1</v>
      </c>
      <c r="K25" s="515"/>
      <c r="L25" s="636"/>
    </row>
    <row r="26" ht="16.5" spans="1:12">
      <c r="A26" s="609"/>
      <c r="B26" s="609"/>
      <c r="C26" s="609"/>
      <c r="D26" s="479" t="s">
        <v>72</v>
      </c>
      <c r="E26" s="616" t="s">
        <v>270</v>
      </c>
      <c r="F26" s="479">
        <v>1</v>
      </c>
      <c r="G26" s="479" t="s">
        <v>23</v>
      </c>
      <c r="H26" s="617"/>
      <c r="I26" s="642">
        <v>1</v>
      </c>
      <c r="J26" s="643">
        <v>0</v>
      </c>
      <c r="K26" s="515"/>
      <c r="L26" s="636"/>
    </row>
    <row r="27" ht="27.75" customHeight="1" spans="1:12">
      <c r="A27" s="618" t="s">
        <v>31</v>
      </c>
      <c r="B27" s="619"/>
      <c r="C27" s="619">
        <v>81</v>
      </c>
      <c r="D27" s="618" t="s">
        <v>18</v>
      </c>
      <c r="E27" s="619" t="s">
        <v>61</v>
      </c>
      <c r="F27" s="618">
        <v>7</v>
      </c>
      <c r="G27" s="618" t="s">
        <v>20</v>
      </c>
      <c r="H27" s="620" t="s">
        <v>102</v>
      </c>
      <c r="I27" s="645">
        <v>12</v>
      </c>
      <c r="J27" s="646">
        <v>12</v>
      </c>
      <c r="K27" s="519">
        <v>11</v>
      </c>
      <c r="L27" s="485">
        <v>81</v>
      </c>
    </row>
    <row r="28" ht="16.5" spans="1:12">
      <c r="A28" s="609"/>
      <c r="B28" s="609"/>
      <c r="C28" s="609"/>
      <c r="D28" s="618" t="s">
        <v>21</v>
      </c>
      <c r="E28" s="619" t="s">
        <v>32</v>
      </c>
      <c r="F28" s="618">
        <v>3</v>
      </c>
      <c r="G28" s="618" t="s">
        <v>20</v>
      </c>
      <c r="H28" s="620" t="s">
        <v>245</v>
      </c>
      <c r="I28" s="484"/>
      <c r="J28" s="519"/>
      <c r="K28" s="519"/>
      <c r="L28" s="636"/>
    </row>
    <row r="29" ht="16.5" spans="1:12">
      <c r="A29" s="618"/>
      <c r="B29" s="619"/>
      <c r="C29" s="619"/>
      <c r="D29" s="618" t="s">
        <v>18</v>
      </c>
      <c r="E29" s="619" t="s">
        <v>32</v>
      </c>
      <c r="F29" s="618">
        <v>1</v>
      </c>
      <c r="G29" s="618" t="s">
        <v>20</v>
      </c>
      <c r="H29" s="620" t="s">
        <v>245</v>
      </c>
      <c r="I29" s="645">
        <v>4</v>
      </c>
      <c r="J29" s="646">
        <v>4</v>
      </c>
      <c r="K29" s="519"/>
      <c r="L29" s="485"/>
    </row>
    <row r="30" ht="21.75" customHeight="1" spans="1:12">
      <c r="A30" s="618"/>
      <c r="B30" s="619"/>
      <c r="C30" s="619"/>
      <c r="D30" s="618" t="s">
        <v>271</v>
      </c>
      <c r="E30" s="621" t="s">
        <v>218</v>
      </c>
      <c r="F30" s="618"/>
      <c r="G30" s="618"/>
      <c r="H30" s="620"/>
      <c r="I30" s="645">
        <v>1</v>
      </c>
      <c r="J30" s="646">
        <v>1</v>
      </c>
      <c r="K30" s="519"/>
      <c r="L30" s="485"/>
    </row>
    <row r="31" ht="21.75" customHeight="1" spans="1:12">
      <c r="A31" s="618"/>
      <c r="B31" s="619"/>
      <c r="C31" s="619"/>
      <c r="D31" s="618" t="s">
        <v>271</v>
      </c>
      <c r="E31" s="621" t="s">
        <v>272</v>
      </c>
      <c r="F31" s="618"/>
      <c r="G31" s="618"/>
      <c r="H31" s="620"/>
      <c r="I31" s="645">
        <v>1</v>
      </c>
      <c r="J31" s="646">
        <v>1</v>
      </c>
      <c r="K31" s="519"/>
      <c r="L31" s="485"/>
    </row>
    <row r="32" ht="21.75" customHeight="1" spans="1:12">
      <c r="A32" s="618"/>
      <c r="B32" s="619"/>
      <c r="C32" s="619"/>
      <c r="D32" s="618" t="s">
        <v>271</v>
      </c>
      <c r="E32" s="621" t="s">
        <v>190</v>
      </c>
      <c r="F32" s="618"/>
      <c r="G32" s="618"/>
      <c r="H32" s="620"/>
      <c r="I32" s="645">
        <v>1</v>
      </c>
      <c r="J32" s="646">
        <v>1</v>
      </c>
      <c r="K32" s="519"/>
      <c r="L32" s="485"/>
    </row>
    <row r="33" ht="42" customHeight="1" spans="1:12">
      <c r="A33" s="609"/>
      <c r="B33" s="609"/>
      <c r="C33" s="609"/>
      <c r="D33" s="618" t="s">
        <v>21</v>
      </c>
      <c r="E33" s="619" t="s">
        <v>273</v>
      </c>
      <c r="F33" s="618">
        <v>1</v>
      </c>
      <c r="G33" s="618" t="s">
        <v>23</v>
      </c>
      <c r="H33" s="620" t="s">
        <v>274</v>
      </c>
      <c r="I33" s="484"/>
      <c r="J33" s="519"/>
      <c r="K33" s="519"/>
      <c r="L33" s="636"/>
    </row>
    <row r="34" ht="16.5" spans="1:12">
      <c r="A34" s="58" t="s">
        <v>50</v>
      </c>
      <c r="B34" s="59"/>
      <c r="C34" s="59">
        <v>7</v>
      </c>
      <c r="D34" s="58"/>
      <c r="E34" s="59"/>
      <c r="F34" s="58"/>
      <c r="G34" s="58"/>
      <c r="H34" s="622"/>
      <c r="I34" s="488"/>
      <c r="J34" s="647"/>
      <c r="K34" s="647"/>
      <c r="L34" s="489">
        <v>7</v>
      </c>
    </row>
    <row r="35" ht="82.5" spans="1:12">
      <c r="A35" s="623" t="s">
        <v>40</v>
      </c>
      <c r="B35" s="624"/>
      <c r="C35" s="624">
        <v>15</v>
      </c>
      <c r="D35" s="623" t="s">
        <v>41</v>
      </c>
      <c r="E35" s="624" t="s">
        <v>247</v>
      </c>
      <c r="F35" s="623">
        <v>1</v>
      </c>
      <c r="G35" s="623" t="s">
        <v>23</v>
      </c>
      <c r="H35" s="625" t="s">
        <v>275</v>
      </c>
      <c r="I35" s="648">
        <v>2</v>
      </c>
      <c r="J35" s="649">
        <v>1</v>
      </c>
      <c r="K35" s="524">
        <v>1</v>
      </c>
      <c r="L35" s="487">
        <v>15</v>
      </c>
    </row>
    <row r="36" ht="16.5" spans="1:12">
      <c r="A36" s="623"/>
      <c r="B36" s="624"/>
      <c r="C36" s="624"/>
      <c r="D36" s="623"/>
      <c r="E36" s="624"/>
      <c r="F36" s="623"/>
      <c r="G36" s="623"/>
      <c r="H36" s="625"/>
      <c r="I36" s="486"/>
      <c r="J36" s="524"/>
      <c r="K36" s="524"/>
      <c r="L36" s="487"/>
    </row>
    <row r="37" ht="16.5" spans="1:12">
      <c r="A37" s="609"/>
      <c r="B37" s="609"/>
      <c r="C37" s="609"/>
      <c r="D37" s="623"/>
      <c r="E37" s="624"/>
      <c r="F37" s="623"/>
      <c r="G37" s="623"/>
      <c r="H37" s="625"/>
      <c r="I37" s="486"/>
      <c r="J37" s="524"/>
      <c r="K37" s="524"/>
      <c r="L37" s="636"/>
    </row>
    <row r="38" ht="16.5" spans="1:12">
      <c r="A38" s="609"/>
      <c r="B38" s="609"/>
      <c r="C38" s="609"/>
      <c r="D38" s="623"/>
      <c r="E38" s="624"/>
      <c r="F38" s="623"/>
      <c r="G38" s="623"/>
      <c r="H38" s="625"/>
      <c r="I38" s="486"/>
      <c r="J38" s="524"/>
      <c r="K38" s="524"/>
      <c r="L38" s="636"/>
    </row>
    <row r="39" ht="16.5" spans="1:12">
      <c r="A39" s="609"/>
      <c r="B39" s="609"/>
      <c r="C39" s="609"/>
      <c r="D39" s="623"/>
      <c r="E39" s="624"/>
      <c r="F39" s="623"/>
      <c r="G39" s="623"/>
      <c r="H39" s="625"/>
      <c r="I39" s="486"/>
      <c r="J39" s="524"/>
      <c r="K39" s="635"/>
      <c r="L39" s="636"/>
    </row>
    <row r="40" ht="16.5" spans="1:12">
      <c r="A40" s="626" t="s">
        <v>49</v>
      </c>
      <c r="B40" s="627"/>
      <c r="C40" s="627">
        <v>19</v>
      </c>
      <c r="D40" s="626" t="s">
        <v>72</v>
      </c>
      <c r="E40" s="627" t="s">
        <v>276</v>
      </c>
      <c r="F40" s="626">
        <v>1</v>
      </c>
      <c r="G40" s="626" t="s">
        <v>23</v>
      </c>
      <c r="H40" s="628" t="s">
        <v>277</v>
      </c>
      <c r="I40" s="650">
        <v>2</v>
      </c>
      <c r="J40" s="651">
        <v>1</v>
      </c>
      <c r="K40" s="529">
        <v>2</v>
      </c>
      <c r="L40" s="491">
        <v>19</v>
      </c>
    </row>
    <row r="41" ht="16.5" spans="1:12">
      <c r="A41" s="609"/>
      <c r="B41" s="609"/>
      <c r="C41" s="609"/>
      <c r="D41" s="626" t="s">
        <v>21</v>
      </c>
      <c r="E41" s="627" t="s">
        <v>251</v>
      </c>
      <c r="F41" s="626">
        <v>1</v>
      </c>
      <c r="G41" s="626" t="s">
        <v>23</v>
      </c>
      <c r="H41" s="628" t="s">
        <v>252</v>
      </c>
      <c r="I41" s="650">
        <v>1</v>
      </c>
      <c r="J41" s="651">
        <v>1</v>
      </c>
      <c r="K41" s="635"/>
      <c r="L41" s="639"/>
    </row>
    <row r="42" ht="16.5" spans="1:12">
      <c r="A42" s="609"/>
      <c r="B42" s="609"/>
      <c r="C42" s="609"/>
      <c r="D42" s="626" t="s">
        <v>18</v>
      </c>
      <c r="E42" s="627" t="s">
        <v>119</v>
      </c>
      <c r="F42" s="626">
        <v>2</v>
      </c>
      <c r="G42" s="626" t="s">
        <v>23</v>
      </c>
      <c r="H42" s="628" t="s">
        <v>253</v>
      </c>
      <c r="I42" s="650">
        <v>1</v>
      </c>
      <c r="J42" s="651">
        <v>1</v>
      </c>
      <c r="K42" s="635"/>
      <c r="L42" s="639"/>
    </row>
    <row r="43" ht="16.5" spans="1:12">
      <c r="A43" s="626"/>
      <c r="B43" s="627"/>
      <c r="C43" s="627"/>
      <c r="D43" s="626" t="s">
        <v>271</v>
      </c>
      <c r="E43" s="629" t="s">
        <v>278</v>
      </c>
      <c r="F43" s="626"/>
      <c r="G43" s="626"/>
      <c r="H43" s="628"/>
      <c r="I43" s="650">
        <v>0</v>
      </c>
      <c r="J43" s="651">
        <v>0</v>
      </c>
      <c r="K43" s="635"/>
      <c r="L43" s="639"/>
    </row>
    <row r="44" ht="16.5" spans="1:12">
      <c r="A44" s="609"/>
      <c r="B44" s="609"/>
      <c r="C44" s="609"/>
      <c r="D44" s="626" t="s">
        <v>18</v>
      </c>
      <c r="E44" s="627" t="s">
        <v>176</v>
      </c>
      <c r="F44" s="626">
        <v>1</v>
      </c>
      <c r="G44" s="626" t="s">
        <v>23</v>
      </c>
      <c r="H44" s="628" t="s">
        <v>124</v>
      </c>
      <c r="I44" s="650">
        <v>2</v>
      </c>
      <c r="J44" s="651">
        <v>2</v>
      </c>
      <c r="K44" s="635"/>
      <c r="L44" s="639"/>
    </row>
    <row r="45" ht="27.75" customHeight="1" spans="1:12">
      <c r="A45" s="609"/>
      <c r="B45" s="609"/>
      <c r="C45" s="609"/>
      <c r="D45" s="626" t="s">
        <v>41</v>
      </c>
      <c r="E45" s="627" t="s">
        <v>254</v>
      </c>
      <c r="F45" s="626">
        <v>1</v>
      </c>
      <c r="G45" s="626" t="s">
        <v>23</v>
      </c>
      <c r="H45" s="628" t="s">
        <v>227</v>
      </c>
      <c r="I45" s="650">
        <v>0</v>
      </c>
      <c r="J45" s="651">
        <v>0</v>
      </c>
      <c r="K45" s="635"/>
      <c r="L45" s="639"/>
    </row>
    <row r="46" ht="16.5" spans="1:12">
      <c r="A46" s="609"/>
      <c r="B46" s="609"/>
      <c r="C46" s="609"/>
      <c r="D46" s="626" t="s">
        <v>18</v>
      </c>
      <c r="E46" s="627" t="s">
        <v>279</v>
      </c>
      <c r="F46" s="626">
        <v>1</v>
      </c>
      <c r="G46" s="626" t="s">
        <v>23</v>
      </c>
      <c r="H46" s="628" t="s">
        <v>280</v>
      </c>
      <c r="I46" s="650">
        <v>0</v>
      </c>
      <c r="J46" s="651">
        <v>0</v>
      </c>
      <c r="K46" s="635"/>
      <c r="L46" s="639"/>
    </row>
    <row r="47" ht="17.25" spans="1:12">
      <c r="A47" s="609"/>
      <c r="B47" s="609"/>
      <c r="C47" s="609"/>
      <c r="D47" s="626" t="s">
        <v>18</v>
      </c>
      <c r="E47" s="627" t="s">
        <v>281</v>
      </c>
      <c r="F47" s="626">
        <v>1</v>
      </c>
      <c r="G47" s="626" t="s">
        <v>23</v>
      </c>
      <c r="H47" s="628"/>
      <c r="I47" s="652"/>
      <c r="J47" s="653"/>
      <c r="K47" s="654"/>
      <c r="L47" s="655"/>
    </row>
    <row r="48" ht="16.5" spans="4:4">
      <c r="D48" s="65"/>
    </row>
    <row r="49" ht="16.5" spans="4:4">
      <c r="D49" s="65"/>
    </row>
    <row r="50" ht="16.5" spans="4:4">
      <c r="D50" s="65"/>
    </row>
    <row r="51" ht="16.5" spans="4:4">
      <c r="D51" s="65"/>
    </row>
    <row r="52" ht="16.5" spans="4:4">
      <c r="D52" s="65"/>
    </row>
    <row r="53" ht="16.5" spans="4:4">
      <c r="D53" s="65"/>
    </row>
    <row r="54" ht="16.5" spans="4:4">
      <c r="D54" s="65"/>
    </row>
    <row r="55" ht="16.5" spans="1:7">
      <c r="A55" s="65"/>
      <c r="B55" s="1"/>
      <c r="C55" s="1"/>
      <c r="D55" s="66"/>
      <c r="E55" s="1"/>
      <c r="F55" s="66"/>
      <c r="G55" s="66"/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4:4">
      <c r="D63" s="65"/>
    </row>
    <row r="64" ht="16.5" spans="4:4">
      <c r="D64" s="65"/>
    </row>
    <row r="65" ht="16.5" spans="4:4">
      <c r="D65" s="65"/>
    </row>
    <row r="66" ht="16.5" spans="4:4">
      <c r="D66" s="65"/>
    </row>
    <row r="67" ht="16.5" spans="4:4">
      <c r="D67" s="65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6"/>
      <c r="E208" s="1"/>
      <c r="F208" s="66"/>
      <c r="G208" s="66"/>
    </row>
    <row r="209" ht="16.5" spans="1:7">
      <c r="A209" s="65"/>
      <c r="B209" s="1"/>
      <c r="C209" s="1"/>
      <c r="D209" s="66"/>
      <c r="E209" s="1"/>
      <c r="F209" s="66"/>
      <c r="G209" s="66"/>
    </row>
    <row r="210" ht="16.5" spans="1:7">
      <c r="A210" s="65"/>
      <c r="B210" s="1"/>
      <c r="C210" s="1"/>
      <c r="D210" s="66"/>
      <c r="E210" s="1"/>
      <c r="F210" s="66"/>
      <c r="G210" s="66"/>
    </row>
    <row r="211" ht="16.5" spans="1:7">
      <c r="A211" s="65"/>
      <c r="B211" s="1"/>
      <c r="C211" s="1"/>
      <c r="D211" s="66"/>
      <c r="E211" s="1"/>
      <c r="F211" s="66"/>
      <c r="G211" s="66"/>
    </row>
    <row r="212" ht="16.5" spans="1:7">
      <c r="A212" s="65"/>
      <c r="B212" s="1"/>
      <c r="C212" s="1"/>
      <c r="D212" s="66"/>
      <c r="E212" s="1"/>
      <c r="F212" s="66"/>
      <c r="G212" s="66"/>
    </row>
    <row r="213" ht="16.5" spans="1:7">
      <c r="A213" s="65"/>
      <c r="B213" s="1"/>
      <c r="C213" s="1"/>
      <c r="D213" s="66"/>
      <c r="E213" s="1"/>
      <c r="F213" s="66"/>
      <c r="G213" s="66"/>
    </row>
    <row r="214" ht="16.5" spans="1:7">
      <c r="A214" s="65"/>
      <c r="B214" s="1"/>
      <c r="C214" s="1"/>
      <c r="D214" s="66"/>
      <c r="E214" s="1"/>
      <c r="F214" s="66"/>
      <c r="G214" s="66"/>
    </row>
    <row r="215" ht="16.5" spans="1:7">
      <c r="A215" s="65"/>
      <c r="B215" s="1"/>
      <c r="C215" s="1"/>
      <c r="D215" s="66"/>
      <c r="E215" s="1"/>
      <c r="F215" s="66"/>
      <c r="G215" s="66"/>
    </row>
    <row r="216" ht="16.5" spans="1:7">
      <c r="A216" s="65"/>
      <c r="B216" s="1"/>
      <c r="C216" s="1"/>
      <c r="D216" s="65"/>
      <c r="E216" s="1"/>
      <c r="F216" s="1"/>
      <c r="G216" s="65"/>
    </row>
    <row r="217" ht="16.5" spans="1:7">
      <c r="A217" s="65"/>
      <c r="B217" s="1"/>
      <c r="C217" s="1"/>
      <c r="D217" s="65"/>
      <c r="E217" s="1"/>
      <c r="F217" s="1"/>
      <c r="G217" s="65"/>
    </row>
  </sheetData>
  <autoFilter xmlns:etc="http://www.wps.cn/officeDocument/2017/etCustomData" ref="A3:L47" etc:filterBottomFollowUsedRange="0">
    <extLst/>
  </autoFilter>
  <mergeCells count="39">
    <mergeCell ref="A1:H1"/>
    <mergeCell ref="J1:L1"/>
    <mergeCell ref="A2:H2"/>
    <mergeCell ref="I2:L2"/>
    <mergeCell ref="A4:A7"/>
    <mergeCell ref="A8:A17"/>
    <mergeCell ref="A18:A21"/>
    <mergeCell ref="A22:A26"/>
    <mergeCell ref="A27:A33"/>
    <mergeCell ref="A35:A39"/>
    <mergeCell ref="A40:A47"/>
    <mergeCell ref="B4:B7"/>
    <mergeCell ref="B8:B17"/>
    <mergeCell ref="B18:B21"/>
    <mergeCell ref="B22:B26"/>
    <mergeCell ref="B27:B33"/>
    <mergeCell ref="B35:B39"/>
    <mergeCell ref="B40:B47"/>
    <mergeCell ref="C4:C7"/>
    <mergeCell ref="C8:C17"/>
    <mergeCell ref="C18:C21"/>
    <mergeCell ref="C22:C26"/>
    <mergeCell ref="C27:C33"/>
    <mergeCell ref="C35:C39"/>
    <mergeCell ref="C40:C47"/>
    <mergeCell ref="K4:K7"/>
    <mergeCell ref="K8:K17"/>
    <mergeCell ref="K18:K21"/>
    <mergeCell ref="K22:K26"/>
    <mergeCell ref="K27:K33"/>
    <mergeCell ref="K35:K39"/>
    <mergeCell ref="K40:K47"/>
    <mergeCell ref="L4:L7"/>
    <mergeCell ref="L8:L17"/>
    <mergeCell ref="L18:L21"/>
    <mergeCell ref="L22:L26"/>
    <mergeCell ref="L27:L33"/>
    <mergeCell ref="L35:L39"/>
    <mergeCell ref="L40:L47"/>
  </mergeCells>
  <dataValidations count="3">
    <dataValidation type="list" allowBlank="1" showInputMessage="1" showErrorMessage="1" sqref="A3:A1048576">
      <formula1>"自孵部,签约部,培训部,外采部,商务部,运营中台,总经办+财务部,财务部,技术部,"</formula1>
    </dataValidation>
    <dataValidation type="list" allowBlank="1" showInputMessage="1" showErrorMessage="1" sqref="D3:D1048576">
      <formula1>"新增需求,替补需求,储备需求,上个月未交付延期本月,临时需求,"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周度招聘统计"/>
  <dimension ref="A1:BC212"/>
  <sheetViews>
    <sheetView workbookViewId="0">
      <selection activeCell="A1" sqref="A1"/>
    </sheetView>
  </sheetViews>
  <sheetFormatPr defaultColWidth="14" defaultRowHeight="18" customHeight="1"/>
  <cols>
    <col min="1" max="27" width="13.6761904761905" style="185"/>
    <col min="28" max="28" width="17.4" style="185" customWidth="1"/>
    <col min="29" max="31" width="13.6761904761905" style="185"/>
    <col min="32" max="32" width="13.6761904761905"/>
    <col min="33" max="33" width="13.6761904761905" style="185"/>
  </cols>
  <sheetData>
    <row r="1" ht="13.5" spans="43:51">
      <c r="AQ1" s="495" t="s">
        <v>282</v>
      </c>
      <c r="AR1" s="496"/>
      <c r="AS1" s="496"/>
      <c r="AT1" s="496"/>
      <c r="AU1" s="496"/>
      <c r="AV1" s="496"/>
      <c r="AW1" s="496"/>
      <c r="AX1" s="496"/>
      <c r="AY1" s="496"/>
    </row>
    <row r="2" ht="18.75" spans="1:51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188"/>
      <c r="T2" s="188"/>
      <c r="U2" s="188"/>
      <c r="V2" s="188"/>
      <c r="W2" s="189"/>
      <c r="X2" s="190"/>
      <c r="Y2" s="249"/>
      <c r="Z2" s="388" t="s">
        <v>283</v>
      </c>
      <c r="AA2" s="389"/>
      <c r="AB2" s="389"/>
      <c r="AC2" s="389"/>
      <c r="AD2" s="390"/>
      <c r="AE2" s="391" t="s">
        <v>284</v>
      </c>
      <c r="AF2" s="390"/>
      <c r="AG2" s="249"/>
      <c r="AH2" s="388" t="s">
        <v>229</v>
      </c>
      <c r="AI2" s="437"/>
      <c r="AJ2" s="389"/>
      <c r="AK2" s="389"/>
      <c r="AL2" s="438"/>
      <c r="AM2" s="439" t="s">
        <v>285</v>
      </c>
      <c r="AN2" s="390"/>
      <c r="AR2" s="497" t="s">
        <v>4</v>
      </c>
      <c r="AS2" s="497" t="s">
        <v>177</v>
      </c>
      <c r="AT2" s="497" t="s">
        <v>286</v>
      </c>
      <c r="AU2" s="497" t="s">
        <v>8</v>
      </c>
      <c r="AV2" s="497" t="s">
        <v>9</v>
      </c>
      <c r="AW2" s="497" t="s">
        <v>10</v>
      </c>
      <c r="AX2" s="536" t="s">
        <v>287</v>
      </c>
      <c r="AY2" s="536" t="s">
        <v>288</v>
      </c>
    </row>
    <row r="3" ht="18.75" spans="1:51">
      <c r="A3" s="186"/>
      <c r="B3" s="187"/>
      <c r="C3" s="188"/>
      <c r="D3" s="188"/>
      <c r="E3" s="188"/>
      <c r="F3" s="188"/>
      <c r="G3" s="189"/>
      <c r="H3" s="190"/>
      <c r="I3" s="186"/>
      <c r="J3" s="187"/>
      <c r="K3" s="188"/>
      <c r="L3" s="188"/>
      <c r="M3" s="188"/>
      <c r="N3" s="188"/>
      <c r="O3" s="189"/>
      <c r="P3" s="190"/>
      <c r="Q3" s="186"/>
      <c r="R3" s="250" t="s">
        <v>178</v>
      </c>
      <c r="S3" s="251"/>
      <c r="T3" s="253"/>
      <c r="U3" s="253"/>
      <c r="V3" s="254"/>
      <c r="W3" s="255" t="s">
        <v>289</v>
      </c>
      <c r="X3" s="305"/>
      <c r="Y3" s="249"/>
      <c r="Z3" s="392"/>
      <c r="AA3" s="393"/>
      <c r="AB3" s="199" t="s">
        <v>8</v>
      </c>
      <c r="AC3" s="199" t="s">
        <v>9</v>
      </c>
      <c r="AD3" s="394" t="s">
        <v>10</v>
      </c>
      <c r="AE3" s="395" t="s">
        <v>12</v>
      </c>
      <c r="AF3" s="208" t="s">
        <v>13</v>
      </c>
      <c r="AG3" s="249"/>
      <c r="AH3" s="392"/>
      <c r="AI3" s="199" t="s">
        <v>286</v>
      </c>
      <c r="AJ3" s="199" t="s">
        <v>8</v>
      </c>
      <c r="AK3" s="199" t="s">
        <v>9</v>
      </c>
      <c r="AL3" s="440" t="s">
        <v>10</v>
      </c>
      <c r="AM3" s="441" t="s">
        <v>12</v>
      </c>
      <c r="AN3" s="442" t="s">
        <v>13</v>
      </c>
      <c r="AQ3" s="498" t="s">
        <v>290</v>
      </c>
      <c r="AR3" s="499" t="s">
        <v>25</v>
      </c>
      <c r="AS3" s="500">
        <f>SUM(AV3:AV7)</f>
        <v>35</v>
      </c>
      <c r="AT3" s="501" t="s">
        <v>18</v>
      </c>
      <c r="AU3" s="502" t="s">
        <v>184</v>
      </c>
      <c r="AV3" s="501">
        <v>30</v>
      </c>
      <c r="AW3" s="537" t="s">
        <v>30</v>
      </c>
      <c r="AX3" s="500">
        <v>62</v>
      </c>
      <c r="AY3" s="500">
        <v>50</v>
      </c>
    </row>
    <row r="4" spans="1:51">
      <c r="A4" s="191"/>
      <c r="B4" s="192" t="s">
        <v>126</v>
      </c>
      <c r="C4" s="193"/>
      <c r="D4" s="194"/>
      <c r="E4" s="195"/>
      <c r="F4" s="196"/>
      <c r="G4" s="197" t="s">
        <v>291</v>
      </c>
      <c r="H4" s="196"/>
      <c r="I4" s="191"/>
      <c r="J4" s="250" t="s">
        <v>160</v>
      </c>
      <c r="K4" s="251"/>
      <c r="L4" s="252"/>
      <c r="M4" s="253"/>
      <c r="N4" s="254"/>
      <c r="O4" s="255" t="s">
        <v>292</v>
      </c>
      <c r="P4" s="256"/>
      <c r="Q4" s="191"/>
      <c r="R4" s="315"/>
      <c r="S4" s="316"/>
      <c r="T4" s="200" t="s">
        <v>8</v>
      </c>
      <c r="U4" s="200" t="s">
        <v>9</v>
      </c>
      <c r="V4" s="258" t="s">
        <v>10</v>
      </c>
      <c r="W4" s="317" t="s">
        <v>12</v>
      </c>
      <c r="X4" s="318" t="s">
        <v>13</v>
      </c>
      <c r="Y4" s="249"/>
      <c r="Z4" s="209" t="s">
        <v>25</v>
      </c>
      <c r="AA4" s="262" t="s">
        <v>168</v>
      </c>
      <c r="AB4" s="210" t="s">
        <v>184</v>
      </c>
      <c r="AC4" s="210"/>
      <c r="AD4" s="211"/>
      <c r="AE4" s="396">
        <v>6</v>
      </c>
      <c r="AF4" s="397">
        <v>1</v>
      </c>
      <c r="AG4" s="249"/>
      <c r="AH4" s="443"/>
      <c r="AI4" s="262"/>
      <c r="AJ4" s="210"/>
      <c r="AK4" s="262"/>
      <c r="AL4" s="444"/>
      <c r="AM4" s="445"/>
      <c r="AN4" s="211"/>
      <c r="AQ4" s="498"/>
      <c r="AR4" s="499"/>
      <c r="AS4" s="500"/>
      <c r="AT4" s="501"/>
      <c r="AU4" s="502"/>
      <c r="AV4" s="501"/>
      <c r="AW4" s="537"/>
      <c r="AX4" s="500"/>
      <c r="AY4" s="500"/>
    </row>
    <row r="5" ht="16.5" spans="1:51">
      <c r="A5" s="191"/>
      <c r="B5" s="198" t="s">
        <v>4</v>
      </c>
      <c r="C5" s="199" t="s">
        <v>78</v>
      </c>
      <c r="D5" s="200" t="s">
        <v>8</v>
      </c>
      <c r="E5" s="200" t="s">
        <v>9</v>
      </c>
      <c r="F5" s="201" t="s">
        <v>10</v>
      </c>
      <c r="G5" s="202" t="s">
        <v>12</v>
      </c>
      <c r="H5" s="203" t="s">
        <v>13</v>
      </c>
      <c r="I5" s="191"/>
      <c r="J5" s="257" t="s">
        <v>4</v>
      </c>
      <c r="K5" s="199" t="s">
        <v>78</v>
      </c>
      <c r="L5" s="200" t="s">
        <v>8</v>
      </c>
      <c r="M5" s="200" t="s">
        <v>9</v>
      </c>
      <c r="N5" s="258" t="s">
        <v>10</v>
      </c>
      <c r="O5" s="259" t="s">
        <v>12</v>
      </c>
      <c r="P5" s="260" t="s">
        <v>13</v>
      </c>
      <c r="Q5" s="191"/>
      <c r="R5" s="319" t="s">
        <v>25</v>
      </c>
      <c r="S5" s="320"/>
      <c r="T5" s="321" t="s">
        <v>116</v>
      </c>
      <c r="U5" s="321">
        <v>0</v>
      </c>
      <c r="V5" s="322"/>
      <c r="W5" s="323"/>
      <c r="X5" s="324"/>
      <c r="Y5" s="249"/>
      <c r="Z5" s="398"/>
      <c r="AA5" s="262" t="s">
        <v>18</v>
      </c>
      <c r="AB5" s="210" t="s">
        <v>208</v>
      </c>
      <c r="AC5" s="210">
        <v>15</v>
      </c>
      <c r="AD5" s="211" t="s">
        <v>30</v>
      </c>
      <c r="AE5" s="396">
        <v>16</v>
      </c>
      <c r="AF5" s="397"/>
      <c r="AG5" s="249"/>
      <c r="AH5" s="443" t="s">
        <v>25</v>
      </c>
      <c r="AI5" s="262" t="s">
        <v>18</v>
      </c>
      <c r="AJ5" s="210" t="s">
        <v>27</v>
      </c>
      <c r="AK5" s="262">
        <v>4</v>
      </c>
      <c r="AL5" s="444" t="s">
        <v>23</v>
      </c>
      <c r="AM5" s="445">
        <v>3</v>
      </c>
      <c r="AN5" s="211">
        <v>2</v>
      </c>
      <c r="AQ5" s="496"/>
      <c r="AR5" s="503"/>
      <c r="AS5" s="496"/>
      <c r="AT5" s="501" t="s">
        <v>18</v>
      </c>
      <c r="AU5" s="502" t="s">
        <v>27</v>
      </c>
      <c r="AV5" s="501">
        <v>3</v>
      </c>
      <c r="AW5" s="537" t="s">
        <v>23</v>
      </c>
      <c r="AX5" s="500">
        <v>3</v>
      </c>
      <c r="AY5" s="500">
        <v>6</v>
      </c>
    </row>
    <row r="6" ht="16.5" spans="1:51">
      <c r="A6" s="191"/>
      <c r="B6" s="204" t="s">
        <v>16</v>
      </c>
      <c r="C6" s="205" t="s">
        <v>18</v>
      </c>
      <c r="D6" s="205" t="s">
        <v>19</v>
      </c>
      <c r="E6" s="205">
        <v>4</v>
      </c>
      <c r="F6" s="206" t="s">
        <v>23</v>
      </c>
      <c r="G6" s="207"/>
      <c r="H6" s="208"/>
      <c r="I6" s="191"/>
      <c r="J6" s="261" t="s">
        <v>25</v>
      </c>
      <c r="K6" s="262" t="s">
        <v>18</v>
      </c>
      <c r="L6" s="210" t="s">
        <v>85</v>
      </c>
      <c r="M6" s="210">
        <v>10</v>
      </c>
      <c r="N6" s="263" t="s">
        <v>30</v>
      </c>
      <c r="O6" s="264">
        <v>2</v>
      </c>
      <c r="P6" s="264">
        <v>2</v>
      </c>
      <c r="Q6" s="191"/>
      <c r="R6" s="325" t="s">
        <v>43</v>
      </c>
      <c r="S6" s="326" t="s">
        <v>293</v>
      </c>
      <c r="T6" s="327" t="s">
        <v>186</v>
      </c>
      <c r="U6" s="327">
        <v>2</v>
      </c>
      <c r="V6" s="328" t="s">
        <v>20</v>
      </c>
      <c r="W6" s="323">
        <v>1</v>
      </c>
      <c r="X6" s="324">
        <v>1</v>
      </c>
      <c r="Y6" s="249"/>
      <c r="Z6" s="399" t="s">
        <v>43</v>
      </c>
      <c r="AA6" s="266" t="s">
        <v>18</v>
      </c>
      <c r="AB6" s="222" t="s">
        <v>186</v>
      </c>
      <c r="AC6" s="222">
        <v>1</v>
      </c>
      <c r="AD6" s="223" t="s">
        <v>20</v>
      </c>
      <c r="AE6" s="400"/>
      <c r="AF6" s="401"/>
      <c r="AG6" s="249"/>
      <c r="AH6" s="443"/>
      <c r="AI6" s="262" t="s">
        <v>168</v>
      </c>
      <c r="AJ6" s="210" t="s">
        <v>237</v>
      </c>
      <c r="AK6" s="262"/>
      <c r="AL6" s="444" t="s">
        <v>23</v>
      </c>
      <c r="AM6" s="445">
        <v>1</v>
      </c>
      <c r="AN6" s="211"/>
      <c r="AQ6" s="496"/>
      <c r="AR6" s="503"/>
      <c r="AS6" s="496"/>
      <c r="AT6" s="501" t="s">
        <v>18</v>
      </c>
      <c r="AU6" s="502" t="s">
        <v>260</v>
      </c>
      <c r="AV6" s="501">
        <v>1</v>
      </c>
      <c r="AW6" s="537" t="s">
        <v>23</v>
      </c>
      <c r="AX6" s="500">
        <v>1</v>
      </c>
      <c r="AY6" s="500">
        <v>1</v>
      </c>
    </row>
    <row r="7" ht="16.5" spans="1:51">
      <c r="A7" s="191"/>
      <c r="B7" s="209" t="s">
        <v>25</v>
      </c>
      <c r="C7" s="210" t="s">
        <v>18</v>
      </c>
      <c r="D7" s="210" t="s">
        <v>130</v>
      </c>
      <c r="E7" s="210">
        <v>3</v>
      </c>
      <c r="F7" s="211" t="s">
        <v>23</v>
      </c>
      <c r="G7" s="207"/>
      <c r="H7" s="208"/>
      <c r="I7" s="191"/>
      <c r="J7" s="261"/>
      <c r="K7" s="262"/>
      <c r="L7" s="210" t="s">
        <v>110</v>
      </c>
      <c r="M7" s="210"/>
      <c r="N7" s="263"/>
      <c r="O7" s="264"/>
      <c r="P7" s="264">
        <v>3</v>
      </c>
      <c r="Q7" s="191"/>
      <c r="R7" s="329" t="s">
        <v>16</v>
      </c>
      <c r="S7" s="330" t="s">
        <v>18</v>
      </c>
      <c r="T7" s="331" t="s">
        <v>19</v>
      </c>
      <c r="U7" s="331">
        <v>3</v>
      </c>
      <c r="V7" s="332" t="s">
        <v>23</v>
      </c>
      <c r="W7" s="323"/>
      <c r="X7" s="324"/>
      <c r="Y7" s="249"/>
      <c r="Z7" s="398"/>
      <c r="AA7" s="266" t="s">
        <v>18</v>
      </c>
      <c r="AB7" s="222" t="s">
        <v>209</v>
      </c>
      <c r="AC7" s="222">
        <v>1</v>
      </c>
      <c r="AD7" s="223" t="s">
        <v>20</v>
      </c>
      <c r="AE7" s="400"/>
      <c r="AF7" s="401"/>
      <c r="AG7" s="249"/>
      <c r="AH7" s="224"/>
      <c r="AI7" s="262" t="s">
        <v>18</v>
      </c>
      <c r="AJ7" s="210" t="s">
        <v>235</v>
      </c>
      <c r="AK7" s="262">
        <v>10</v>
      </c>
      <c r="AL7" s="444" t="s">
        <v>30</v>
      </c>
      <c r="AM7" s="445">
        <v>27</v>
      </c>
      <c r="AN7" s="211">
        <v>11</v>
      </c>
      <c r="AQ7" s="496"/>
      <c r="AR7" s="503"/>
      <c r="AS7" s="496"/>
      <c r="AT7" s="501" t="s">
        <v>18</v>
      </c>
      <c r="AU7" s="502" t="s">
        <v>110</v>
      </c>
      <c r="AV7" s="501">
        <v>1</v>
      </c>
      <c r="AW7" s="537" t="s">
        <v>23</v>
      </c>
      <c r="AX7" s="500">
        <v>0</v>
      </c>
      <c r="AY7" s="500">
        <v>1</v>
      </c>
    </row>
    <row r="8" ht="16.5" spans="1:51">
      <c r="A8" s="191"/>
      <c r="B8" s="212"/>
      <c r="C8" s="210" t="s">
        <v>18</v>
      </c>
      <c r="D8" s="210" t="s">
        <v>85</v>
      </c>
      <c r="E8" s="210">
        <v>1</v>
      </c>
      <c r="F8" s="211" t="s">
        <v>30</v>
      </c>
      <c r="G8" s="207">
        <v>3</v>
      </c>
      <c r="H8" s="208"/>
      <c r="I8" s="191"/>
      <c r="J8" s="261"/>
      <c r="K8" s="262"/>
      <c r="L8" s="210" t="s">
        <v>132</v>
      </c>
      <c r="M8" s="210"/>
      <c r="N8" s="263"/>
      <c r="O8" s="264"/>
      <c r="P8" s="264">
        <v>1</v>
      </c>
      <c r="Q8" s="191"/>
      <c r="R8" s="329"/>
      <c r="S8" s="330"/>
      <c r="T8" s="331"/>
      <c r="U8" s="331"/>
      <c r="V8" s="332"/>
      <c r="W8" s="323"/>
      <c r="X8" s="324"/>
      <c r="Y8" s="249"/>
      <c r="Z8" s="402"/>
      <c r="AA8" s="266"/>
      <c r="AB8" s="222"/>
      <c r="AC8" s="222"/>
      <c r="AD8" s="223"/>
      <c r="AE8" s="400"/>
      <c r="AF8" s="401"/>
      <c r="AG8" s="249"/>
      <c r="AH8" s="443"/>
      <c r="AI8" s="262"/>
      <c r="AJ8" s="210"/>
      <c r="AK8" s="262"/>
      <c r="AL8" s="444"/>
      <c r="AM8" s="445"/>
      <c r="AN8" s="211"/>
      <c r="AQ8" s="498"/>
      <c r="AR8" s="499"/>
      <c r="AS8" s="500"/>
      <c r="AT8" s="501"/>
      <c r="AU8" s="502"/>
      <c r="AV8" s="501"/>
      <c r="AW8" s="537"/>
      <c r="AX8" s="500"/>
      <c r="AY8" s="500"/>
    </row>
    <row r="9" ht="16.5" spans="1:51">
      <c r="A9" s="213"/>
      <c r="B9" s="214"/>
      <c r="C9" s="210" t="s">
        <v>18</v>
      </c>
      <c r="D9" s="210" t="s">
        <v>132</v>
      </c>
      <c r="E9" s="210"/>
      <c r="F9" s="211"/>
      <c r="G9" s="207">
        <v>1</v>
      </c>
      <c r="H9" s="208"/>
      <c r="I9" s="213"/>
      <c r="J9" s="265" t="s">
        <v>43</v>
      </c>
      <c r="K9" s="266" t="s">
        <v>21</v>
      </c>
      <c r="L9" s="222" t="s">
        <v>133</v>
      </c>
      <c r="M9" s="222">
        <v>1</v>
      </c>
      <c r="N9" s="267" t="s">
        <v>23</v>
      </c>
      <c r="O9" s="264"/>
      <c r="P9" s="264"/>
      <c r="Q9" s="213"/>
      <c r="R9" s="333"/>
      <c r="S9" s="330" t="s">
        <v>18</v>
      </c>
      <c r="T9" s="331" t="s">
        <v>113</v>
      </c>
      <c r="U9" s="331">
        <v>1</v>
      </c>
      <c r="V9" s="332" t="s">
        <v>23</v>
      </c>
      <c r="W9" s="323">
        <v>1</v>
      </c>
      <c r="X9" s="324"/>
      <c r="Y9" s="249"/>
      <c r="Z9" s="204" t="s">
        <v>16</v>
      </c>
      <c r="AA9" s="270" t="s">
        <v>18</v>
      </c>
      <c r="AB9" s="205" t="s">
        <v>19</v>
      </c>
      <c r="AC9" s="205">
        <v>5</v>
      </c>
      <c r="AD9" s="206" t="s">
        <v>23</v>
      </c>
      <c r="AE9" s="403"/>
      <c r="AF9" s="404"/>
      <c r="AG9" s="249"/>
      <c r="AH9" s="221" t="s">
        <v>43</v>
      </c>
      <c r="AI9" s="266" t="s">
        <v>21</v>
      </c>
      <c r="AJ9" s="222" t="s">
        <v>186</v>
      </c>
      <c r="AK9" s="266">
        <v>3</v>
      </c>
      <c r="AL9" s="446" t="s">
        <v>20</v>
      </c>
      <c r="AM9" s="447"/>
      <c r="AN9" s="223"/>
      <c r="AQ9" s="496"/>
      <c r="AR9" s="504" t="s">
        <v>43</v>
      </c>
      <c r="AS9" s="505">
        <f>SUM(AV9:AV16)</f>
        <v>12</v>
      </c>
      <c r="AT9" s="506" t="s">
        <v>41</v>
      </c>
      <c r="AU9" s="507" t="s">
        <v>70</v>
      </c>
      <c r="AV9" s="506">
        <v>1</v>
      </c>
      <c r="AW9" s="538" t="s">
        <v>23</v>
      </c>
      <c r="AX9" s="505">
        <v>0</v>
      </c>
      <c r="AY9" s="505">
        <v>0</v>
      </c>
    </row>
    <row r="10" ht="16.5" spans="1:51">
      <c r="A10" s="213"/>
      <c r="B10" s="215" t="s">
        <v>34</v>
      </c>
      <c r="C10" s="216" t="s">
        <v>18</v>
      </c>
      <c r="D10" s="217" t="s">
        <v>138</v>
      </c>
      <c r="E10" s="216">
        <v>2</v>
      </c>
      <c r="F10" s="218" t="s">
        <v>23</v>
      </c>
      <c r="G10" s="207">
        <v>2</v>
      </c>
      <c r="H10" s="208">
        <v>1</v>
      </c>
      <c r="I10" s="213"/>
      <c r="J10" s="268"/>
      <c r="K10" s="266" t="s">
        <v>21</v>
      </c>
      <c r="L10" s="222" t="s">
        <v>70</v>
      </c>
      <c r="M10" s="222">
        <v>1</v>
      </c>
      <c r="N10" s="267" t="s">
        <v>23</v>
      </c>
      <c r="O10" s="264"/>
      <c r="P10" s="264"/>
      <c r="Q10" s="213"/>
      <c r="R10" s="334"/>
      <c r="S10" s="335" t="s">
        <v>168</v>
      </c>
      <c r="T10" s="220" t="s">
        <v>24</v>
      </c>
      <c r="U10" s="220"/>
      <c r="V10" s="336"/>
      <c r="W10" s="323">
        <v>1</v>
      </c>
      <c r="X10" s="324"/>
      <c r="Y10" s="249"/>
      <c r="Z10" s="204"/>
      <c r="AA10" s="270"/>
      <c r="AB10" s="205"/>
      <c r="AC10" s="205"/>
      <c r="AD10" s="206"/>
      <c r="AE10" s="403"/>
      <c r="AF10" s="404"/>
      <c r="AG10" s="249"/>
      <c r="AH10" s="221"/>
      <c r="AI10" s="266"/>
      <c r="AJ10" s="222"/>
      <c r="AK10" s="266"/>
      <c r="AL10" s="446"/>
      <c r="AM10" s="447"/>
      <c r="AN10" s="223"/>
      <c r="AQ10" s="498"/>
      <c r="AR10" s="504"/>
      <c r="AS10" s="505"/>
      <c r="AT10" s="506"/>
      <c r="AU10" s="507"/>
      <c r="AV10" s="506"/>
      <c r="AW10" s="538"/>
      <c r="AX10" s="505"/>
      <c r="AY10" s="505"/>
    </row>
    <row r="11" ht="16.5" spans="1:51">
      <c r="A11" s="213"/>
      <c r="B11" s="219"/>
      <c r="C11" s="216" t="s">
        <v>18</v>
      </c>
      <c r="D11" s="220" t="s">
        <v>36</v>
      </c>
      <c r="E11" s="216">
        <v>2</v>
      </c>
      <c r="F11" s="218" t="s">
        <v>23</v>
      </c>
      <c r="G11" s="207">
        <v>2</v>
      </c>
      <c r="H11" s="208">
        <v>2</v>
      </c>
      <c r="I11" s="213"/>
      <c r="J11" s="269" t="s">
        <v>16</v>
      </c>
      <c r="K11" s="270" t="s">
        <v>18</v>
      </c>
      <c r="L11" s="205" t="s">
        <v>19</v>
      </c>
      <c r="M11" s="205">
        <v>2</v>
      </c>
      <c r="N11" s="271" t="s">
        <v>23</v>
      </c>
      <c r="O11" s="264"/>
      <c r="P11" s="264">
        <v>1</v>
      </c>
      <c r="Q11" s="213"/>
      <c r="R11" s="334" t="s">
        <v>34</v>
      </c>
      <c r="S11" s="335" t="s">
        <v>18</v>
      </c>
      <c r="T11" s="220" t="s">
        <v>36</v>
      </c>
      <c r="U11" s="220">
        <v>2</v>
      </c>
      <c r="V11" s="336" t="s">
        <v>20</v>
      </c>
      <c r="W11" s="323"/>
      <c r="X11" s="324"/>
      <c r="Y11" s="249"/>
      <c r="Z11" s="224"/>
      <c r="AA11" s="270" t="s">
        <v>18</v>
      </c>
      <c r="AB11" s="205" t="s">
        <v>113</v>
      </c>
      <c r="AC11" s="205">
        <v>2</v>
      </c>
      <c r="AD11" s="206" t="s">
        <v>23</v>
      </c>
      <c r="AE11" s="403"/>
      <c r="AF11" s="404"/>
      <c r="AG11" s="249"/>
      <c r="AH11" s="448"/>
      <c r="AI11" s="266" t="s">
        <v>21</v>
      </c>
      <c r="AJ11" s="222" t="s">
        <v>210</v>
      </c>
      <c r="AK11" s="266">
        <v>1</v>
      </c>
      <c r="AL11" s="446" t="s">
        <v>23</v>
      </c>
      <c r="AM11" s="447"/>
      <c r="AN11" s="223"/>
      <c r="AQ11" s="496"/>
      <c r="AR11" s="503"/>
      <c r="AS11" s="496"/>
      <c r="AT11" s="506" t="s">
        <v>41</v>
      </c>
      <c r="AU11" s="507" t="s">
        <v>294</v>
      </c>
      <c r="AV11" s="506">
        <v>1</v>
      </c>
      <c r="AW11" s="538" t="s">
        <v>23</v>
      </c>
      <c r="AX11" s="505">
        <v>1</v>
      </c>
      <c r="AY11" s="505">
        <v>1</v>
      </c>
    </row>
    <row r="12" ht="16.5" spans="1:51">
      <c r="A12" s="191"/>
      <c r="B12" s="219"/>
      <c r="C12" s="216" t="s">
        <v>18</v>
      </c>
      <c r="D12" s="217" t="s">
        <v>142</v>
      </c>
      <c r="E12" s="216">
        <v>3</v>
      </c>
      <c r="F12" s="218" t="s">
        <v>23</v>
      </c>
      <c r="G12" s="207">
        <v>3</v>
      </c>
      <c r="H12" s="208">
        <v>2</v>
      </c>
      <c r="I12" s="191"/>
      <c r="J12" s="272" t="s">
        <v>34</v>
      </c>
      <c r="K12" s="273"/>
      <c r="L12" s="216" t="s">
        <v>116</v>
      </c>
      <c r="M12" s="216" t="s">
        <v>116</v>
      </c>
      <c r="N12" s="274"/>
      <c r="O12" s="264"/>
      <c r="P12" s="264"/>
      <c r="Q12" s="191"/>
      <c r="R12" s="337" t="s">
        <v>101</v>
      </c>
      <c r="S12" s="338" t="s">
        <v>18</v>
      </c>
      <c r="T12" s="339" t="s">
        <v>32</v>
      </c>
      <c r="U12" s="339">
        <v>4</v>
      </c>
      <c r="V12" s="340" t="s">
        <v>20</v>
      </c>
      <c r="W12" s="323"/>
      <c r="X12" s="324">
        <v>1</v>
      </c>
      <c r="Y12" s="249"/>
      <c r="Z12" s="224"/>
      <c r="AA12" s="270" t="s">
        <v>18</v>
      </c>
      <c r="AB12" s="205" t="s">
        <v>24</v>
      </c>
      <c r="AC12" s="205">
        <v>2</v>
      </c>
      <c r="AD12" s="206" t="s">
        <v>23</v>
      </c>
      <c r="AE12" s="403"/>
      <c r="AF12" s="404"/>
      <c r="AG12" s="249"/>
      <c r="AH12" s="204" t="s">
        <v>16</v>
      </c>
      <c r="AI12" s="270" t="s">
        <v>18</v>
      </c>
      <c r="AJ12" s="205" t="s">
        <v>19</v>
      </c>
      <c r="AK12" s="205">
        <v>6</v>
      </c>
      <c r="AL12" s="449" t="s">
        <v>20</v>
      </c>
      <c r="AM12" s="450"/>
      <c r="AN12" s="206"/>
      <c r="AQ12" s="496"/>
      <c r="AR12" s="503"/>
      <c r="AS12" s="496"/>
      <c r="AT12" s="506" t="s">
        <v>18</v>
      </c>
      <c r="AU12" s="507" t="s">
        <v>68</v>
      </c>
      <c r="AV12" s="506">
        <v>3</v>
      </c>
      <c r="AW12" s="538" t="s">
        <v>23</v>
      </c>
      <c r="AX12" s="505">
        <v>2</v>
      </c>
      <c r="AY12" s="505">
        <v>2</v>
      </c>
    </row>
    <row r="13" ht="16.5" spans="1:51">
      <c r="A13" s="191"/>
      <c r="B13" s="221" t="s">
        <v>43</v>
      </c>
      <c r="C13" s="222" t="s">
        <v>18</v>
      </c>
      <c r="D13" s="222" t="s">
        <v>133</v>
      </c>
      <c r="E13" s="222">
        <v>2</v>
      </c>
      <c r="F13" s="223" t="s">
        <v>23</v>
      </c>
      <c r="G13" s="207">
        <v>1</v>
      </c>
      <c r="H13" s="208"/>
      <c r="I13" s="191"/>
      <c r="J13" s="275" t="s">
        <v>101</v>
      </c>
      <c r="K13" s="276" t="s">
        <v>18</v>
      </c>
      <c r="L13" s="227" t="s">
        <v>61</v>
      </c>
      <c r="M13" s="227">
        <v>4</v>
      </c>
      <c r="N13" s="277" t="s">
        <v>20</v>
      </c>
      <c r="O13" s="264"/>
      <c r="P13" s="264">
        <v>1</v>
      </c>
      <c r="Q13" s="191"/>
      <c r="R13" s="337" t="s">
        <v>101</v>
      </c>
      <c r="S13" s="338" t="s">
        <v>168</v>
      </c>
      <c r="T13" s="339" t="s">
        <v>190</v>
      </c>
      <c r="U13" s="339"/>
      <c r="V13" s="340" t="s">
        <v>23</v>
      </c>
      <c r="W13" s="341">
        <v>1</v>
      </c>
      <c r="X13" s="342">
        <v>1</v>
      </c>
      <c r="Y13" s="249"/>
      <c r="Z13" s="405" t="s">
        <v>34</v>
      </c>
      <c r="AA13" s="273" t="s">
        <v>18</v>
      </c>
      <c r="AB13" s="216" t="s">
        <v>213</v>
      </c>
      <c r="AC13" s="216">
        <v>3</v>
      </c>
      <c r="AD13" s="218" t="s">
        <v>23</v>
      </c>
      <c r="AE13" s="406"/>
      <c r="AF13" s="407"/>
      <c r="AG13" s="249"/>
      <c r="AH13" s="224"/>
      <c r="AI13" s="270" t="s">
        <v>18</v>
      </c>
      <c r="AJ13" s="205" t="s">
        <v>113</v>
      </c>
      <c r="AK13" s="205">
        <v>3</v>
      </c>
      <c r="AL13" s="449" t="s">
        <v>23</v>
      </c>
      <c r="AM13" s="450">
        <v>1</v>
      </c>
      <c r="AN13" s="206"/>
      <c r="AQ13" s="496"/>
      <c r="AR13" s="503"/>
      <c r="AS13" s="496"/>
      <c r="AT13" s="506" t="s">
        <v>18</v>
      </c>
      <c r="AU13" s="507" t="s">
        <v>239</v>
      </c>
      <c r="AV13" s="506">
        <v>2</v>
      </c>
      <c r="AW13" s="538" t="s">
        <v>23</v>
      </c>
      <c r="AX13" s="505">
        <v>2</v>
      </c>
      <c r="AY13" s="505">
        <v>1</v>
      </c>
    </row>
    <row r="14" ht="16.5" spans="1:51">
      <c r="A14" s="213"/>
      <c r="B14" s="221"/>
      <c r="C14" s="222" t="s">
        <v>18</v>
      </c>
      <c r="D14" s="222" t="s">
        <v>69</v>
      </c>
      <c r="E14" s="222">
        <v>1</v>
      </c>
      <c r="F14" s="223" t="s">
        <v>23</v>
      </c>
      <c r="G14" s="207"/>
      <c r="H14" s="208"/>
      <c r="I14" s="213"/>
      <c r="J14" s="278"/>
      <c r="K14" s="276" t="s">
        <v>21</v>
      </c>
      <c r="L14" s="227" t="s">
        <v>61</v>
      </c>
      <c r="M14" s="227">
        <v>2</v>
      </c>
      <c r="N14" s="277" t="s">
        <v>20</v>
      </c>
      <c r="O14" s="264"/>
      <c r="P14" s="264"/>
      <c r="Q14" s="213"/>
      <c r="R14" s="343"/>
      <c r="S14" s="338" t="s">
        <v>18</v>
      </c>
      <c r="T14" s="339" t="s">
        <v>61</v>
      </c>
      <c r="U14" s="339">
        <v>8</v>
      </c>
      <c r="V14" s="340" t="s">
        <v>20</v>
      </c>
      <c r="W14" s="323">
        <v>2</v>
      </c>
      <c r="X14" s="324"/>
      <c r="Y14" s="249"/>
      <c r="Z14" s="408"/>
      <c r="AA14" s="273" t="s">
        <v>18</v>
      </c>
      <c r="AB14" s="216" t="s">
        <v>215</v>
      </c>
      <c r="AC14" s="216">
        <v>1</v>
      </c>
      <c r="AD14" s="218" t="s">
        <v>23</v>
      </c>
      <c r="AE14" s="406"/>
      <c r="AF14" s="407"/>
      <c r="AG14" s="249"/>
      <c r="AH14" s="204"/>
      <c r="AI14" s="270" t="s">
        <v>168</v>
      </c>
      <c r="AJ14" s="205" t="s">
        <v>243</v>
      </c>
      <c r="AK14" s="205"/>
      <c r="AL14" s="449" t="s">
        <v>20</v>
      </c>
      <c r="AM14" s="450">
        <v>1</v>
      </c>
      <c r="AN14" s="206">
        <v>1</v>
      </c>
      <c r="AQ14" s="496"/>
      <c r="AR14" s="503"/>
      <c r="AS14" s="496"/>
      <c r="AT14" s="506" t="s">
        <v>18</v>
      </c>
      <c r="AU14" s="507" t="s">
        <v>186</v>
      </c>
      <c r="AV14" s="506">
        <v>3</v>
      </c>
      <c r="AW14" s="538" t="s">
        <v>20</v>
      </c>
      <c r="AX14" s="505">
        <v>6</v>
      </c>
      <c r="AY14" s="505">
        <v>5</v>
      </c>
    </row>
    <row r="15" ht="16.5" spans="1:51">
      <c r="A15" s="191"/>
      <c r="B15" s="224"/>
      <c r="C15" s="222" t="s">
        <v>41</v>
      </c>
      <c r="D15" s="222" t="s">
        <v>96</v>
      </c>
      <c r="E15" s="222">
        <v>1</v>
      </c>
      <c r="F15" s="223" t="s">
        <v>20</v>
      </c>
      <c r="G15" s="207">
        <v>1</v>
      </c>
      <c r="H15" s="208"/>
      <c r="I15" s="191"/>
      <c r="J15" s="279"/>
      <c r="K15" s="276" t="s">
        <v>21</v>
      </c>
      <c r="L15" s="227" t="s">
        <v>32</v>
      </c>
      <c r="M15" s="227">
        <v>3</v>
      </c>
      <c r="N15" s="277" t="s">
        <v>20</v>
      </c>
      <c r="O15" s="264"/>
      <c r="P15" s="264"/>
      <c r="Q15" s="191"/>
      <c r="R15" s="344" t="s">
        <v>40</v>
      </c>
      <c r="S15" s="345" t="s">
        <v>18</v>
      </c>
      <c r="T15" s="346" t="s">
        <v>133</v>
      </c>
      <c r="U15" s="346">
        <v>1</v>
      </c>
      <c r="V15" s="347" t="s">
        <v>20</v>
      </c>
      <c r="W15" s="323"/>
      <c r="X15" s="324"/>
      <c r="Y15" s="249"/>
      <c r="Z15" s="409" t="s">
        <v>101</v>
      </c>
      <c r="AA15" s="276" t="s">
        <v>18</v>
      </c>
      <c r="AB15" s="227" t="s">
        <v>32</v>
      </c>
      <c r="AC15" s="227">
        <v>6</v>
      </c>
      <c r="AD15" s="228" t="s">
        <v>20</v>
      </c>
      <c r="AE15" s="410">
        <v>1</v>
      </c>
      <c r="AF15" s="411"/>
      <c r="AG15" s="249"/>
      <c r="AH15" s="224"/>
      <c r="AI15" s="270" t="s">
        <v>18</v>
      </c>
      <c r="AJ15" s="205" t="s">
        <v>24</v>
      </c>
      <c r="AK15" s="205">
        <v>2</v>
      </c>
      <c r="AL15" s="449" t="s">
        <v>20</v>
      </c>
      <c r="AM15" s="450"/>
      <c r="AN15" s="206"/>
      <c r="AQ15" s="496"/>
      <c r="AR15" s="503"/>
      <c r="AS15" s="496"/>
      <c r="AT15" s="506" t="s">
        <v>18</v>
      </c>
      <c r="AU15" s="507" t="s">
        <v>210</v>
      </c>
      <c r="AV15" s="506">
        <v>1</v>
      </c>
      <c r="AW15" s="538" t="s">
        <v>23</v>
      </c>
      <c r="AX15" s="505">
        <v>0</v>
      </c>
      <c r="AY15" s="505">
        <v>0</v>
      </c>
    </row>
    <row r="16" ht="16.5" spans="1:51">
      <c r="A16" s="225"/>
      <c r="B16" s="226" t="s">
        <v>101</v>
      </c>
      <c r="C16" s="227" t="s">
        <v>18</v>
      </c>
      <c r="D16" s="227" t="s">
        <v>61</v>
      </c>
      <c r="E16" s="227">
        <v>5</v>
      </c>
      <c r="F16" s="228" t="s">
        <v>20</v>
      </c>
      <c r="G16" s="207">
        <v>1</v>
      </c>
      <c r="H16" s="208"/>
      <c r="I16" s="225"/>
      <c r="J16" s="280" t="s">
        <v>40</v>
      </c>
      <c r="K16" s="281" t="s">
        <v>21</v>
      </c>
      <c r="L16" s="230" t="s">
        <v>110</v>
      </c>
      <c r="M16" s="230">
        <v>1</v>
      </c>
      <c r="N16" s="282" t="s">
        <v>23</v>
      </c>
      <c r="O16" s="264">
        <v>1</v>
      </c>
      <c r="P16" s="264">
        <v>1</v>
      </c>
      <c r="Q16" s="225"/>
      <c r="R16" s="341"/>
      <c r="S16" s="345" t="s">
        <v>293</v>
      </c>
      <c r="T16" s="348" t="s">
        <v>194</v>
      </c>
      <c r="U16" s="348"/>
      <c r="V16" s="347" t="s">
        <v>23</v>
      </c>
      <c r="W16" s="341"/>
      <c r="X16" s="342">
        <v>1</v>
      </c>
      <c r="Y16" s="249"/>
      <c r="Z16" s="212"/>
      <c r="AA16" s="276" t="s">
        <v>18</v>
      </c>
      <c r="AB16" s="227" t="s">
        <v>61</v>
      </c>
      <c r="AC16" s="227">
        <v>5</v>
      </c>
      <c r="AD16" s="228" t="s">
        <v>20</v>
      </c>
      <c r="AE16" s="410"/>
      <c r="AF16" s="411">
        <v>2</v>
      </c>
      <c r="AG16" s="249"/>
      <c r="AH16" s="226" t="s">
        <v>101</v>
      </c>
      <c r="AI16" s="276" t="s">
        <v>41</v>
      </c>
      <c r="AJ16" s="227" t="s">
        <v>61</v>
      </c>
      <c r="AK16" s="276">
        <v>2</v>
      </c>
      <c r="AL16" s="451" t="s">
        <v>20</v>
      </c>
      <c r="AM16" s="452"/>
      <c r="AN16" s="228"/>
      <c r="AQ16" s="496"/>
      <c r="AR16" s="503"/>
      <c r="AS16" s="496"/>
      <c r="AT16" s="506" t="s">
        <v>18</v>
      </c>
      <c r="AU16" s="507" t="s">
        <v>239</v>
      </c>
      <c r="AV16" s="506">
        <v>1</v>
      </c>
      <c r="AW16" s="538" t="s">
        <v>23</v>
      </c>
      <c r="AX16" s="505">
        <v>0</v>
      </c>
      <c r="AY16" s="505">
        <v>0</v>
      </c>
    </row>
    <row r="17" ht="16.5" spans="1:51">
      <c r="A17" s="191"/>
      <c r="B17" s="226"/>
      <c r="C17" s="227" t="s">
        <v>18</v>
      </c>
      <c r="D17" s="227" t="s">
        <v>32</v>
      </c>
      <c r="E17" s="227">
        <v>2</v>
      </c>
      <c r="F17" s="228" t="s">
        <v>20</v>
      </c>
      <c r="G17" s="207">
        <v>1</v>
      </c>
      <c r="H17" s="208"/>
      <c r="I17" s="191"/>
      <c r="J17" s="283" t="s">
        <v>112</v>
      </c>
      <c r="K17" s="284" t="s">
        <v>18</v>
      </c>
      <c r="L17" s="233" t="s">
        <v>130</v>
      </c>
      <c r="M17" s="233">
        <v>1</v>
      </c>
      <c r="N17" s="285" t="s">
        <v>23</v>
      </c>
      <c r="O17" s="264">
        <v>1</v>
      </c>
      <c r="P17" s="264">
        <v>1</v>
      </c>
      <c r="Q17" s="191"/>
      <c r="R17" s="349" t="s">
        <v>112</v>
      </c>
      <c r="S17" s="350" t="s">
        <v>21</v>
      </c>
      <c r="T17" s="351" t="s">
        <v>196</v>
      </c>
      <c r="U17" s="351">
        <v>1</v>
      </c>
      <c r="V17" s="352" t="s">
        <v>23</v>
      </c>
      <c r="W17" s="323"/>
      <c r="X17" s="324"/>
      <c r="Y17" s="249"/>
      <c r="Z17" s="398"/>
      <c r="AA17" s="276" t="s">
        <v>18</v>
      </c>
      <c r="AB17" s="227" t="s">
        <v>218</v>
      </c>
      <c r="AC17" s="227">
        <v>1</v>
      </c>
      <c r="AD17" s="228" t="s">
        <v>20</v>
      </c>
      <c r="AE17" s="410"/>
      <c r="AF17" s="411"/>
      <c r="AG17" s="249"/>
      <c r="AH17" s="226"/>
      <c r="AI17" s="276" t="s">
        <v>18</v>
      </c>
      <c r="AJ17" s="227" t="s">
        <v>61</v>
      </c>
      <c r="AK17" s="276">
        <v>4</v>
      </c>
      <c r="AL17" s="451" t="s">
        <v>20</v>
      </c>
      <c r="AM17" s="452">
        <v>5</v>
      </c>
      <c r="AN17" s="228">
        <v>3</v>
      </c>
      <c r="AQ17" s="496"/>
      <c r="AR17" s="508" t="s">
        <v>16</v>
      </c>
      <c r="AS17" s="509">
        <f>SUM(AV17:AV20)</f>
        <v>7</v>
      </c>
      <c r="AT17" s="510" t="s">
        <v>18</v>
      </c>
      <c r="AU17" s="511" t="s">
        <v>237</v>
      </c>
      <c r="AV17" s="510">
        <v>1</v>
      </c>
      <c r="AW17" s="539" t="s">
        <v>23</v>
      </c>
      <c r="AX17" s="509">
        <v>0</v>
      </c>
      <c r="AY17" s="509">
        <v>0</v>
      </c>
    </row>
    <row r="18" ht="16.5" spans="1:51">
      <c r="A18" s="191"/>
      <c r="B18" s="229" t="s">
        <v>40</v>
      </c>
      <c r="C18" s="230" t="s">
        <v>41</v>
      </c>
      <c r="D18" s="230" t="s">
        <v>110</v>
      </c>
      <c r="E18" s="230">
        <v>1</v>
      </c>
      <c r="F18" s="231" t="s">
        <v>23</v>
      </c>
      <c r="G18" s="207">
        <v>1</v>
      </c>
      <c r="H18" s="208"/>
      <c r="I18" s="191"/>
      <c r="J18" s="283"/>
      <c r="K18" s="284" t="s">
        <v>21</v>
      </c>
      <c r="L18" s="233" t="s">
        <v>150</v>
      </c>
      <c r="M18" s="233">
        <v>1</v>
      </c>
      <c r="N18" s="285" t="s">
        <v>23</v>
      </c>
      <c r="O18" s="264"/>
      <c r="P18" s="264"/>
      <c r="Q18" s="191"/>
      <c r="R18" s="353" t="s">
        <v>115</v>
      </c>
      <c r="S18" s="354"/>
      <c r="T18" s="355" t="s">
        <v>116</v>
      </c>
      <c r="U18" s="355"/>
      <c r="V18" s="356"/>
      <c r="W18" s="323"/>
      <c r="X18" s="324"/>
      <c r="Y18" s="249"/>
      <c r="Z18" s="412" t="s">
        <v>40</v>
      </c>
      <c r="AA18" s="281" t="s">
        <v>18</v>
      </c>
      <c r="AB18" s="230" t="s">
        <v>110</v>
      </c>
      <c r="AC18" s="230">
        <v>2</v>
      </c>
      <c r="AD18" s="231" t="s">
        <v>20</v>
      </c>
      <c r="AE18" s="413"/>
      <c r="AF18" s="414"/>
      <c r="AG18" s="249"/>
      <c r="AH18" s="224"/>
      <c r="AI18" s="276" t="s">
        <v>21</v>
      </c>
      <c r="AJ18" s="227" t="s">
        <v>32</v>
      </c>
      <c r="AK18" s="276">
        <v>1</v>
      </c>
      <c r="AL18" s="451" t="s">
        <v>20</v>
      </c>
      <c r="AM18" s="452">
        <v>1</v>
      </c>
      <c r="AN18" s="228">
        <v>1</v>
      </c>
      <c r="AQ18" s="496"/>
      <c r="AR18" s="503"/>
      <c r="AS18" s="496"/>
      <c r="AT18" s="510" t="s">
        <v>18</v>
      </c>
      <c r="AU18" s="511" t="s">
        <v>19</v>
      </c>
      <c r="AV18" s="511">
        <v>1</v>
      </c>
      <c r="AW18" s="539" t="s">
        <v>20</v>
      </c>
      <c r="AX18" s="509">
        <v>2</v>
      </c>
      <c r="AY18" s="509">
        <v>2</v>
      </c>
    </row>
    <row r="19" ht="16.5" spans="1:51">
      <c r="A19" s="191"/>
      <c r="B19" s="232" t="s">
        <v>112</v>
      </c>
      <c r="C19" s="233" t="s">
        <v>18</v>
      </c>
      <c r="D19" s="233" t="s">
        <v>68</v>
      </c>
      <c r="E19" s="233">
        <v>1</v>
      </c>
      <c r="F19" s="234" t="s">
        <v>23</v>
      </c>
      <c r="G19" s="207">
        <v>2</v>
      </c>
      <c r="H19" s="208">
        <v>2</v>
      </c>
      <c r="I19" s="191"/>
      <c r="J19" s="286" t="s">
        <v>115</v>
      </c>
      <c r="K19" s="287"/>
      <c r="L19" s="237" t="s">
        <v>116</v>
      </c>
      <c r="M19" s="237" t="s">
        <v>116</v>
      </c>
      <c r="N19" s="288"/>
      <c r="O19" s="264"/>
      <c r="P19" s="264"/>
      <c r="Q19" s="191"/>
      <c r="R19" s="357" t="s">
        <v>49</v>
      </c>
      <c r="S19" s="358" t="s">
        <v>18</v>
      </c>
      <c r="T19" s="359" t="s">
        <v>119</v>
      </c>
      <c r="U19" s="359">
        <v>1</v>
      </c>
      <c r="V19" s="360" t="s">
        <v>23</v>
      </c>
      <c r="W19" s="323"/>
      <c r="X19" s="324"/>
      <c r="Y19" s="249"/>
      <c r="Z19" s="398"/>
      <c r="AA19" s="281" t="s">
        <v>293</v>
      </c>
      <c r="AB19" s="230" t="s">
        <v>204</v>
      </c>
      <c r="AC19" s="230">
        <v>1</v>
      </c>
      <c r="AD19" s="231" t="s">
        <v>23</v>
      </c>
      <c r="AE19" s="413">
        <v>2</v>
      </c>
      <c r="AF19" s="414"/>
      <c r="AG19" s="249"/>
      <c r="AH19" s="226"/>
      <c r="AI19" s="276" t="s">
        <v>21</v>
      </c>
      <c r="AJ19" s="227" t="s">
        <v>146</v>
      </c>
      <c r="AK19" s="276">
        <v>1</v>
      </c>
      <c r="AL19" s="451" t="s">
        <v>23</v>
      </c>
      <c r="AM19" s="452"/>
      <c r="AN19" s="228"/>
      <c r="AQ19" s="496"/>
      <c r="AR19" s="503"/>
      <c r="AS19" s="496"/>
      <c r="AT19" s="510" t="s">
        <v>18</v>
      </c>
      <c r="AU19" s="511" t="s">
        <v>113</v>
      </c>
      <c r="AV19" s="511">
        <v>3</v>
      </c>
      <c r="AW19" s="539" t="s">
        <v>20</v>
      </c>
      <c r="AX19" s="509">
        <v>0</v>
      </c>
      <c r="AY19" s="509">
        <v>0</v>
      </c>
    </row>
    <row r="20" ht="17.25" spans="1:51">
      <c r="A20" s="191"/>
      <c r="B20" s="219"/>
      <c r="C20" s="233" t="s">
        <v>18</v>
      </c>
      <c r="D20" s="233" t="s">
        <v>85</v>
      </c>
      <c r="E20" s="233">
        <v>1</v>
      </c>
      <c r="F20" s="234" t="s">
        <v>20</v>
      </c>
      <c r="G20" s="207"/>
      <c r="H20" s="208"/>
      <c r="I20" s="191"/>
      <c r="J20" s="289" t="s">
        <v>118</v>
      </c>
      <c r="K20" s="290"/>
      <c r="L20" s="291" t="s">
        <v>200</v>
      </c>
      <c r="M20" s="291"/>
      <c r="N20" s="292"/>
      <c r="O20" s="264"/>
      <c r="P20" s="264">
        <v>1</v>
      </c>
      <c r="Q20" s="191"/>
      <c r="R20" s="361" t="s">
        <v>49</v>
      </c>
      <c r="S20" s="362" t="s">
        <v>293</v>
      </c>
      <c r="T20" s="363" t="s">
        <v>203</v>
      </c>
      <c r="U20" s="363"/>
      <c r="V20" s="364" t="s">
        <v>23</v>
      </c>
      <c r="W20" s="365"/>
      <c r="X20" s="366">
        <v>1</v>
      </c>
      <c r="Y20" s="249"/>
      <c r="Z20" s="415" t="s">
        <v>112</v>
      </c>
      <c r="AA20" s="284" t="s">
        <v>18</v>
      </c>
      <c r="AB20" s="233" t="s">
        <v>113</v>
      </c>
      <c r="AC20" s="233">
        <v>1</v>
      </c>
      <c r="AD20" s="234" t="s">
        <v>23</v>
      </c>
      <c r="AE20" s="416"/>
      <c r="AF20" s="417">
        <v>1</v>
      </c>
      <c r="AG20" s="249"/>
      <c r="AH20" s="229" t="s">
        <v>40</v>
      </c>
      <c r="AI20" s="281" t="s">
        <v>18</v>
      </c>
      <c r="AJ20" s="230" t="s">
        <v>194</v>
      </c>
      <c r="AK20" s="281">
        <v>1</v>
      </c>
      <c r="AL20" s="453" t="s">
        <v>23</v>
      </c>
      <c r="AM20" s="454"/>
      <c r="AN20" s="231"/>
      <c r="AQ20" s="496"/>
      <c r="AR20" s="503"/>
      <c r="AS20" s="496"/>
      <c r="AT20" s="510" t="s">
        <v>18</v>
      </c>
      <c r="AU20" s="511" t="s">
        <v>24</v>
      </c>
      <c r="AV20" s="511">
        <v>2</v>
      </c>
      <c r="AW20" s="539" t="s">
        <v>20</v>
      </c>
      <c r="AX20" s="509">
        <v>0</v>
      </c>
      <c r="AY20" s="509">
        <v>0</v>
      </c>
    </row>
    <row r="21" ht="17.25" spans="1:51">
      <c r="A21" s="235"/>
      <c r="B21" s="236" t="s">
        <v>115</v>
      </c>
      <c r="C21" s="237" t="s">
        <v>18</v>
      </c>
      <c r="D21" s="237" t="s">
        <v>295</v>
      </c>
      <c r="E21" s="237">
        <v>1</v>
      </c>
      <c r="F21" s="238"/>
      <c r="G21" s="207"/>
      <c r="H21" s="208"/>
      <c r="I21" s="235"/>
      <c r="J21" s="293" t="s">
        <v>49</v>
      </c>
      <c r="K21" s="294" t="s">
        <v>18</v>
      </c>
      <c r="L21" s="240" t="s">
        <v>119</v>
      </c>
      <c r="M21" s="240">
        <v>2</v>
      </c>
      <c r="N21" s="295" t="s">
        <v>20</v>
      </c>
      <c r="O21" s="264"/>
      <c r="P21" s="264"/>
      <c r="Q21" s="235"/>
      <c r="R21" s="367" t="s">
        <v>177</v>
      </c>
      <c r="S21" s="368">
        <f>SUM(U5:U20)</f>
        <v>23</v>
      </c>
      <c r="T21" s="369"/>
      <c r="U21" s="369"/>
      <c r="V21" s="370"/>
      <c r="W21" s="371">
        <f>SUM(W5:W20)</f>
        <v>6</v>
      </c>
      <c r="X21" s="372">
        <f>SUM(X5:X20)</f>
        <v>5</v>
      </c>
      <c r="Y21" s="249"/>
      <c r="Z21" s="236" t="s">
        <v>115</v>
      </c>
      <c r="AA21" s="287" t="s">
        <v>18</v>
      </c>
      <c r="AB21" s="237" t="s">
        <v>222</v>
      </c>
      <c r="AC21" s="237">
        <v>1</v>
      </c>
      <c r="AD21" s="238" t="s">
        <v>23</v>
      </c>
      <c r="AE21" s="418"/>
      <c r="AF21" s="419"/>
      <c r="AG21" s="249"/>
      <c r="AH21" s="224"/>
      <c r="AI21" s="281" t="s">
        <v>18</v>
      </c>
      <c r="AJ21" s="230" t="s">
        <v>110</v>
      </c>
      <c r="AK21" s="281">
        <v>1</v>
      </c>
      <c r="AL21" s="453" t="s">
        <v>20</v>
      </c>
      <c r="AM21" s="454">
        <v>2</v>
      </c>
      <c r="AN21" s="231">
        <v>1</v>
      </c>
      <c r="AQ21" s="496"/>
      <c r="AR21" s="512" t="s">
        <v>34</v>
      </c>
      <c r="AS21" s="513">
        <f>SUM(AV21:AV26)</f>
        <v>22</v>
      </c>
      <c r="AT21" s="514" t="s">
        <v>18</v>
      </c>
      <c r="AU21" s="514" t="s">
        <v>61</v>
      </c>
      <c r="AV21" s="514">
        <v>6</v>
      </c>
      <c r="AW21" s="540" t="s">
        <v>20</v>
      </c>
      <c r="AX21" s="513">
        <v>2</v>
      </c>
      <c r="AY21" s="513">
        <v>2</v>
      </c>
    </row>
    <row r="22" ht="16.5" spans="1:51">
      <c r="A22" s="235"/>
      <c r="B22" s="215" t="s">
        <v>153</v>
      </c>
      <c r="C22" s="216" t="s">
        <v>18</v>
      </c>
      <c r="D22" s="216" t="s">
        <v>296</v>
      </c>
      <c r="E22" s="216">
        <v>2</v>
      </c>
      <c r="F22" s="218" t="s">
        <v>23</v>
      </c>
      <c r="G22" s="207"/>
      <c r="H22" s="208"/>
      <c r="I22" s="235"/>
      <c r="J22" s="293"/>
      <c r="K22" s="294" t="s">
        <v>18</v>
      </c>
      <c r="L22" s="240" t="s">
        <v>297</v>
      </c>
      <c r="M22" s="240">
        <v>1</v>
      </c>
      <c r="N22" s="295" t="s">
        <v>23</v>
      </c>
      <c r="O22" s="264"/>
      <c r="P22" s="264"/>
      <c r="Q22" s="235"/>
      <c r="R22" s="235"/>
      <c r="S22" s="235"/>
      <c r="T22" s="235"/>
      <c r="U22" s="235"/>
      <c r="V22" s="235"/>
      <c r="W22" s="235"/>
      <c r="X22" s="235"/>
      <c r="Y22" s="249"/>
      <c r="Z22" s="236"/>
      <c r="AA22" s="287"/>
      <c r="AB22" s="237"/>
      <c r="AC22" s="237"/>
      <c r="AD22" s="238"/>
      <c r="AE22" s="418"/>
      <c r="AF22" s="419"/>
      <c r="AG22" s="249"/>
      <c r="AH22" s="229"/>
      <c r="AI22" s="281"/>
      <c r="AJ22" s="230"/>
      <c r="AK22" s="281"/>
      <c r="AL22" s="453"/>
      <c r="AM22" s="454"/>
      <c r="AN22" s="231"/>
      <c r="AQ22" s="498"/>
      <c r="AR22" s="512"/>
      <c r="AS22" s="513"/>
      <c r="AT22" s="514"/>
      <c r="AU22" s="514"/>
      <c r="AV22" s="514"/>
      <c r="AW22" s="540"/>
      <c r="AX22" s="513"/>
      <c r="AY22" s="513"/>
    </row>
    <row r="23" ht="16.5" spans="2:51">
      <c r="B23" s="215" t="s">
        <v>118</v>
      </c>
      <c r="C23" s="216" t="s">
        <v>18</v>
      </c>
      <c r="D23" s="216" t="s">
        <v>155</v>
      </c>
      <c r="E23" s="216">
        <v>2</v>
      </c>
      <c r="F23" s="218" t="s">
        <v>23</v>
      </c>
      <c r="G23" s="207"/>
      <c r="H23" s="208"/>
      <c r="I23" s="185"/>
      <c r="J23" s="279"/>
      <c r="K23" s="294" t="s">
        <v>21</v>
      </c>
      <c r="L23" s="240" t="s">
        <v>176</v>
      </c>
      <c r="M23" s="240">
        <v>1</v>
      </c>
      <c r="N23" s="295" t="s">
        <v>23</v>
      </c>
      <c r="O23" s="296"/>
      <c r="P23" s="264"/>
      <c r="Q23" s="185"/>
      <c r="R23" s="185"/>
      <c r="S23" s="185"/>
      <c r="T23" s="185"/>
      <c r="U23" s="185"/>
      <c r="V23" s="185"/>
      <c r="W23" s="249"/>
      <c r="X23" s="249"/>
      <c r="Y23" s="249"/>
      <c r="Z23" s="408"/>
      <c r="AA23" s="287" t="s">
        <v>18</v>
      </c>
      <c r="AB23" s="237" t="s">
        <v>224</v>
      </c>
      <c r="AC23" s="237">
        <v>1</v>
      </c>
      <c r="AD23" s="238" t="s">
        <v>20</v>
      </c>
      <c r="AE23" s="418"/>
      <c r="AF23" s="419"/>
      <c r="AG23" s="249"/>
      <c r="AH23" s="415" t="s">
        <v>112</v>
      </c>
      <c r="AI23" s="284" t="s">
        <v>18</v>
      </c>
      <c r="AJ23" s="233" t="s">
        <v>239</v>
      </c>
      <c r="AK23" s="284">
        <v>3</v>
      </c>
      <c r="AL23" s="455" t="s">
        <v>23</v>
      </c>
      <c r="AM23" s="456">
        <v>2</v>
      </c>
      <c r="AN23" s="234"/>
      <c r="AQ23" s="496"/>
      <c r="AR23" s="503"/>
      <c r="AS23" s="496"/>
      <c r="AT23" s="514" t="s">
        <v>18</v>
      </c>
      <c r="AU23" s="514" t="s">
        <v>268</v>
      </c>
      <c r="AV23" s="514">
        <v>6</v>
      </c>
      <c r="AW23" s="540" t="s">
        <v>20</v>
      </c>
      <c r="AX23" s="513">
        <v>3</v>
      </c>
      <c r="AY23" s="513">
        <v>3</v>
      </c>
    </row>
    <row r="24" ht="17.25" spans="2:51">
      <c r="B24" s="239" t="s">
        <v>49</v>
      </c>
      <c r="C24" s="240" t="s">
        <v>18</v>
      </c>
      <c r="D24" s="240" t="s">
        <v>157</v>
      </c>
      <c r="E24" s="240">
        <v>1</v>
      </c>
      <c r="F24" s="241" t="s">
        <v>23</v>
      </c>
      <c r="G24" s="207"/>
      <c r="H24" s="208"/>
      <c r="I24" s="185"/>
      <c r="J24" s="297"/>
      <c r="K24" s="298" t="s">
        <v>21</v>
      </c>
      <c r="L24" s="242" t="s">
        <v>157</v>
      </c>
      <c r="M24" s="242">
        <v>1</v>
      </c>
      <c r="N24" s="299" t="s">
        <v>23</v>
      </c>
      <c r="O24" s="300"/>
      <c r="P24" s="301"/>
      <c r="Q24" s="185"/>
      <c r="R24" s="185"/>
      <c r="S24" s="185"/>
      <c r="T24" s="185"/>
      <c r="U24" s="185"/>
      <c r="V24" s="185"/>
      <c r="W24" s="249"/>
      <c r="X24" s="249"/>
      <c r="Y24" s="249"/>
      <c r="Z24" s="239" t="s">
        <v>49</v>
      </c>
      <c r="AA24" s="294" t="s">
        <v>293</v>
      </c>
      <c r="AB24" s="240" t="s">
        <v>119</v>
      </c>
      <c r="AC24" s="240">
        <v>1</v>
      </c>
      <c r="AD24" s="241" t="s">
        <v>23</v>
      </c>
      <c r="AE24" s="420"/>
      <c r="AF24" s="421"/>
      <c r="AG24" s="249"/>
      <c r="AH24" s="457" t="s">
        <v>49</v>
      </c>
      <c r="AI24" s="294" t="s">
        <v>21</v>
      </c>
      <c r="AJ24" s="240" t="s">
        <v>298</v>
      </c>
      <c r="AK24" s="294">
        <v>1</v>
      </c>
      <c r="AL24" s="458" t="s">
        <v>23</v>
      </c>
      <c r="AM24" s="459"/>
      <c r="AN24" s="241"/>
      <c r="AQ24" s="496"/>
      <c r="AR24" s="503"/>
      <c r="AS24" s="496"/>
      <c r="AT24" s="514" t="s">
        <v>18</v>
      </c>
      <c r="AU24" s="514" t="s">
        <v>66</v>
      </c>
      <c r="AV24" s="514">
        <v>6</v>
      </c>
      <c r="AW24" s="540" t="s">
        <v>20</v>
      </c>
      <c r="AX24" s="513">
        <v>9</v>
      </c>
      <c r="AY24" s="513">
        <v>8</v>
      </c>
    </row>
    <row r="25" ht="18.75" spans="1:51">
      <c r="A25" s="191"/>
      <c r="B25" s="239" t="s">
        <v>49</v>
      </c>
      <c r="C25" s="242" t="s">
        <v>18</v>
      </c>
      <c r="D25" s="242" t="s">
        <v>119</v>
      </c>
      <c r="E25" s="242"/>
      <c r="F25" s="243"/>
      <c r="G25" s="244"/>
      <c r="H25" s="245">
        <v>1</v>
      </c>
      <c r="I25" s="191"/>
      <c r="J25" s="302" t="s">
        <v>125</v>
      </c>
      <c r="K25" s="303"/>
      <c r="L25" s="303"/>
      <c r="M25" s="303">
        <f>SUM(M6:M24)</f>
        <v>31</v>
      </c>
      <c r="N25" s="303"/>
      <c r="O25" s="303">
        <f>SUM(O6:O24)</f>
        <v>4</v>
      </c>
      <c r="P25" s="303">
        <f>SUM(P6:P24)</f>
        <v>11</v>
      </c>
      <c r="Q25" s="191"/>
      <c r="R25" s="250" t="s">
        <v>178</v>
      </c>
      <c r="S25" s="251"/>
      <c r="T25" s="253"/>
      <c r="U25" s="253"/>
      <c r="V25" s="254"/>
      <c r="W25" s="255" t="s">
        <v>299</v>
      </c>
      <c r="X25" s="256"/>
      <c r="Y25" s="249"/>
      <c r="Z25" s="422"/>
      <c r="AA25" s="294" t="s">
        <v>18</v>
      </c>
      <c r="AB25" s="240" t="s">
        <v>176</v>
      </c>
      <c r="AC25" s="240">
        <v>1</v>
      </c>
      <c r="AD25" s="241" t="s">
        <v>23</v>
      </c>
      <c r="AE25" s="420"/>
      <c r="AF25" s="421"/>
      <c r="AG25" s="249"/>
      <c r="AH25" s="224"/>
      <c r="AI25" s="294" t="s">
        <v>18</v>
      </c>
      <c r="AJ25" s="240" t="s">
        <v>119</v>
      </c>
      <c r="AK25" s="294">
        <v>1</v>
      </c>
      <c r="AL25" s="458" t="s">
        <v>23</v>
      </c>
      <c r="AM25" s="459"/>
      <c r="AN25" s="241"/>
      <c r="AQ25" s="496"/>
      <c r="AR25" s="503"/>
      <c r="AS25" s="496"/>
      <c r="AT25" s="514" t="s">
        <v>18</v>
      </c>
      <c r="AU25" s="514" t="s">
        <v>269</v>
      </c>
      <c r="AV25" s="514">
        <v>3</v>
      </c>
      <c r="AW25" s="540" t="s">
        <v>30</v>
      </c>
      <c r="AX25" s="513">
        <v>1</v>
      </c>
      <c r="AY25" s="513">
        <v>1</v>
      </c>
    </row>
    <row r="26" ht="18.75" spans="1:51">
      <c r="A26" s="235"/>
      <c r="B26" s="246" t="s">
        <v>177</v>
      </c>
      <c r="C26" s="247"/>
      <c r="D26" s="247"/>
      <c r="E26" s="247">
        <f>SUM(E27:E46)</f>
        <v>0</v>
      </c>
      <c r="F26" s="247"/>
      <c r="G26" s="247">
        <f>SUM(G27:G46)</f>
        <v>0</v>
      </c>
      <c r="H26" s="248">
        <f>SUM(H27:H46)</f>
        <v>0</v>
      </c>
      <c r="I26" s="235"/>
      <c r="J26" s="250" t="s">
        <v>160</v>
      </c>
      <c r="K26" s="251"/>
      <c r="L26" s="252"/>
      <c r="M26" s="252"/>
      <c r="N26" s="304"/>
      <c r="O26" s="255" t="s">
        <v>300</v>
      </c>
      <c r="P26" s="305"/>
      <c r="Q26" s="235"/>
      <c r="R26" s="315"/>
      <c r="S26" s="316"/>
      <c r="T26" s="200" t="s">
        <v>8</v>
      </c>
      <c r="U26" s="200" t="s">
        <v>9</v>
      </c>
      <c r="V26" s="258" t="s">
        <v>10</v>
      </c>
      <c r="W26" s="317" t="s">
        <v>12</v>
      </c>
      <c r="X26" s="318" t="s">
        <v>13</v>
      </c>
      <c r="Y26" s="249"/>
      <c r="Z26" s="422"/>
      <c r="AA26" s="294" t="s">
        <v>18</v>
      </c>
      <c r="AB26" s="240" t="s">
        <v>157</v>
      </c>
      <c r="AC26" s="240">
        <v>1</v>
      </c>
      <c r="AD26" s="241" t="s">
        <v>23</v>
      </c>
      <c r="AE26" s="420"/>
      <c r="AF26" s="421"/>
      <c r="AG26" s="249"/>
      <c r="AH26" s="224"/>
      <c r="AI26" s="294" t="s">
        <v>18</v>
      </c>
      <c r="AJ26" s="240" t="s">
        <v>301</v>
      </c>
      <c r="AK26" s="294">
        <v>1</v>
      </c>
      <c r="AL26" s="458" t="s">
        <v>23</v>
      </c>
      <c r="AM26" s="459">
        <v>1</v>
      </c>
      <c r="AN26" s="241"/>
      <c r="AQ26" s="496"/>
      <c r="AR26" s="503"/>
      <c r="AS26" s="496"/>
      <c r="AT26" s="514" t="s">
        <v>72</v>
      </c>
      <c r="AU26" s="515" t="s">
        <v>270</v>
      </c>
      <c r="AV26" s="514">
        <v>1</v>
      </c>
      <c r="AW26" s="540" t="s">
        <v>23</v>
      </c>
      <c r="AX26" s="513">
        <v>1</v>
      </c>
      <c r="AY26" s="513">
        <v>0</v>
      </c>
    </row>
    <row r="27" ht="17.25" spans="1:51">
      <c r="A27" s="249"/>
      <c r="I27" s="249"/>
      <c r="J27" s="257" t="s">
        <v>4</v>
      </c>
      <c r="K27" s="199" t="s">
        <v>78</v>
      </c>
      <c r="L27" s="200" t="s">
        <v>8</v>
      </c>
      <c r="M27" s="200" t="s">
        <v>9</v>
      </c>
      <c r="N27" s="258" t="s">
        <v>10</v>
      </c>
      <c r="O27" s="259" t="s">
        <v>12</v>
      </c>
      <c r="P27" s="260" t="s">
        <v>13</v>
      </c>
      <c r="Q27" s="249"/>
      <c r="R27" s="373" t="s">
        <v>25</v>
      </c>
      <c r="S27" s="374" t="s">
        <v>168</v>
      </c>
      <c r="T27" s="375" t="s">
        <v>181</v>
      </c>
      <c r="U27" s="375">
        <v>5</v>
      </c>
      <c r="V27" s="375" t="s">
        <v>20</v>
      </c>
      <c r="W27" s="323"/>
      <c r="X27" s="324"/>
      <c r="Y27" s="191"/>
      <c r="Z27" s="423"/>
      <c r="AA27" s="424" t="s">
        <v>293</v>
      </c>
      <c r="AB27" s="425" t="s">
        <v>228</v>
      </c>
      <c r="AC27" s="425">
        <v>1</v>
      </c>
      <c r="AD27" s="426" t="s">
        <v>23</v>
      </c>
      <c r="AE27" s="427"/>
      <c r="AF27" s="428">
        <v>1</v>
      </c>
      <c r="AG27" s="249"/>
      <c r="AH27" s="460"/>
      <c r="AI27" s="298" t="s">
        <v>18</v>
      </c>
      <c r="AJ27" s="242" t="s">
        <v>157</v>
      </c>
      <c r="AK27" s="298">
        <v>3</v>
      </c>
      <c r="AL27" s="461" t="s">
        <v>23</v>
      </c>
      <c r="AM27" s="462">
        <v>1</v>
      </c>
      <c r="AN27" s="243">
        <v>1</v>
      </c>
      <c r="AQ27" s="498" t="s">
        <v>302</v>
      </c>
      <c r="AR27" s="516" t="s">
        <v>101</v>
      </c>
      <c r="AS27" s="517">
        <f>SUM(AV27:AV31)</f>
        <v>10</v>
      </c>
      <c r="AT27" s="518" t="s">
        <v>18</v>
      </c>
      <c r="AU27" s="519" t="s">
        <v>61</v>
      </c>
      <c r="AV27" s="518">
        <v>7</v>
      </c>
      <c r="AW27" s="541" t="s">
        <v>20</v>
      </c>
      <c r="AX27" s="517">
        <v>12</v>
      </c>
      <c r="AY27" s="517">
        <v>12</v>
      </c>
    </row>
    <row r="28" ht="17.25" spans="1:51">
      <c r="A28" s="249"/>
      <c r="I28" s="249"/>
      <c r="J28" s="306" t="s">
        <v>25</v>
      </c>
      <c r="K28" s="262" t="s">
        <v>18</v>
      </c>
      <c r="L28" s="210" t="s">
        <v>85</v>
      </c>
      <c r="M28" s="210">
        <v>10</v>
      </c>
      <c r="N28" s="263" t="s">
        <v>30</v>
      </c>
      <c r="O28" s="264">
        <v>5</v>
      </c>
      <c r="P28" s="264">
        <v>5</v>
      </c>
      <c r="Q28" s="249"/>
      <c r="R28" s="376"/>
      <c r="S28" s="374" t="s">
        <v>168</v>
      </c>
      <c r="T28" s="375" t="s">
        <v>183</v>
      </c>
      <c r="U28" s="375"/>
      <c r="V28" s="375" t="s">
        <v>20</v>
      </c>
      <c r="W28" s="341"/>
      <c r="X28" s="342">
        <v>1</v>
      </c>
      <c r="Y28" s="235"/>
      <c r="Z28" s="429" t="s">
        <v>177</v>
      </c>
      <c r="AA28" s="430">
        <f>SUM(AC5:AC30)</f>
        <v>52</v>
      </c>
      <c r="AB28" s="431"/>
      <c r="AC28" s="431"/>
      <c r="AD28" s="431"/>
      <c r="AE28" s="432">
        <f>SUM(AE4:AE27)</f>
        <v>25</v>
      </c>
      <c r="AF28" s="432">
        <f>SUM(AF4:AF27)</f>
        <v>5</v>
      </c>
      <c r="AG28" s="249"/>
      <c r="AH28" s="463" t="s">
        <v>177</v>
      </c>
      <c r="AI28" s="464">
        <f>SUM(AK5:AK27)</f>
        <v>48</v>
      </c>
      <c r="AJ28" s="465"/>
      <c r="AK28" s="465"/>
      <c r="AL28" s="465"/>
      <c r="AM28" s="466">
        <f>SUM(AM5:AM27)</f>
        <v>45</v>
      </c>
      <c r="AN28" s="467">
        <f>SUM(AN5:AN27)</f>
        <v>20</v>
      </c>
      <c r="AQ28" s="496"/>
      <c r="AR28" s="503"/>
      <c r="AS28" s="496"/>
      <c r="AT28" s="518" t="s">
        <v>18</v>
      </c>
      <c r="AU28" s="519" t="s">
        <v>32</v>
      </c>
      <c r="AV28" s="518">
        <v>3</v>
      </c>
      <c r="AW28" s="541" t="s">
        <v>20</v>
      </c>
      <c r="AX28" s="517">
        <v>4</v>
      </c>
      <c r="AY28" s="517">
        <v>4</v>
      </c>
    </row>
    <row r="29" spans="1:51">
      <c r="A29" s="186"/>
      <c r="I29" s="186"/>
      <c r="J29" s="307"/>
      <c r="K29" s="262" t="s">
        <v>168</v>
      </c>
      <c r="L29" s="210" t="s">
        <v>130</v>
      </c>
      <c r="M29" s="210"/>
      <c r="N29" s="263" t="s">
        <v>30</v>
      </c>
      <c r="O29" s="308">
        <v>13</v>
      </c>
      <c r="P29" s="308">
        <v>2</v>
      </c>
      <c r="Q29" s="186"/>
      <c r="R29" s="325" t="s">
        <v>43</v>
      </c>
      <c r="S29" s="326" t="s">
        <v>293</v>
      </c>
      <c r="T29" s="327" t="s">
        <v>186</v>
      </c>
      <c r="U29" s="327">
        <v>2</v>
      </c>
      <c r="V29" s="328" t="s">
        <v>20</v>
      </c>
      <c r="W29" s="323">
        <v>3</v>
      </c>
      <c r="X29" s="324">
        <v>2</v>
      </c>
      <c r="AI29" s="65"/>
      <c r="AQ29" s="496"/>
      <c r="AR29" s="503"/>
      <c r="AS29" s="496"/>
      <c r="AT29" s="518" t="s">
        <v>271</v>
      </c>
      <c r="AU29" s="520" t="s">
        <v>218</v>
      </c>
      <c r="AV29" s="518"/>
      <c r="AW29" s="541"/>
      <c r="AX29" s="517">
        <v>1</v>
      </c>
      <c r="AY29" s="517">
        <v>1</v>
      </c>
    </row>
    <row r="30" ht="17.25" spans="1:51">
      <c r="A30" s="191"/>
      <c r="I30" s="191"/>
      <c r="J30" s="307"/>
      <c r="K30" s="262" t="s">
        <v>293</v>
      </c>
      <c r="L30" s="210" t="s">
        <v>110</v>
      </c>
      <c r="M30" s="210"/>
      <c r="N30" s="263"/>
      <c r="O30" s="264"/>
      <c r="P30" s="264">
        <v>3</v>
      </c>
      <c r="Q30" s="191"/>
      <c r="R30" s="377" t="s">
        <v>16</v>
      </c>
      <c r="S30" s="330" t="s">
        <v>18</v>
      </c>
      <c r="T30" s="331" t="s">
        <v>19</v>
      </c>
      <c r="U30" s="331">
        <v>3</v>
      </c>
      <c r="V30" s="332" t="s">
        <v>23</v>
      </c>
      <c r="W30" s="323">
        <v>1</v>
      </c>
      <c r="X30" s="324"/>
      <c r="AI30" s="65"/>
      <c r="AQ30" s="496"/>
      <c r="AR30" s="503"/>
      <c r="AS30" s="496"/>
      <c r="AT30" s="518" t="s">
        <v>271</v>
      </c>
      <c r="AU30" s="520" t="s">
        <v>272</v>
      </c>
      <c r="AV30" s="518"/>
      <c r="AW30" s="541"/>
      <c r="AX30" s="517">
        <v>1</v>
      </c>
      <c r="AY30" s="517">
        <v>1</v>
      </c>
    </row>
    <row r="31" spans="1:51">
      <c r="A31" s="191"/>
      <c r="I31" s="191"/>
      <c r="J31" s="309"/>
      <c r="K31" s="262" t="s">
        <v>293</v>
      </c>
      <c r="L31" s="210" t="s">
        <v>132</v>
      </c>
      <c r="M31" s="210"/>
      <c r="N31" s="263"/>
      <c r="O31" s="264"/>
      <c r="P31" s="264">
        <v>1</v>
      </c>
      <c r="Q31" s="191"/>
      <c r="R31" s="378"/>
      <c r="S31" s="330" t="s">
        <v>18</v>
      </c>
      <c r="T31" s="331" t="s">
        <v>113</v>
      </c>
      <c r="U31" s="331">
        <v>1</v>
      </c>
      <c r="V31" s="332" t="s">
        <v>23</v>
      </c>
      <c r="W31" s="323">
        <v>1</v>
      </c>
      <c r="X31" s="324">
        <v>1</v>
      </c>
      <c r="Y31" s="186"/>
      <c r="Z31" s="388" t="s">
        <v>283</v>
      </c>
      <c r="AA31" s="389"/>
      <c r="AB31" s="389"/>
      <c r="AC31" s="389"/>
      <c r="AD31" s="390"/>
      <c r="AE31" s="391" t="s">
        <v>303</v>
      </c>
      <c r="AF31" s="390"/>
      <c r="AG31" s="249"/>
      <c r="AH31" s="388" t="s">
        <v>229</v>
      </c>
      <c r="AI31" s="437"/>
      <c r="AJ31" s="389"/>
      <c r="AK31" s="389"/>
      <c r="AL31" s="438"/>
      <c r="AM31" s="468" t="s">
        <v>285</v>
      </c>
      <c r="AN31" s="469"/>
      <c r="AQ31" s="496"/>
      <c r="AR31" s="503"/>
      <c r="AS31" s="496"/>
      <c r="AT31" s="518" t="s">
        <v>271</v>
      </c>
      <c r="AU31" s="520" t="s">
        <v>190</v>
      </c>
      <c r="AV31" s="518"/>
      <c r="AW31" s="541"/>
      <c r="AX31" s="517">
        <v>1</v>
      </c>
      <c r="AY31" s="517">
        <v>1</v>
      </c>
    </row>
    <row r="32" ht="16.5" spans="1:51">
      <c r="A32" s="191"/>
      <c r="I32" s="191"/>
      <c r="J32" s="269" t="s">
        <v>16</v>
      </c>
      <c r="K32" s="270" t="s">
        <v>18</v>
      </c>
      <c r="L32" s="205" t="s">
        <v>19</v>
      </c>
      <c r="M32" s="205">
        <v>2</v>
      </c>
      <c r="N32" s="271" t="s">
        <v>23</v>
      </c>
      <c r="O32" s="264"/>
      <c r="P32" s="264">
        <v>1</v>
      </c>
      <c r="Q32" s="191"/>
      <c r="R32" s="378"/>
      <c r="S32" s="330" t="s">
        <v>168</v>
      </c>
      <c r="T32" s="331" t="s">
        <v>24</v>
      </c>
      <c r="U32" s="331"/>
      <c r="V32" s="332"/>
      <c r="W32" s="323">
        <v>1</v>
      </c>
      <c r="X32" s="324">
        <v>1</v>
      </c>
      <c r="Y32" s="191"/>
      <c r="Z32" s="392"/>
      <c r="AA32" s="393"/>
      <c r="AB32" s="199" t="s">
        <v>8</v>
      </c>
      <c r="AC32" s="199" t="s">
        <v>9</v>
      </c>
      <c r="AD32" s="394" t="s">
        <v>10</v>
      </c>
      <c r="AE32" s="395" t="s">
        <v>12</v>
      </c>
      <c r="AF32" s="208" t="s">
        <v>13</v>
      </c>
      <c r="AG32" s="249"/>
      <c r="AH32" s="392"/>
      <c r="AI32" s="199" t="s">
        <v>286</v>
      </c>
      <c r="AJ32" s="199" t="s">
        <v>8</v>
      </c>
      <c r="AK32" s="199" t="s">
        <v>9</v>
      </c>
      <c r="AL32" s="440" t="s">
        <v>10</v>
      </c>
      <c r="AM32" s="470" t="s">
        <v>12</v>
      </c>
      <c r="AN32" s="471" t="s">
        <v>13</v>
      </c>
      <c r="AQ32" s="496"/>
      <c r="AR32" s="521" t="s">
        <v>40</v>
      </c>
      <c r="AS32" s="522">
        <f>SUM(AV32)</f>
        <v>1</v>
      </c>
      <c r="AT32" s="523" t="s">
        <v>41</v>
      </c>
      <c r="AU32" s="524" t="s">
        <v>247</v>
      </c>
      <c r="AV32" s="523">
        <v>1</v>
      </c>
      <c r="AW32" s="542" t="s">
        <v>23</v>
      </c>
      <c r="AX32" s="522">
        <v>2</v>
      </c>
      <c r="AY32" s="522">
        <v>1</v>
      </c>
    </row>
    <row r="33" ht="16.5" spans="1:51">
      <c r="A33" s="191"/>
      <c r="I33" s="191"/>
      <c r="J33" s="275" t="s">
        <v>101</v>
      </c>
      <c r="K33" s="276" t="s">
        <v>18</v>
      </c>
      <c r="L33" s="227" t="s">
        <v>61</v>
      </c>
      <c r="M33" s="227">
        <v>4</v>
      </c>
      <c r="N33" s="277" t="s">
        <v>20</v>
      </c>
      <c r="O33" s="264">
        <v>1</v>
      </c>
      <c r="P33" s="264">
        <v>2</v>
      </c>
      <c r="Q33" s="191"/>
      <c r="R33" s="379" t="s">
        <v>34</v>
      </c>
      <c r="S33" s="335" t="s">
        <v>18</v>
      </c>
      <c r="T33" s="220" t="s">
        <v>36</v>
      </c>
      <c r="U33" s="220">
        <v>2</v>
      </c>
      <c r="V33" s="336" t="s">
        <v>20</v>
      </c>
      <c r="W33" s="323">
        <v>2</v>
      </c>
      <c r="X33" s="324"/>
      <c r="Y33" s="191"/>
      <c r="Z33" s="433" t="s">
        <v>25</v>
      </c>
      <c r="AA33" s="262" t="s">
        <v>41</v>
      </c>
      <c r="AB33" s="210" t="s">
        <v>130</v>
      </c>
      <c r="AC33" s="210"/>
      <c r="AD33" s="211"/>
      <c r="AE33" s="396"/>
      <c r="AF33" s="397">
        <v>1</v>
      </c>
      <c r="AG33" s="249"/>
      <c r="AH33" s="443" t="s">
        <v>25</v>
      </c>
      <c r="AI33" s="262" t="s">
        <v>18</v>
      </c>
      <c r="AJ33" s="210" t="s">
        <v>27</v>
      </c>
      <c r="AK33" s="262">
        <v>4</v>
      </c>
      <c r="AL33" s="444" t="s">
        <v>23</v>
      </c>
      <c r="AM33" s="472">
        <v>4</v>
      </c>
      <c r="AN33" s="473">
        <v>3</v>
      </c>
      <c r="AQ33" s="525" t="s">
        <v>304</v>
      </c>
      <c r="AR33" s="526" t="s">
        <v>49</v>
      </c>
      <c r="AS33" s="527">
        <f>SUM(AV33:AV39)</f>
        <v>7</v>
      </c>
      <c r="AT33" s="528" t="s">
        <v>72</v>
      </c>
      <c r="AU33" s="529" t="s">
        <v>276</v>
      </c>
      <c r="AV33" s="528">
        <v>1</v>
      </c>
      <c r="AW33" s="543" t="s">
        <v>23</v>
      </c>
      <c r="AX33" s="544">
        <v>2</v>
      </c>
      <c r="AY33" s="544">
        <v>1</v>
      </c>
    </row>
    <row r="34" ht="16.5" spans="1:51">
      <c r="A34" s="191"/>
      <c r="I34" s="191"/>
      <c r="J34" s="280" t="s">
        <v>40</v>
      </c>
      <c r="K34" s="281" t="s">
        <v>21</v>
      </c>
      <c r="L34" s="230" t="s">
        <v>110</v>
      </c>
      <c r="M34" s="230">
        <v>1</v>
      </c>
      <c r="N34" s="282" t="s">
        <v>23</v>
      </c>
      <c r="O34" s="264"/>
      <c r="P34" s="264"/>
      <c r="Q34" s="191"/>
      <c r="R34" s="380" t="s">
        <v>101</v>
      </c>
      <c r="S34" s="338" t="s">
        <v>18</v>
      </c>
      <c r="T34" s="339" t="s">
        <v>32</v>
      </c>
      <c r="U34" s="339">
        <v>4</v>
      </c>
      <c r="V34" s="340" t="s">
        <v>20</v>
      </c>
      <c r="W34" s="323">
        <v>2</v>
      </c>
      <c r="X34" s="324">
        <v>1</v>
      </c>
      <c r="Y34" s="191"/>
      <c r="Z34" s="212"/>
      <c r="AA34" s="262" t="s">
        <v>168</v>
      </c>
      <c r="AB34" s="210" t="s">
        <v>184</v>
      </c>
      <c r="AC34" s="210"/>
      <c r="AD34" s="211"/>
      <c r="AE34" s="396">
        <v>7</v>
      </c>
      <c r="AF34" s="397">
        <v>5</v>
      </c>
      <c r="AG34" s="249"/>
      <c r="AH34" s="443"/>
      <c r="AI34" s="262" t="s">
        <v>168</v>
      </c>
      <c r="AJ34" s="210" t="s">
        <v>237</v>
      </c>
      <c r="AK34" s="262"/>
      <c r="AL34" s="444" t="s">
        <v>23</v>
      </c>
      <c r="AM34" s="472">
        <v>1</v>
      </c>
      <c r="AN34" s="473"/>
      <c r="AQ34" s="530"/>
      <c r="AR34" s="531"/>
      <c r="AS34" s="530"/>
      <c r="AT34" s="528" t="s">
        <v>18</v>
      </c>
      <c r="AU34" s="529" t="s">
        <v>119</v>
      </c>
      <c r="AV34" s="528">
        <v>2</v>
      </c>
      <c r="AW34" s="543" t="s">
        <v>23</v>
      </c>
      <c r="AX34" s="544">
        <v>1</v>
      </c>
      <c r="AY34" s="544">
        <v>1</v>
      </c>
    </row>
    <row r="35" ht="16.5" spans="1:51">
      <c r="A35" s="191"/>
      <c r="I35" s="191"/>
      <c r="J35" s="283" t="s">
        <v>112</v>
      </c>
      <c r="K35" s="284" t="s">
        <v>18</v>
      </c>
      <c r="L35" s="233" t="s">
        <v>130</v>
      </c>
      <c r="M35" s="233">
        <v>1</v>
      </c>
      <c r="N35" s="285" t="s">
        <v>23</v>
      </c>
      <c r="O35" s="264">
        <v>1</v>
      </c>
      <c r="P35" s="264">
        <v>1</v>
      </c>
      <c r="Q35" s="191"/>
      <c r="R35" s="378"/>
      <c r="S35" s="338" t="s">
        <v>168</v>
      </c>
      <c r="T35" s="339" t="s">
        <v>190</v>
      </c>
      <c r="U35" s="339"/>
      <c r="V35" s="340" t="s">
        <v>23</v>
      </c>
      <c r="W35" s="323">
        <v>2</v>
      </c>
      <c r="X35" s="324">
        <v>1</v>
      </c>
      <c r="Y35" s="191"/>
      <c r="Z35" s="398"/>
      <c r="AA35" s="262" t="s">
        <v>18</v>
      </c>
      <c r="AB35" s="210" t="s">
        <v>208</v>
      </c>
      <c r="AC35" s="210">
        <v>15</v>
      </c>
      <c r="AD35" s="211" t="s">
        <v>30</v>
      </c>
      <c r="AE35" s="396">
        <v>16</v>
      </c>
      <c r="AF35" s="397">
        <v>16</v>
      </c>
      <c r="AG35" s="249"/>
      <c r="AH35" s="224"/>
      <c r="AI35" s="262" t="s">
        <v>18</v>
      </c>
      <c r="AJ35" s="210" t="s">
        <v>235</v>
      </c>
      <c r="AK35" s="262">
        <v>10</v>
      </c>
      <c r="AL35" s="444" t="s">
        <v>30</v>
      </c>
      <c r="AM35" s="472">
        <v>26</v>
      </c>
      <c r="AN35" s="473">
        <v>17</v>
      </c>
      <c r="AQ35" s="530"/>
      <c r="AR35" s="531"/>
      <c r="AS35" s="530"/>
      <c r="AT35" s="528" t="s">
        <v>271</v>
      </c>
      <c r="AU35" s="532" t="s">
        <v>278</v>
      </c>
      <c r="AV35" s="528"/>
      <c r="AW35" s="543"/>
      <c r="AX35" s="544">
        <v>1</v>
      </c>
      <c r="AY35" s="544">
        <v>1</v>
      </c>
    </row>
    <row r="36" ht="16.5" spans="1:51">
      <c r="A36" s="191"/>
      <c r="I36" s="191"/>
      <c r="J36" s="289" t="s">
        <v>118</v>
      </c>
      <c r="K36" s="290" t="s">
        <v>293</v>
      </c>
      <c r="L36" s="291" t="s">
        <v>200</v>
      </c>
      <c r="M36" s="291"/>
      <c r="N36" s="292"/>
      <c r="O36" s="264"/>
      <c r="P36" s="264">
        <v>1</v>
      </c>
      <c r="Q36" s="191"/>
      <c r="R36" s="381"/>
      <c r="S36" s="338" t="s">
        <v>18</v>
      </c>
      <c r="T36" s="339" t="s">
        <v>61</v>
      </c>
      <c r="U36" s="339">
        <v>8</v>
      </c>
      <c r="V36" s="340" t="s">
        <v>20</v>
      </c>
      <c r="W36" s="323">
        <v>2</v>
      </c>
      <c r="X36" s="324">
        <v>2</v>
      </c>
      <c r="Y36" s="191"/>
      <c r="Z36" s="399" t="s">
        <v>43</v>
      </c>
      <c r="AA36" s="266" t="s">
        <v>18</v>
      </c>
      <c r="AB36" s="222" t="s">
        <v>186</v>
      </c>
      <c r="AC36" s="222">
        <v>1</v>
      </c>
      <c r="AD36" s="223" t="s">
        <v>20</v>
      </c>
      <c r="AE36" s="400"/>
      <c r="AF36" s="401"/>
      <c r="AG36" s="249"/>
      <c r="AH36" s="221" t="s">
        <v>43</v>
      </c>
      <c r="AI36" s="266" t="s">
        <v>21</v>
      </c>
      <c r="AJ36" s="222" t="s">
        <v>186</v>
      </c>
      <c r="AK36" s="266">
        <v>3</v>
      </c>
      <c r="AL36" s="446" t="s">
        <v>20</v>
      </c>
      <c r="AM36" s="474"/>
      <c r="AN36" s="475"/>
      <c r="AQ36" s="530"/>
      <c r="AR36" s="531"/>
      <c r="AS36" s="530"/>
      <c r="AT36" s="528" t="s">
        <v>18</v>
      </c>
      <c r="AU36" s="529" t="s">
        <v>176</v>
      </c>
      <c r="AV36" s="528">
        <v>1</v>
      </c>
      <c r="AW36" s="543" t="s">
        <v>23</v>
      </c>
      <c r="AX36" s="544">
        <v>0</v>
      </c>
      <c r="AY36" s="544">
        <v>0</v>
      </c>
    </row>
    <row r="37" ht="16.5" spans="1:51">
      <c r="A37" s="191"/>
      <c r="I37" s="191"/>
      <c r="J37" s="310" t="s">
        <v>49</v>
      </c>
      <c r="K37" s="294" t="s">
        <v>18</v>
      </c>
      <c r="L37" s="240" t="s">
        <v>119</v>
      </c>
      <c r="M37" s="240">
        <v>2</v>
      </c>
      <c r="N37" s="295" t="s">
        <v>20</v>
      </c>
      <c r="O37" s="264">
        <v>2</v>
      </c>
      <c r="P37" s="264"/>
      <c r="Q37" s="191"/>
      <c r="R37" s="382" t="s">
        <v>40</v>
      </c>
      <c r="S37" s="345" t="s">
        <v>18</v>
      </c>
      <c r="T37" s="346" t="s">
        <v>133</v>
      </c>
      <c r="U37" s="346">
        <v>1</v>
      </c>
      <c r="V37" s="347" t="s">
        <v>20</v>
      </c>
      <c r="W37" s="323"/>
      <c r="X37" s="324"/>
      <c r="Y37" s="191"/>
      <c r="Z37" s="434"/>
      <c r="AA37" s="266" t="s">
        <v>18</v>
      </c>
      <c r="AB37" s="222" t="s">
        <v>209</v>
      </c>
      <c r="AC37" s="222">
        <v>1</v>
      </c>
      <c r="AD37" s="223" t="s">
        <v>20</v>
      </c>
      <c r="AE37" s="400"/>
      <c r="AF37" s="401"/>
      <c r="AG37" s="249"/>
      <c r="AH37" s="448"/>
      <c r="AI37" s="266" t="s">
        <v>21</v>
      </c>
      <c r="AJ37" s="222" t="s">
        <v>210</v>
      </c>
      <c r="AK37" s="266">
        <v>1</v>
      </c>
      <c r="AL37" s="446" t="s">
        <v>23</v>
      </c>
      <c r="AM37" s="474"/>
      <c r="AN37" s="475"/>
      <c r="AQ37" s="530"/>
      <c r="AR37" s="531"/>
      <c r="AS37" s="530"/>
      <c r="AT37" s="528" t="s">
        <v>41</v>
      </c>
      <c r="AU37" s="529" t="s">
        <v>305</v>
      </c>
      <c r="AV37" s="528">
        <v>1</v>
      </c>
      <c r="AW37" s="543" t="s">
        <v>23</v>
      </c>
      <c r="AX37" s="544">
        <v>2</v>
      </c>
      <c r="AY37" s="544">
        <v>2</v>
      </c>
    </row>
    <row r="38" ht="17.25" spans="1:51">
      <c r="A38" s="191"/>
      <c r="I38" s="191"/>
      <c r="J38" s="309"/>
      <c r="K38" s="294" t="s">
        <v>18</v>
      </c>
      <c r="L38" s="240" t="s">
        <v>297</v>
      </c>
      <c r="M38" s="240">
        <v>1</v>
      </c>
      <c r="N38" s="295" t="s">
        <v>23</v>
      </c>
      <c r="O38" s="264"/>
      <c r="P38" s="264"/>
      <c r="Q38" s="191"/>
      <c r="R38" s="381"/>
      <c r="S38" s="345" t="s">
        <v>293</v>
      </c>
      <c r="T38" s="346" t="s">
        <v>194</v>
      </c>
      <c r="U38" s="346"/>
      <c r="V38" s="347" t="s">
        <v>23</v>
      </c>
      <c r="W38" s="323"/>
      <c r="X38" s="324">
        <v>1</v>
      </c>
      <c r="Y38" s="191"/>
      <c r="Z38" s="204" t="s">
        <v>16</v>
      </c>
      <c r="AA38" s="270" t="s">
        <v>18</v>
      </c>
      <c r="AB38" s="205" t="s">
        <v>19</v>
      </c>
      <c r="AC38" s="205">
        <v>5</v>
      </c>
      <c r="AD38" s="206" t="s">
        <v>23</v>
      </c>
      <c r="AE38" s="403">
        <v>1</v>
      </c>
      <c r="AF38" s="404"/>
      <c r="AG38" s="249"/>
      <c r="AH38" s="204" t="s">
        <v>16</v>
      </c>
      <c r="AI38" s="270" t="s">
        <v>18</v>
      </c>
      <c r="AJ38" s="205" t="s">
        <v>19</v>
      </c>
      <c r="AK38" s="205">
        <v>6</v>
      </c>
      <c r="AL38" s="449" t="s">
        <v>20</v>
      </c>
      <c r="AM38" s="476">
        <v>1</v>
      </c>
      <c r="AN38" s="477">
        <v>1</v>
      </c>
      <c r="AQ38" s="530"/>
      <c r="AR38" s="531"/>
      <c r="AS38" s="530"/>
      <c r="AT38" s="528" t="s">
        <v>18</v>
      </c>
      <c r="AU38" s="529" t="s">
        <v>279</v>
      </c>
      <c r="AV38" s="528">
        <v>1</v>
      </c>
      <c r="AW38" s="543" t="s">
        <v>23</v>
      </c>
      <c r="AX38" s="544">
        <v>0</v>
      </c>
      <c r="AY38" s="544">
        <v>0</v>
      </c>
    </row>
    <row r="39" ht="17.25" spans="1:51">
      <c r="A39" s="213"/>
      <c r="I39" s="213"/>
      <c r="J39" s="302" t="s">
        <v>125</v>
      </c>
      <c r="K39" s="303"/>
      <c r="L39" s="303"/>
      <c r="M39" s="303">
        <f>SUM(M28:M38)</f>
        <v>21</v>
      </c>
      <c r="N39" s="303">
        <f>SUM(N28:N38)</f>
        <v>0</v>
      </c>
      <c r="O39" s="303">
        <f>SUM(O28:O38)</f>
        <v>22</v>
      </c>
      <c r="P39" s="303">
        <f>SUM(P28:P38)</f>
        <v>16</v>
      </c>
      <c r="Q39" s="213"/>
      <c r="R39" s="349" t="s">
        <v>112</v>
      </c>
      <c r="S39" s="350" t="s">
        <v>168</v>
      </c>
      <c r="T39" s="59" t="s">
        <v>130</v>
      </c>
      <c r="U39" s="59">
        <v>4</v>
      </c>
      <c r="V39" s="59" t="s">
        <v>20</v>
      </c>
      <c r="W39" s="323"/>
      <c r="X39" s="324"/>
      <c r="Y39" s="191"/>
      <c r="Z39" s="224"/>
      <c r="AA39" s="270" t="s">
        <v>18</v>
      </c>
      <c r="AB39" s="205" t="s">
        <v>113</v>
      </c>
      <c r="AC39" s="205">
        <v>2</v>
      </c>
      <c r="AD39" s="206" t="s">
        <v>23</v>
      </c>
      <c r="AE39" s="403"/>
      <c r="AF39" s="404"/>
      <c r="AG39" s="249"/>
      <c r="AH39" s="224"/>
      <c r="AI39" s="270" t="s">
        <v>18</v>
      </c>
      <c r="AJ39" s="205" t="s">
        <v>113</v>
      </c>
      <c r="AK39" s="205">
        <v>3</v>
      </c>
      <c r="AL39" s="449" t="s">
        <v>23</v>
      </c>
      <c r="AM39" s="476">
        <v>2</v>
      </c>
      <c r="AN39" s="477">
        <v>1</v>
      </c>
      <c r="AQ39" s="530"/>
      <c r="AR39" s="531"/>
      <c r="AS39" s="530"/>
      <c r="AT39" s="533" t="s">
        <v>18</v>
      </c>
      <c r="AU39" s="534" t="s">
        <v>281</v>
      </c>
      <c r="AV39" s="533">
        <v>1</v>
      </c>
      <c r="AW39" s="545" t="s">
        <v>23</v>
      </c>
      <c r="AX39" s="527">
        <v>0</v>
      </c>
      <c r="AY39" s="527">
        <v>0</v>
      </c>
    </row>
    <row r="40" spans="1:51">
      <c r="A40" s="213"/>
      <c r="I40" s="213"/>
      <c r="J40" s="250" t="s">
        <v>160</v>
      </c>
      <c r="K40" s="251"/>
      <c r="L40" s="253"/>
      <c r="M40" s="253"/>
      <c r="N40" s="254"/>
      <c r="O40" s="255" t="s">
        <v>306</v>
      </c>
      <c r="P40" s="256"/>
      <c r="Q40" s="213"/>
      <c r="R40" s="353" t="s">
        <v>115</v>
      </c>
      <c r="S40" s="354"/>
      <c r="T40" s="355" t="s">
        <v>116</v>
      </c>
      <c r="U40" s="355"/>
      <c r="V40" s="356"/>
      <c r="W40" s="323"/>
      <c r="X40" s="324"/>
      <c r="Y40" s="191"/>
      <c r="Z40" s="224"/>
      <c r="AA40" s="270" t="s">
        <v>18</v>
      </c>
      <c r="AB40" s="205" t="s">
        <v>24</v>
      </c>
      <c r="AC40" s="205">
        <v>2</v>
      </c>
      <c r="AD40" s="206" t="s">
        <v>23</v>
      </c>
      <c r="AE40" s="403"/>
      <c r="AF40" s="404"/>
      <c r="AG40" s="249"/>
      <c r="AH40" s="204"/>
      <c r="AI40" s="270" t="s">
        <v>168</v>
      </c>
      <c r="AJ40" s="205" t="s">
        <v>243</v>
      </c>
      <c r="AK40" s="205"/>
      <c r="AL40" s="449" t="s">
        <v>20</v>
      </c>
      <c r="AM40" s="476">
        <v>1</v>
      </c>
      <c r="AN40" s="477">
        <v>1</v>
      </c>
      <c r="AQ40" s="498" t="s">
        <v>177</v>
      </c>
      <c r="AR40" s="498"/>
      <c r="AS40" s="498">
        <f>SUM(AS3:AS39)</f>
        <v>94</v>
      </c>
      <c r="AT40" s="535"/>
      <c r="AU40" s="498"/>
      <c r="AV40" s="498"/>
      <c r="AW40" s="498"/>
      <c r="AX40" s="498">
        <f>SUM(AX3:AX39)</f>
        <v>122</v>
      </c>
      <c r="AY40" s="498">
        <f>SUM(AY3:AY39)</f>
        <v>108</v>
      </c>
    </row>
    <row r="41" ht="16.5" spans="1:40">
      <c r="A41" s="213"/>
      <c r="I41" s="213"/>
      <c r="J41" s="257" t="s">
        <v>4</v>
      </c>
      <c r="K41" s="199" t="s">
        <v>78</v>
      </c>
      <c r="L41" s="200" t="s">
        <v>8</v>
      </c>
      <c r="M41" s="200" t="s">
        <v>9</v>
      </c>
      <c r="N41" s="258" t="s">
        <v>10</v>
      </c>
      <c r="O41" s="259" t="s">
        <v>12</v>
      </c>
      <c r="P41" s="260" t="s">
        <v>13</v>
      </c>
      <c r="Q41" s="213"/>
      <c r="R41" s="383" t="s">
        <v>49</v>
      </c>
      <c r="S41" s="358" t="s">
        <v>18</v>
      </c>
      <c r="T41" s="359" t="s">
        <v>119</v>
      </c>
      <c r="U41" s="359">
        <v>1</v>
      </c>
      <c r="V41" s="360" t="s">
        <v>23</v>
      </c>
      <c r="W41" s="341"/>
      <c r="X41" s="342"/>
      <c r="Y41" s="213"/>
      <c r="Z41" s="435" t="s">
        <v>34</v>
      </c>
      <c r="AA41" s="273" t="s">
        <v>168</v>
      </c>
      <c r="AB41" s="216" t="s">
        <v>217</v>
      </c>
      <c r="AC41" s="216"/>
      <c r="AD41" s="218" t="s">
        <v>23</v>
      </c>
      <c r="AE41" s="406"/>
      <c r="AF41" s="436">
        <v>1</v>
      </c>
      <c r="AG41" s="249"/>
      <c r="AH41" s="224"/>
      <c r="AI41" s="270" t="s">
        <v>18</v>
      </c>
      <c r="AJ41" s="205" t="s">
        <v>24</v>
      </c>
      <c r="AK41" s="205">
        <v>2</v>
      </c>
      <c r="AL41" s="449" t="s">
        <v>20</v>
      </c>
      <c r="AM41" s="476"/>
      <c r="AN41" s="477"/>
    </row>
    <row r="42" ht="16.5" spans="1:55">
      <c r="A42" s="213"/>
      <c r="I42" s="213"/>
      <c r="J42" s="306" t="s">
        <v>25</v>
      </c>
      <c r="K42" s="262" t="s">
        <v>18</v>
      </c>
      <c r="L42" s="210" t="s">
        <v>85</v>
      </c>
      <c r="M42" s="210">
        <v>10</v>
      </c>
      <c r="N42" s="263" t="s">
        <v>30</v>
      </c>
      <c r="O42" s="308">
        <v>18</v>
      </c>
      <c r="P42" s="308">
        <v>20</v>
      </c>
      <c r="Q42" s="213"/>
      <c r="R42" s="378"/>
      <c r="S42" s="358" t="s">
        <v>293</v>
      </c>
      <c r="T42" s="359" t="s">
        <v>175</v>
      </c>
      <c r="U42" s="359"/>
      <c r="V42" s="360" t="s">
        <v>23</v>
      </c>
      <c r="W42" s="323"/>
      <c r="X42" s="324">
        <v>1</v>
      </c>
      <c r="Y42" s="213"/>
      <c r="Z42" s="214"/>
      <c r="AA42" s="273" t="s">
        <v>168</v>
      </c>
      <c r="AB42" s="216" t="s">
        <v>142</v>
      </c>
      <c r="AC42" s="216"/>
      <c r="AD42" s="218" t="s">
        <v>23</v>
      </c>
      <c r="AE42" s="406">
        <v>1</v>
      </c>
      <c r="AF42" s="436"/>
      <c r="AG42" s="249"/>
      <c r="AH42" s="478" t="s">
        <v>34</v>
      </c>
      <c r="AI42" s="479" t="s">
        <v>271</v>
      </c>
      <c r="AJ42" s="479" t="s">
        <v>138</v>
      </c>
      <c r="AK42" s="479"/>
      <c r="AL42" s="480" t="s">
        <v>20</v>
      </c>
      <c r="AM42" s="481">
        <v>1</v>
      </c>
      <c r="AN42" s="482">
        <v>1</v>
      </c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ht="17.25" spans="1:55">
      <c r="A43" s="213"/>
      <c r="I43" s="213"/>
      <c r="J43" s="307"/>
      <c r="K43" s="262" t="s">
        <v>168</v>
      </c>
      <c r="L43" s="210" t="s">
        <v>130</v>
      </c>
      <c r="M43" s="210"/>
      <c r="N43" s="263" t="s">
        <v>30</v>
      </c>
      <c r="O43" s="308">
        <v>7</v>
      </c>
      <c r="P43" s="308">
        <v>7</v>
      </c>
      <c r="Q43" s="213"/>
      <c r="R43" s="384"/>
      <c r="S43" s="362" t="s">
        <v>293</v>
      </c>
      <c r="T43" s="363" t="s">
        <v>203</v>
      </c>
      <c r="U43" s="363"/>
      <c r="V43" s="364" t="s">
        <v>23</v>
      </c>
      <c r="W43" s="365"/>
      <c r="X43" s="366">
        <v>1</v>
      </c>
      <c r="Y43" s="213"/>
      <c r="Z43" s="214"/>
      <c r="AA43" s="273" t="s">
        <v>168</v>
      </c>
      <c r="AB43" s="216" t="s">
        <v>36</v>
      </c>
      <c r="AC43" s="216"/>
      <c r="AD43" s="218" t="s">
        <v>23</v>
      </c>
      <c r="AE43" s="406">
        <v>1</v>
      </c>
      <c r="AF43" s="436"/>
      <c r="AG43" s="249"/>
      <c r="AH43" s="483"/>
      <c r="AI43" s="479" t="s">
        <v>271</v>
      </c>
      <c r="AJ43" s="479" t="s">
        <v>242</v>
      </c>
      <c r="AK43" s="479"/>
      <c r="AL43" s="480" t="s">
        <v>20</v>
      </c>
      <c r="AM43" s="481">
        <v>1</v>
      </c>
      <c r="AN43" s="482">
        <v>1</v>
      </c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ht="17.25" spans="1:40">
      <c r="A44" s="191"/>
      <c r="I44" s="191"/>
      <c r="J44" s="307"/>
      <c r="K44" s="262" t="s">
        <v>293</v>
      </c>
      <c r="L44" s="210" t="s">
        <v>110</v>
      </c>
      <c r="M44" s="210"/>
      <c r="N44" s="263"/>
      <c r="O44" s="308"/>
      <c r="P44" s="308">
        <v>3</v>
      </c>
      <c r="Q44" s="191"/>
      <c r="R44" s="367" t="s">
        <v>177</v>
      </c>
      <c r="S44" s="368">
        <f>SUM(U27:U41)</f>
        <v>31</v>
      </c>
      <c r="T44" s="385"/>
      <c r="U44" s="385"/>
      <c r="V44" s="386"/>
      <c r="W44" s="371">
        <f>SUM(W27:W41)</f>
        <v>14</v>
      </c>
      <c r="X44" s="372">
        <f>SUM(X27:X43)</f>
        <v>12</v>
      </c>
      <c r="Y44" s="213"/>
      <c r="Z44" s="212"/>
      <c r="AA44" s="273" t="s">
        <v>18</v>
      </c>
      <c r="AB44" s="216" t="s">
        <v>213</v>
      </c>
      <c r="AC44" s="216">
        <v>3</v>
      </c>
      <c r="AD44" s="218" t="s">
        <v>23</v>
      </c>
      <c r="AE44" s="406"/>
      <c r="AF44" s="407"/>
      <c r="AG44" s="249"/>
      <c r="AH44" s="226" t="s">
        <v>101</v>
      </c>
      <c r="AI44" s="276" t="s">
        <v>41</v>
      </c>
      <c r="AJ44" s="227" t="s">
        <v>61</v>
      </c>
      <c r="AK44" s="276">
        <v>2</v>
      </c>
      <c r="AL44" s="451" t="s">
        <v>20</v>
      </c>
      <c r="AM44" s="484"/>
      <c r="AN44" s="485"/>
    </row>
    <row r="45" ht="16.5" spans="1:40">
      <c r="A45" s="191"/>
      <c r="I45" s="191"/>
      <c r="J45" s="309"/>
      <c r="K45" s="262" t="s">
        <v>293</v>
      </c>
      <c r="L45" s="210" t="s">
        <v>132</v>
      </c>
      <c r="M45" s="210"/>
      <c r="N45" s="263"/>
      <c r="O45" s="308"/>
      <c r="P45" s="308">
        <v>1</v>
      </c>
      <c r="Q45" s="191"/>
      <c r="R45" s="191"/>
      <c r="S45" s="191"/>
      <c r="T45" s="191"/>
      <c r="U45" s="191"/>
      <c r="V45" s="191"/>
      <c r="W45" s="191"/>
      <c r="X45" s="191"/>
      <c r="Y45" s="213"/>
      <c r="Z45" s="398"/>
      <c r="AA45" s="273" t="s">
        <v>18</v>
      </c>
      <c r="AB45" s="216" t="s">
        <v>215</v>
      </c>
      <c r="AC45" s="216">
        <v>1</v>
      </c>
      <c r="AD45" s="218" t="s">
        <v>23</v>
      </c>
      <c r="AE45" s="406"/>
      <c r="AF45" s="407"/>
      <c r="AG45" s="249"/>
      <c r="AH45" s="226"/>
      <c r="AI45" s="276" t="s">
        <v>18</v>
      </c>
      <c r="AJ45" s="227" t="s">
        <v>61</v>
      </c>
      <c r="AK45" s="276">
        <v>4</v>
      </c>
      <c r="AL45" s="451" t="s">
        <v>20</v>
      </c>
      <c r="AM45" s="484">
        <v>5</v>
      </c>
      <c r="AN45" s="485">
        <v>4</v>
      </c>
    </row>
    <row r="46" ht="17.25" spans="1:40">
      <c r="A46" s="191"/>
      <c r="I46" s="191"/>
      <c r="J46" s="311" t="s">
        <v>16</v>
      </c>
      <c r="K46" s="270" t="s">
        <v>18</v>
      </c>
      <c r="L46" s="205" t="s">
        <v>19</v>
      </c>
      <c r="M46" s="205">
        <v>2</v>
      </c>
      <c r="N46" s="271" t="s">
        <v>23</v>
      </c>
      <c r="O46" s="308">
        <v>1</v>
      </c>
      <c r="P46" s="308">
        <v>1</v>
      </c>
      <c r="Q46" s="191"/>
      <c r="R46" s="191"/>
      <c r="S46" s="191"/>
      <c r="T46" s="191"/>
      <c r="U46" s="191"/>
      <c r="V46" s="191"/>
      <c r="W46" s="191"/>
      <c r="X46" s="191"/>
      <c r="Y46" s="191"/>
      <c r="Z46" s="409" t="s">
        <v>101</v>
      </c>
      <c r="AA46" s="276" t="s">
        <v>18</v>
      </c>
      <c r="AB46" s="227" t="s">
        <v>32</v>
      </c>
      <c r="AC46" s="227">
        <v>6</v>
      </c>
      <c r="AD46" s="228" t="s">
        <v>20</v>
      </c>
      <c r="AE46" s="410">
        <v>4</v>
      </c>
      <c r="AF46" s="411">
        <v>1</v>
      </c>
      <c r="AG46" s="249"/>
      <c r="AH46" s="224"/>
      <c r="AI46" s="276" t="s">
        <v>21</v>
      </c>
      <c r="AJ46" s="227" t="s">
        <v>32</v>
      </c>
      <c r="AK46" s="276">
        <v>1</v>
      </c>
      <c r="AL46" s="451" t="s">
        <v>20</v>
      </c>
      <c r="AM46" s="484">
        <v>2</v>
      </c>
      <c r="AN46" s="485">
        <v>2</v>
      </c>
    </row>
    <row r="47" spans="1:40">
      <c r="A47" s="191"/>
      <c r="I47" s="191"/>
      <c r="J47" s="307"/>
      <c r="K47" s="270" t="s">
        <v>168</v>
      </c>
      <c r="L47" s="205" t="s">
        <v>113</v>
      </c>
      <c r="M47" s="205"/>
      <c r="N47" s="271"/>
      <c r="O47" s="308">
        <v>1</v>
      </c>
      <c r="P47" s="308"/>
      <c r="Q47" s="191"/>
      <c r="R47" s="250" t="s">
        <v>178</v>
      </c>
      <c r="S47" s="251"/>
      <c r="T47" s="253"/>
      <c r="U47" s="253"/>
      <c r="V47" s="254"/>
      <c r="W47" s="255" t="s">
        <v>307</v>
      </c>
      <c r="X47" s="256"/>
      <c r="Y47" s="191"/>
      <c r="Z47" s="422"/>
      <c r="AA47" s="276" t="s">
        <v>18</v>
      </c>
      <c r="AB47" s="227" t="s">
        <v>61</v>
      </c>
      <c r="AC47" s="227">
        <v>5</v>
      </c>
      <c r="AD47" s="228" t="s">
        <v>20</v>
      </c>
      <c r="AE47" s="410">
        <v>2</v>
      </c>
      <c r="AF47" s="411">
        <v>2</v>
      </c>
      <c r="AG47" s="249"/>
      <c r="AH47" s="226"/>
      <c r="AI47" s="276" t="s">
        <v>21</v>
      </c>
      <c r="AJ47" s="227" t="s">
        <v>146</v>
      </c>
      <c r="AK47" s="276">
        <v>1</v>
      </c>
      <c r="AL47" s="451" t="s">
        <v>23</v>
      </c>
      <c r="AM47" s="484"/>
      <c r="AN47" s="485"/>
    </row>
    <row r="48" ht="16.5" spans="1:40">
      <c r="A48" s="191"/>
      <c r="B48" s="191"/>
      <c r="C48" s="191"/>
      <c r="D48" s="191"/>
      <c r="E48" s="191"/>
      <c r="F48" s="191"/>
      <c r="G48" s="191"/>
      <c r="H48" s="191"/>
      <c r="I48" s="191"/>
      <c r="J48" s="309"/>
      <c r="K48" s="270" t="s">
        <v>168</v>
      </c>
      <c r="L48" s="205" t="s">
        <v>308</v>
      </c>
      <c r="M48" s="205"/>
      <c r="N48" s="271"/>
      <c r="O48" s="308">
        <v>1</v>
      </c>
      <c r="P48" s="308"/>
      <c r="Q48" s="191"/>
      <c r="R48" s="315"/>
      <c r="S48" s="316"/>
      <c r="T48" s="200" t="s">
        <v>8</v>
      </c>
      <c r="U48" s="200" t="s">
        <v>9</v>
      </c>
      <c r="V48" s="258" t="s">
        <v>10</v>
      </c>
      <c r="W48" s="317" t="s">
        <v>12</v>
      </c>
      <c r="X48" s="318" t="s">
        <v>13</v>
      </c>
      <c r="Y48" s="191"/>
      <c r="Z48" s="434"/>
      <c r="AA48" s="276" t="s">
        <v>18</v>
      </c>
      <c r="AB48" s="227" t="s">
        <v>218</v>
      </c>
      <c r="AC48" s="227">
        <v>1</v>
      </c>
      <c r="AD48" s="228" t="s">
        <v>20</v>
      </c>
      <c r="AE48" s="410"/>
      <c r="AF48" s="411"/>
      <c r="AG48" s="249"/>
      <c r="AH48" s="229" t="s">
        <v>40</v>
      </c>
      <c r="AI48" s="281" t="s">
        <v>18</v>
      </c>
      <c r="AJ48" s="230" t="s">
        <v>194</v>
      </c>
      <c r="AK48" s="281">
        <v>1</v>
      </c>
      <c r="AL48" s="453" t="s">
        <v>23</v>
      </c>
      <c r="AM48" s="486"/>
      <c r="AN48" s="487"/>
    </row>
    <row r="49" ht="16.5" spans="1:40">
      <c r="A49" s="191"/>
      <c r="B49" s="191"/>
      <c r="C49" s="191"/>
      <c r="D49" s="191"/>
      <c r="E49" s="191"/>
      <c r="F49" s="191"/>
      <c r="G49" s="191"/>
      <c r="H49" s="191"/>
      <c r="I49" s="191"/>
      <c r="J49" s="312" t="s">
        <v>101</v>
      </c>
      <c r="K49" s="276" t="s">
        <v>18</v>
      </c>
      <c r="L49" s="227" t="s">
        <v>61</v>
      </c>
      <c r="M49" s="227">
        <v>4</v>
      </c>
      <c r="N49" s="277" t="s">
        <v>20</v>
      </c>
      <c r="O49" s="264">
        <v>5</v>
      </c>
      <c r="P49" s="264">
        <v>2</v>
      </c>
      <c r="Q49" s="191"/>
      <c r="R49" s="373" t="s">
        <v>25</v>
      </c>
      <c r="S49" s="374" t="s">
        <v>168</v>
      </c>
      <c r="T49" s="375" t="s">
        <v>181</v>
      </c>
      <c r="U49" s="375">
        <v>5</v>
      </c>
      <c r="V49" s="375" t="s">
        <v>20</v>
      </c>
      <c r="W49" s="323"/>
      <c r="X49" s="324"/>
      <c r="Y49" s="191"/>
      <c r="Z49" s="412" t="s">
        <v>40</v>
      </c>
      <c r="AA49" s="281" t="s">
        <v>18</v>
      </c>
      <c r="AB49" s="230" t="s">
        <v>110</v>
      </c>
      <c r="AC49" s="230">
        <v>2</v>
      </c>
      <c r="AD49" s="231" t="s">
        <v>20</v>
      </c>
      <c r="AE49" s="413">
        <v>2</v>
      </c>
      <c r="AF49" s="414">
        <v>1</v>
      </c>
      <c r="AG49" s="249"/>
      <c r="AH49" s="224"/>
      <c r="AI49" s="281" t="s">
        <v>18</v>
      </c>
      <c r="AJ49" s="230" t="s">
        <v>110</v>
      </c>
      <c r="AK49" s="281">
        <v>1</v>
      </c>
      <c r="AL49" s="453" t="s">
        <v>20</v>
      </c>
      <c r="AM49" s="486">
        <v>2</v>
      </c>
      <c r="AN49" s="487">
        <v>2</v>
      </c>
    </row>
    <row r="50" ht="16.5" spans="1:40">
      <c r="A50" s="191"/>
      <c r="B50" s="191"/>
      <c r="C50" s="191"/>
      <c r="D50" s="191"/>
      <c r="E50" s="191"/>
      <c r="F50" s="191"/>
      <c r="G50" s="191"/>
      <c r="H50" s="191"/>
      <c r="I50" s="191"/>
      <c r="J50" s="309"/>
      <c r="K50" s="276" t="s">
        <v>168</v>
      </c>
      <c r="L50" s="227" t="s">
        <v>32</v>
      </c>
      <c r="M50" s="227"/>
      <c r="N50" s="277"/>
      <c r="O50" s="308">
        <v>1</v>
      </c>
      <c r="P50" s="308"/>
      <c r="Q50" s="191"/>
      <c r="R50" s="381"/>
      <c r="S50" s="374" t="s">
        <v>168</v>
      </c>
      <c r="T50" s="375" t="s">
        <v>183</v>
      </c>
      <c r="U50" s="375"/>
      <c r="V50" s="375" t="s">
        <v>20</v>
      </c>
      <c r="W50" s="323"/>
      <c r="X50" s="324">
        <v>1</v>
      </c>
      <c r="Y50" s="191"/>
      <c r="Z50" s="434"/>
      <c r="AA50" s="281" t="s">
        <v>293</v>
      </c>
      <c r="AB50" s="230" t="s">
        <v>204</v>
      </c>
      <c r="AC50" s="230">
        <v>1</v>
      </c>
      <c r="AD50" s="231" t="s">
        <v>23</v>
      </c>
      <c r="AE50" s="413">
        <v>2</v>
      </c>
      <c r="AF50" s="414"/>
      <c r="AG50" s="249"/>
      <c r="AH50" s="415" t="s">
        <v>112</v>
      </c>
      <c r="AI50" s="284" t="s">
        <v>18</v>
      </c>
      <c r="AJ50" s="233" t="s">
        <v>239</v>
      </c>
      <c r="AK50" s="284">
        <v>3</v>
      </c>
      <c r="AL50" s="455" t="s">
        <v>23</v>
      </c>
      <c r="AM50" s="488">
        <v>3</v>
      </c>
      <c r="AN50" s="489"/>
    </row>
    <row r="51" ht="16.5" spans="1:40">
      <c r="A51" s="191"/>
      <c r="B51" s="191"/>
      <c r="C51" s="191"/>
      <c r="D51" s="191"/>
      <c r="E51" s="191"/>
      <c r="F51" s="191"/>
      <c r="G51" s="191"/>
      <c r="H51" s="191"/>
      <c r="I51" s="191"/>
      <c r="J51" s="280" t="s">
        <v>40</v>
      </c>
      <c r="K51" s="281" t="s">
        <v>21</v>
      </c>
      <c r="L51" s="230" t="s">
        <v>110</v>
      </c>
      <c r="M51" s="230">
        <v>1</v>
      </c>
      <c r="N51" s="282" t="s">
        <v>23</v>
      </c>
      <c r="O51" s="264"/>
      <c r="P51" s="264"/>
      <c r="Q51" s="191"/>
      <c r="R51" s="325" t="s">
        <v>43</v>
      </c>
      <c r="S51" s="326" t="s">
        <v>293</v>
      </c>
      <c r="T51" s="327" t="s">
        <v>186</v>
      </c>
      <c r="U51" s="327">
        <v>2</v>
      </c>
      <c r="V51" s="328" t="s">
        <v>20</v>
      </c>
      <c r="W51" s="323">
        <v>3</v>
      </c>
      <c r="X51" s="324">
        <v>2</v>
      </c>
      <c r="Y51" s="191"/>
      <c r="Z51" s="415" t="s">
        <v>112</v>
      </c>
      <c r="AA51" s="284" t="s">
        <v>18</v>
      </c>
      <c r="AB51" s="233" t="s">
        <v>113</v>
      </c>
      <c r="AC51" s="233">
        <v>1</v>
      </c>
      <c r="AD51" s="234" t="s">
        <v>23</v>
      </c>
      <c r="AE51" s="416"/>
      <c r="AF51" s="417">
        <v>1</v>
      </c>
      <c r="AG51" s="249"/>
      <c r="AH51" s="457" t="s">
        <v>49</v>
      </c>
      <c r="AI51" s="294" t="s">
        <v>21</v>
      </c>
      <c r="AJ51" s="240" t="s">
        <v>298</v>
      </c>
      <c r="AK51" s="294">
        <v>1</v>
      </c>
      <c r="AL51" s="458" t="s">
        <v>23</v>
      </c>
      <c r="AM51" s="490"/>
      <c r="AN51" s="491"/>
    </row>
    <row r="52" ht="16.5" spans="1:40">
      <c r="A52" s="191"/>
      <c r="B52" s="191"/>
      <c r="C52" s="191"/>
      <c r="D52" s="191"/>
      <c r="E52" s="191"/>
      <c r="F52" s="191"/>
      <c r="G52" s="191"/>
      <c r="H52" s="191"/>
      <c r="I52" s="191"/>
      <c r="J52" s="283" t="s">
        <v>112</v>
      </c>
      <c r="K52" s="284" t="s">
        <v>18</v>
      </c>
      <c r="L52" s="233" t="s">
        <v>130</v>
      </c>
      <c r="M52" s="233">
        <v>1</v>
      </c>
      <c r="N52" s="285" t="s">
        <v>23</v>
      </c>
      <c r="O52" s="264">
        <v>1</v>
      </c>
      <c r="P52" s="264">
        <v>2</v>
      </c>
      <c r="Q52" s="191"/>
      <c r="R52" s="377" t="s">
        <v>16</v>
      </c>
      <c r="S52" s="330" t="s">
        <v>18</v>
      </c>
      <c r="T52" s="331" t="s">
        <v>19</v>
      </c>
      <c r="U52" s="331">
        <v>3</v>
      </c>
      <c r="V52" s="332" t="s">
        <v>23</v>
      </c>
      <c r="W52" s="323">
        <v>1</v>
      </c>
      <c r="X52" s="324">
        <v>1</v>
      </c>
      <c r="Y52" s="191"/>
      <c r="Z52" s="236" t="s">
        <v>115</v>
      </c>
      <c r="AA52" s="287" t="s">
        <v>18</v>
      </c>
      <c r="AB52" s="237" t="s">
        <v>222</v>
      </c>
      <c r="AC52" s="237">
        <v>1</v>
      </c>
      <c r="AD52" s="238" t="s">
        <v>23</v>
      </c>
      <c r="AE52" s="418"/>
      <c r="AF52" s="419"/>
      <c r="AG52" s="249"/>
      <c r="AH52" s="224"/>
      <c r="AI52" s="294" t="s">
        <v>18</v>
      </c>
      <c r="AJ52" s="240" t="s">
        <v>119</v>
      </c>
      <c r="AK52" s="294">
        <v>1</v>
      </c>
      <c r="AL52" s="458" t="s">
        <v>23</v>
      </c>
      <c r="AM52" s="490"/>
      <c r="AN52" s="491"/>
    </row>
    <row r="53" ht="16.5" spans="1:40">
      <c r="A53" s="191"/>
      <c r="B53" s="191"/>
      <c r="C53" s="191"/>
      <c r="D53" s="191"/>
      <c r="E53" s="191"/>
      <c r="F53" s="191"/>
      <c r="G53" s="191"/>
      <c r="H53" s="191"/>
      <c r="I53" s="191"/>
      <c r="J53" s="289" t="s">
        <v>118</v>
      </c>
      <c r="K53" s="290" t="s">
        <v>293</v>
      </c>
      <c r="L53" s="291" t="s">
        <v>200</v>
      </c>
      <c r="M53" s="291"/>
      <c r="N53" s="292"/>
      <c r="O53" s="264"/>
      <c r="P53" s="264">
        <v>1</v>
      </c>
      <c r="Q53" s="191"/>
      <c r="R53" s="387"/>
      <c r="S53" s="330" t="s">
        <v>18</v>
      </c>
      <c r="T53" s="331" t="s">
        <v>113</v>
      </c>
      <c r="U53" s="331">
        <v>1</v>
      </c>
      <c r="V53" s="332" t="s">
        <v>23</v>
      </c>
      <c r="W53" s="323">
        <v>1</v>
      </c>
      <c r="X53" s="324">
        <v>1</v>
      </c>
      <c r="Y53" s="191"/>
      <c r="Z53" s="408"/>
      <c r="AA53" s="287" t="s">
        <v>18</v>
      </c>
      <c r="AB53" s="237" t="s">
        <v>224</v>
      </c>
      <c r="AC53" s="237">
        <v>1</v>
      </c>
      <c r="AD53" s="238" t="s">
        <v>20</v>
      </c>
      <c r="AE53" s="418"/>
      <c r="AF53" s="419"/>
      <c r="AG53" s="249"/>
      <c r="AH53" s="224"/>
      <c r="AI53" s="294" t="s">
        <v>18</v>
      </c>
      <c r="AJ53" s="240" t="s">
        <v>301</v>
      </c>
      <c r="AK53" s="294">
        <v>1</v>
      </c>
      <c r="AL53" s="458" t="s">
        <v>23</v>
      </c>
      <c r="AM53" s="490">
        <v>1</v>
      </c>
      <c r="AN53" s="491">
        <v>1</v>
      </c>
    </row>
    <row r="54" ht="17.25" spans="1:40">
      <c r="A54" s="191"/>
      <c r="B54" s="191"/>
      <c r="C54" s="191"/>
      <c r="D54" s="191"/>
      <c r="E54" s="191"/>
      <c r="F54" s="191"/>
      <c r="G54" s="191"/>
      <c r="H54" s="191"/>
      <c r="I54" s="191"/>
      <c r="J54" s="310" t="s">
        <v>49</v>
      </c>
      <c r="K54" s="294" t="s">
        <v>18</v>
      </c>
      <c r="L54" s="240" t="s">
        <v>119</v>
      </c>
      <c r="M54" s="240">
        <v>2</v>
      </c>
      <c r="N54" s="295" t="s">
        <v>20</v>
      </c>
      <c r="O54" s="264">
        <v>3</v>
      </c>
      <c r="P54" s="264"/>
      <c r="Q54" s="191"/>
      <c r="R54" s="387"/>
      <c r="S54" s="330" t="s">
        <v>168</v>
      </c>
      <c r="T54" s="331" t="s">
        <v>24</v>
      </c>
      <c r="U54" s="331"/>
      <c r="V54" s="332"/>
      <c r="W54" s="323">
        <v>1</v>
      </c>
      <c r="X54" s="324">
        <v>1</v>
      </c>
      <c r="Y54" s="191"/>
      <c r="Z54" s="239" t="s">
        <v>49</v>
      </c>
      <c r="AA54" s="294" t="s">
        <v>293</v>
      </c>
      <c r="AB54" s="240" t="s">
        <v>119</v>
      </c>
      <c r="AC54" s="240">
        <v>1</v>
      </c>
      <c r="AD54" s="241" t="s">
        <v>23</v>
      </c>
      <c r="AE54" s="420">
        <v>1</v>
      </c>
      <c r="AF54" s="421"/>
      <c r="AG54" s="249"/>
      <c r="AH54" s="460"/>
      <c r="AI54" s="298" t="s">
        <v>18</v>
      </c>
      <c r="AJ54" s="242" t="s">
        <v>157</v>
      </c>
      <c r="AK54" s="298">
        <v>3</v>
      </c>
      <c r="AL54" s="461" t="s">
        <v>23</v>
      </c>
      <c r="AM54" s="490">
        <v>1</v>
      </c>
      <c r="AN54" s="491">
        <v>1</v>
      </c>
    </row>
    <row r="55" ht="17.25" spans="1:40">
      <c r="A55" s="191"/>
      <c r="B55" s="191"/>
      <c r="C55" s="191"/>
      <c r="D55" s="191"/>
      <c r="E55" s="191"/>
      <c r="F55" s="191"/>
      <c r="G55" s="191"/>
      <c r="H55" s="191"/>
      <c r="I55" s="191"/>
      <c r="J55" s="302" t="s">
        <v>125</v>
      </c>
      <c r="K55" s="303"/>
      <c r="L55" s="303"/>
      <c r="M55" s="303">
        <f>SUM(M42:M54)</f>
        <v>20</v>
      </c>
      <c r="N55" s="303">
        <f>SUM(N42:N52)</f>
        <v>0</v>
      </c>
      <c r="O55" s="303">
        <f>SUM(O42:O54)</f>
        <v>38</v>
      </c>
      <c r="P55" s="303">
        <f>SUM(P42:P54)</f>
        <v>37</v>
      </c>
      <c r="Q55" s="191"/>
      <c r="R55" s="379" t="s">
        <v>34</v>
      </c>
      <c r="S55" s="335" t="s">
        <v>18</v>
      </c>
      <c r="T55" s="220" t="s">
        <v>36</v>
      </c>
      <c r="U55" s="220">
        <v>2</v>
      </c>
      <c r="V55" s="336" t="s">
        <v>20</v>
      </c>
      <c r="W55" s="323">
        <v>2</v>
      </c>
      <c r="X55" s="324">
        <v>2</v>
      </c>
      <c r="Y55" s="191"/>
      <c r="Z55" s="422"/>
      <c r="AA55" s="294" t="s">
        <v>18</v>
      </c>
      <c r="AB55" s="240" t="s">
        <v>176</v>
      </c>
      <c r="AC55" s="240">
        <v>1</v>
      </c>
      <c r="AD55" s="241" t="s">
        <v>23</v>
      </c>
      <c r="AE55" s="420"/>
      <c r="AF55" s="421"/>
      <c r="AG55" s="249"/>
      <c r="AH55" s="463" t="s">
        <v>177</v>
      </c>
      <c r="AI55" s="464">
        <f>SUM(AK33:AK54)</f>
        <v>48</v>
      </c>
      <c r="AJ55" s="465"/>
      <c r="AK55" s="465"/>
      <c r="AL55" s="492"/>
      <c r="AM55" s="493">
        <f>SUM(AM33:AM54)</f>
        <v>51</v>
      </c>
      <c r="AN55" s="494">
        <f>SUM(AN33:AN54)</f>
        <v>35</v>
      </c>
    </row>
    <row r="56" spans="1:35">
      <c r="A56" s="235"/>
      <c r="B56" s="235"/>
      <c r="C56" s="235"/>
      <c r="D56" s="235"/>
      <c r="E56" s="235"/>
      <c r="F56" s="235"/>
      <c r="G56" s="235"/>
      <c r="H56" s="235"/>
      <c r="I56" s="235"/>
      <c r="J56" s="250" t="s">
        <v>160</v>
      </c>
      <c r="K56" s="251"/>
      <c r="L56" s="252"/>
      <c r="M56" s="252"/>
      <c r="N56" s="304"/>
      <c r="O56" s="255" t="s">
        <v>306</v>
      </c>
      <c r="P56" s="305"/>
      <c r="Q56" s="235"/>
      <c r="R56" s="380" t="s">
        <v>101</v>
      </c>
      <c r="S56" s="338" t="s">
        <v>18</v>
      </c>
      <c r="T56" s="339" t="s">
        <v>32</v>
      </c>
      <c r="U56" s="339">
        <v>4</v>
      </c>
      <c r="V56" s="340" t="s">
        <v>20</v>
      </c>
      <c r="W56" s="323">
        <v>2</v>
      </c>
      <c r="X56" s="324">
        <v>3</v>
      </c>
      <c r="Y56" s="191"/>
      <c r="Z56" s="422"/>
      <c r="AA56" s="294" t="s">
        <v>18</v>
      </c>
      <c r="AB56" s="240" t="s">
        <v>157</v>
      </c>
      <c r="AC56" s="240">
        <v>1</v>
      </c>
      <c r="AD56" s="241" t="s">
        <v>23</v>
      </c>
      <c r="AE56" s="420"/>
      <c r="AF56" s="421"/>
      <c r="AG56" s="185"/>
      <c r="AI56" s="65"/>
    </row>
    <row r="57" ht="21" customHeight="1" spans="1:34">
      <c r="A57" s="249"/>
      <c r="B57" s="249"/>
      <c r="C57" s="249"/>
      <c r="D57" s="249"/>
      <c r="E57" s="249"/>
      <c r="F57" s="249"/>
      <c r="G57" s="249"/>
      <c r="H57" s="249"/>
      <c r="I57" s="249"/>
      <c r="J57" s="257" t="s">
        <v>4</v>
      </c>
      <c r="K57" s="199" t="s">
        <v>78</v>
      </c>
      <c r="L57" s="200" t="s">
        <v>8</v>
      </c>
      <c r="M57" s="200" t="s">
        <v>9</v>
      </c>
      <c r="N57" s="258" t="s">
        <v>10</v>
      </c>
      <c r="O57" s="259" t="s">
        <v>12</v>
      </c>
      <c r="P57" s="260" t="s">
        <v>13</v>
      </c>
      <c r="Q57" s="249"/>
      <c r="R57" s="387"/>
      <c r="S57" s="338" t="s">
        <v>168</v>
      </c>
      <c r="T57" s="339" t="s">
        <v>190</v>
      </c>
      <c r="U57" s="339"/>
      <c r="V57" s="340" t="s">
        <v>23</v>
      </c>
      <c r="W57" s="323">
        <v>2</v>
      </c>
      <c r="X57" s="324">
        <v>1</v>
      </c>
      <c r="Y57" s="191"/>
      <c r="Z57" s="423"/>
      <c r="AA57" s="424" t="s">
        <v>293</v>
      </c>
      <c r="AB57" s="425" t="s">
        <v>228</v>
      </c>
      <c r="AC57" s="425">
        <v>1</v>
      </c>
      <c r="AD57" s="426" t="s">
        <v>23</v>
      </c>
      <c r="AE57" s="427"/>
      <c r="AF57" s="428">
        <v>1</v>
      </c>
      <c r="AG57" s="249"/>
      <c r="AH57" s="5" t="s">
        <v>309</v>
      </c>
    </row>
    <row r="58" ht="18.75" spans="1:40">
      <c r="A58" s="186"/>
      <c r="B58" s="186"/>
      <c r="C58" s="186"/>
      <c r="D58" s="186"/>
      <c r="E58" s="186"/>
      <c r="F58" s="186"/>
      <c r="G58" s="186"/>
      <c r="H58" s="186"/>
      <c r="I58" s="186"/>
      <c r="J58" s="306" t="s">
        <v>25</v>
      </c>
      <c r="K58" s="262" t="s">
        <v>18</v>
      </c>
      <c r="L58" s="210" t="s">
        <v>85</v>
      </c>
      <c r="M58" s="210">
        <v>10</v>
      </c>
      <c r="N58" s="263" t="s">
        <v>30</v>
      </c>
      <c r="O58" s="264">
        <v>18</v>
      </c>
      <c r="P58" s="264">
        <v>20</v>
      </c>
      <c r="Q58" s="186"/>
      <c r="R58" s="381"/>
      <c r="S58" s="338" t="s">
        <v>18</v>
      </c>
      <c r="T58" s="339" t="s">
        <v>61</v>
      </c>
      <c r="U58" s="339">
        <v>8</v>
      </c>
      <c r="V58" s="340" t="s">
        <v>20</v>
      </c>
      <c r="W58" s="323">
        <v>2</v>
      </c>
      <c r="X58" s="324">
        <v>2</v>
      </c>
      <c r="Y58" s="235"/>
      <c r="Z58" s="429" t="s">
        <v>177</v>
      </c>
      <c r="AA58" s="430">
        <f>SUM(AC35:AC57)</f>
        <v>52</v>
      </c>
      <c r="AB58" s="431"/>
      <c r="AC58" s="431"/>
      <c r="AD58" s="431"/>
      <c r="AE58" s="432">
        <f>SUM(AE33:AE57)</f>
        <v>37</v>
      </c>
      <c r="AF58" s="432">
        <f>SUM(AF33:AF57)</f>
        <v>29</v>
      </c>
      <c r="AG58" s="249"/>
      <c r="AH58" s="388" t="s">
        <v>229</v>
      </c>
      <c r="AI58" s="437"/>
      <c r="AJ58" s="389"/>
      <c r="AK58" s="389"/>
      <c r="AL58" s="438"/>
      <c r="AM58" s="468" t="s">
        <v>285</v>
      </c>
      <c r="AN58" s="469"/>
    </row>
    <row r="59" ht="17.25" spans="1:40">
      <c r="A59" s="191"/>
      <c r="B59" s="191"/>
      <c r="C59" s="191"/>
      <c r="D59" s="191"/>
      <c r="E59" s="191"/>
      <c r="F59" s="191"/>
      <c r="G59" s="191"/>
      <c r="H59" s="191"/>
      <c r="I59" s="191"/>
      <c r="J59" s="313"/>
      <c r="K59" s="262" t="s">
        <v>168</v>
      </c>
      <c r="L59" s="210" t="s">
        <v>130</v>
      </c>
      <c r="M59" s="210"/>
      <c r="N59" s="263" t="s">
        <v>30</v>
      </c>
      <c r="O59" s="264">
        <v>7</v>
      </c>
      <c r="P59" s="264">
        <v>7</v>
      </c>
      <c r="Q59" s="191"/>
      <c r="R59" s="382" t="s">
        <v>40</v>
      </c>
      <c r="S59" s="345" t="s">
        <v>18</v>
      </c>
      <c r="T59" s="346" t="s">
        <v>192</v>
      </c>
      <c r="U59" s="346">
        <v>1</v>
      </c>
      <c r="V59" s="347" t="s">
        <v>20</v>
      </c>
      <c r="W59" s="323">
        <v>1</v>
      </c>
      <c r="X59" s="324"/>
      <c r="AG59" s="249"/>
      <c r="AH59" s="392"/>
      <c r="AI59" s="199" t="s">
        <v>286</v>
      </c>
      <c r="AJ59" s="199" t="s">
        <v>8</v>
      </c>
      <c r="AK59" s="199" t="s">
        <v>9</v>
      </c>
      <c r="AL59" s="440" t="s">
        <v>10</v>
      </c>
      <c r="AM59" s="470" t="s">
        <v>12</v>
      </c>
      <c r="AN59" s="471" t="s">
        <v>13</v>
      </c>
    </row>
    <row r="60" spans="1:40">
      <c r="A60" s="191"/>
      <c r="B60" s="191"/>
      <c r="C60" s="191"/>
      <c r="D60" s="191"/>
      <c r="E60" s="191"/>
      <c r="F60" s="191"/>
      <c r="G60" s="191"/>
      <c r="H60" s="191"/>
      <c r="I60" s="191"/>
      <c r="J60" s="313"/>
      <c r="K60" s="262" t="s">
        <v>293</v>
      </c>
      <c r="L60" s="210" t="s">
        <v>110</v>
      </c>
      <c r="M60" s="210"/>
      <c r="N60" s="263"/>
      <c r="O60" s="264"/>
      <c r="P60" s="264">
        <v>3</v>
      </c>
      <c r="Q60" s="191"/>
      <c r="R60" s="381"/>
      <c r="S60" s="345" t="s">
        <v>293</v>
      </c>
      <c r="T60" s="346" t="s">
        <v>194</v>
      </c>
      <c r="U60" s="346"/>
      <c r="V60" s="347" t="s">
        <v>23</v>
      </c>
      <c r="W60" s="323"/>
      <c r="X60" s="324">
        <v>1</v>
      </c>
      <c r="Y60" s="186"/>
      <c r="Z60" s="388" t="s">
        <v>283</v>
      </c>
      <c r="AA60" s="389"/>
      <c r="AB60" s="389"/>
      <c r="AC60" s="389"/>
      <c r="AD60" s="390"/>
      <c r="AE60" s="391" t="s">
        <v>310</v>
      </c>
      <c r="AF60" s="390"/>
      <c r="AG60" s="249"/>
      <c r="AH60" s="443" t="s">
        <v>25</v>
      </c>
      <c r="AI60" s="262" t="s">
        <v>18</v>
      </c>
      <c r="AJ60" s="210" t="s">
        <v>27</v>
      </c>
      <c r="AK60" s="262">
        <v>4</v>
      </c>
      <c r="AL60" s="444" t="s">
        <v>23</v>
      </c>
      <c r="AM60" s="472">
        <v>5</v>
      </c>
      <c r="AN60" s="473">
        <v>3</v>
      </c>
    </row>
    <row r="61" ht="16.5" spans="1:40">
      <c r="A61" s="191"/>
      <c r="B61" s="191"/>
      <c r="C61" s="191"/>
      <c r="D61" s="191"/>
      <c r="E61" s="191"/>
      <c r="F61" s="191"/>
      <c r="G61" s="191"/>
      <c r="H61" s="191"/>
      <c r="I61" s="191"/>
      <c r="J61" s="314"/>
      <c r="K61" s="262" t="s">
        <v>293</v>
      </c>
      <c r="L61" s="210" t="s">
        <v>132</v>
      </c>
      <c r="M61" s="210"/>
      <c r="N61" s="263"/>
      <c r="O61" s="264"/>
      <c r="P61" s="264">
        <v>1</v>
      </c>
      <c r="Q61" s="191"/>
      <c r="R61" s="349" t="s">
        <v>112</v>
      </c>
      <c r="S61" s="350" t="s">
        <v>168</v>
      </c>
      <c r="T61" s="59" t="s">
        <v>130</v>
      </c>
      <c r="U61" s="59">
        <v>4</v>
      </c>
      <c r="V61" s="59" t="s">
        <v>20</v>
      </c>
      <c r="W61" s="323">
        <v>1</v>
      </c>
      <c r="X61" s="324"/>
      <c r="Y61" s="191"/>
      <c r="Z61" s="392"/>
      <c r="AA61" s="393"/>
      <c r="AB61" s="199" t="s">
        <v>8</v>
      </c>
      <c r="AC61" s="199" t="s">
        <v>9</v>
      </c>
      <c r="AD61" s="394" t="s">
        <v>10</v>
      </c>
      <c r="AE61" s="395" t="s">
        <v>12</v>
      </c>
      <c r="AF61" s="208" t="s">
        <v>13</v>
      </c>
      <c r="AG61" s="249"/>
      <c r="AH61" s="443"/>
      <c r="AI61" s="262" t="s">
        <v>168</v>
      </c>
      <c r="AJ61" s="210" t="s">
        <v>237</v>
      </c>
      <c r="AK61" s="262"/>
      <c r="AL61" s="444" t="s">
        <v>23</v>
      </c>
      <c r="AM61" s="472">
        <v>1</v>
      </c>
      <c r="AN61" s="473">
        <v>1</v>
      </c>
    </row>
    <row r="62" ht="16.5" spans="1:40">
      <c r="A62" s="191"/>
      <c r="B62" s="191"/>
      <c r="C62" s="191"/>
      <c r="D62" s="191"/>
      <c r="E62" s="191"/>
      <c r="F62" s="191"/>
      <c r="G62" s="191"/>
      <c r="H62" s="191"/>
      <c r="I62" s="191"/>
      <c r="J62" s="311" t="s">
        <v>16</v>
      </c>
      <c r="K62" s="270" t="s">
        <v>18</v>
      </c>
      <c r="L62" s="205" t="s">
        <v>19</v>
      </c>
      <c r="M62" s="205">
        <v>2</v>
      </c>
      <c r="N62" s="271" t="s">
        <v>23</v>
      </c>
      <c r="O62" s="264">
        <v>1</v>
      </c>
      <c r="P62" s="264">
        <v>1</v>
      </c>
      <c r="Q62" s="191"/>
      <c r="R62" s="353" t="s">
        <v>115</v>
      </c>
      <c r="S62" s="354"/>
      <c r="T62" s="355" t="s">
        <v>116</v>
      </c>
      <c r="U62" s="355"/>
      <c r="V62" s="356"/>
      <c r="W62" s="323"/>
      <c r="X62" s="324"/>
      <c r="Y62" s="191"/>
      <c r="Z62" s="433" t="s">
        <v>25</v>
      </c>
      <c r="AA62" s="262" t="s">
        <v>41</v>
      </c>
      <c r="AB62" s="210" t="s">
        <v>130</v>
      </c>
      <c r="AC62" s="210"/>
      <c r="AD62" s="211"/>
      <c r="AE62" s="396"/>
      <c r="AF62" s="397">
        <v>1</v>
      </c>
      <c r="AG62" s="249"/>
      <c r="AH62" s="224"/>
      <c r="AI62" s="262" t="s">
        <v>18</v>
      </c>
      <c r="AJ62" s="210" t="s">
        <v>235</v>
      </c>
      <c r="AK62" s="262">
        <v>10</v>
      </c>
      <c r="AL62" s="444" t="s">
        <v>30</v>
      </c>
      <c r="AM62" s="472">
        <v>28</v>
      </c>
      <c r="AN62" s="473">
        <v>17</v>
      </c>
    </row>
    <row r="63" ht="16.5" spans="1:40">
      <c r="A63" s="191"/>
      <c r="B63" s="191"/>
      <c r="C63" s="191"/>
      <c r="D63" s="191"/>
      <c r="E63" s="191"/>
      <c r="F63" s="191"/>
      <c r="G63" s="191"/>
      <c r="H63" s="191"/>
      <c r="I63" s="191"/>
      <c r="J63" s="313"/>
      <c r="K63" s="270" t="s">
        <v>168</v>
      </c>
      <c r="L63" s="205" t="s">
        <v>113</v>
      </c>
      <c r="M63" s="205"/>
      <c r="N63" s="271"/>
      <c r="O63" s="264">
        <v>1</v>
      </c>
      <c r="P63" s="264"/>
      <c r="Q63" s="191"/>
      <c r="R63" s="383" t="s">
        <v>49</v>
      </c>
      <c r="S63" s="358" t="s">
        <v>18</v>
      </c>
      <c r="T63" s="359" t="s">
        <v>119</v>
      </c>
      <c r="U63" s="359">
        <v>1</v>
      </c>
      <c r="V63" s="360" t="s">
        <v>23</v>
      </c>
      <c r="W63" s="323"/>
      <c r="X63" s="324"/>
      <c r="Y63" s="191"/>
      <c r="Z63" s="422"/>
      <c r="AA63" s="262" t="s">
        <v>168</v>
      </c>
      <c r="AB63" s="210" t="s">
        <v>184</v>
      </c>
      <c r="AC63" s="210"/>
      <c r="AD63" s="211"/>
      <c r="AE63" s="396">
        <v>7</v>
      </c>
      <c r="AF63" s="397">
        <v>6</v>
      </c>
      <c r="AG63" s="249"/>
      <c r="AH63" s="399" t="s">
        <v>43</v>
      </c>
      <c r="AI63" s="266" t="s">
        <v>21</v>
      </c>
      <c r="AJ63" s="222" t="s">
        <v>186</v>
      </c>
      <c r="AK63" s="266">
        <v>3</v>
      </c>
      <c r="AL63" s="446" t="s">
        <v>20</v>
      </c>
      <c r="AM63" s="474"/>
      <c r="AN63" s="475"/>
    </row>
    <row r="64" ht="16.5" spans="1:40">
      <c r="A64" s="191"/>
      <c r="B64" s="191"/>
      <c r="C64" s="191"/>
      <c r="D64" s="191"/>
      <c r="E64" s="191"/>
      <c r="F64" s="191"/>
      <c r="G64" s="191"/>
      <c r="H64" s="191"/>
      <c r="I64" s="191"/>
      <c r="J64" s="314"/>
      <c r="K64" s="270" t="s">
        <v>168</v>
      </c>
      <c r="L64" s="205" t="s">
        <v>308</v>
      </c>
      <c r="M64" s="205"/>
      <c r="N64" s="271"/>
      <c r="O64" s="264">
        <v>1</v>
      </c>
      <c r="P64" s="264"/>
      <c r="Q64" s="191"/>
      <c r="R64" s="387"/>
      <c r="S64" s="358" t="s">
        <v>293</v>
      </c>
      <c r="T64" s="359" t="s">
        <v>175</v>
      </c>
      <c r="U64" s="359"/>
      <c r="V64" s="360" t="s">
        <v>23</v>
      </c>
      <c r="W64" s="323">
        <v>1</v>
      </c>
      <c r="X64" s="324">
        <v>1</v>
      </c>
      <c r="Y64" s="191"/>
      <c r="Z64" s="434"/>
      <c r="AA64" s="262" t="s">
        <v>18</v>
      </c>
      <c r="AB64" s="210" t="s">
        <v>208</v>
      </c>
      <c r="AC64" s="210">
        <v>15</v>
      </c>
      <c r="AD64" s="211" t="s">
        <v>30</v>
      </c>
      <c r="AE64" s="396">
        <v>16</v>
      </c>
      <c r="AF64" s="397">
        <v>16</v>
      </c>
      <c r="AG64" s="249"/>
      <c r="AH64" s="212"/>
      <c r="AI64" s="266" t="s">
        <v>21</v>
      </c>
      <c r="AJ64" s="222" t="s">
        <v>210</v>
      </c>
      <c r="AK64" s="266">
        <v>1</v>
      </c>
      <c r="AL64" s="446" t="s">
        <v>23</v>
      </c>
      <c r="AM64" s="474"/>
      <c r="AN64" s="475"/>
    </row>
    <row r="65" ht="17.25" spans="1:40">
      <c r="A65" s="191"/>
      <c r="B65" s="191"/>
      <c r="C65" s="191"/>
      <c r="D65" s="191"/>
      <c r="E65" s="191"/>
      <c r="F65" s="191"/>
      <c r="G65" s="191"/>
      <c r="H65" s="191"/>
      <c r="I65" s="191"/>
      <c r="J65" s="312" t="s">
        <v>101</v>
      </c>
      <c r="K65" s="276" t="s">
        <v>18</v>
      </c>
      <c r="L65" s="227" t="s">
        <v>61</v>
      </c>
      <c r="M65" s="227">
        <v>4</v>
      </c>
      <c r="N65" s="277" t="s">
        <v>20</v>
      </c>
      <c r="O65" s="264">
        <v>5</v>
      </c>
      <c r="P65" s="264">
        <v>2</v>
      </c>
      <c r="Q65" s="191"/>
      <c r="R65" s="546"/>
      <c r="S65" s="362" t="s">
        <v>293</v>
      </c>
      <c r="T65" s="363" t="s">
        <v>203</v>
      </c>
      <c r="U65" s="363"/>
      <c r="V65" s="364" t="s">
        <v>23</v>
      </c>
      <c r="W65" s="365"/>
      <c r="X65" s="366">
        <v>1</v>
      </c>
      <c r="Y65" s="191"/>
      <c r="Z65" s="399" t="s">
        <v>43</v>
      </c>
      <c r="AA65" s="266" t="s">
        <v>18</v>
      </c>
      <c r="AB65" s="222" t="s">
        <v>186</v>
      </c>
      <c r="AC65" s="222">
        <v>1</v>
      </c>
      <c r="AD65" s="223" t="s">
        <v>20</v>
      </c>
      <c r="AE65" s="400">
        <v>1</v>
      </c>
      <c r="AF65" s="401"/>
      <c r="AG65" s="249"/>
      <c r="AH65" s="212"/>
      <c r="AI65" s="266" t="s">
        <v>168</v>
      </c>
      <c r="AJ65" s="222" t="s">
        <v>68</v>
      </c>
      <c r="AK65" s="266"/>
      <c r="AL65" s="446"/>
      <c r="AM65" s="474">
        <v>1</v>
      </c>
      <c r="AN65" s="475"/>
    </row>
    <row r="66" ht="17.25" spans="1:40">
      <c r="A66" s="191"/>
      <c r="B66" s="191"/>
      <c r="C66" s="191"/>
      <c r="D66" s="191"/>
      <c r="E66" s="191"/>
      <c r="F66" s="191"/>
      <c r="G66" s="191"/>
      <c r="H66" s="191"/>
      <c r="I66" s="191"/>
      <c r="J66" s="314"/>
      <c r="K66" s="276" t="s">
        <v>168</v>
      </c>
      <c r="L66" s="227" t="s">
        <v>32</v>
      </c>
      <c r="M66" s="227"/>
      <c r="N66" s="277"/>
      <c r="O66" s="264">
        <v>1</v>
      </c>
      <c r="P66" s="264"/>
      <c r="Q66" s="191"/>
      <c r="R66" s="367" t="s">
        <v>177</v>
      </c>
      <c r="S66" s="368">
        <f>SUM(U49:U63)</f>
        <v>31</v>
      </c>
      <c r="T66" s="385"/>
      <c r="U66" s="385"/>
      <c r="V66" s="386"/>
      <c r="W66" s="371">
        <f>SUM(W49:W65)</f>
        <v>17</v>
      </c>
      <c r="X66" s="372">
        <f>SUM(X49:X65)</f>
        <v>17</v>
      </c>
      <c r="Y66" s="191"/>
      <c r="Z66" s="434"/>
      <c r="AA66" s="266" t="s">
        <v>18</v>
      </c>
      <c r="AB66" s="222" t="s">
        <v>209</v>
      </c>
      <c r="AC66" s="222">
        <v>1</v>
      </c>
      <c r="AD66" s="223" t="s">
        <v>20</v>
      </c>
      <c r="AE66" s="400"/>
      <c r="AF66" s="401"/>
      <c r="AG66" s="249"/>
      <c r="AH66" s="398"/>
      <c r="AI66" s="266" t="s">
        <v>168</v>
      </c>
      <c r="AJ66" s="222" t="s">
        <v>239</v>
      </c>
      <c r="AK66" s="266"/>
      <c r="AL66" s="446"/>
      <c r="AM66" s="474">
        <v>1</v>
      </c>
      <c r="AN66" s="475"/>
    </row>
    <row r="67" ht="16.5" spans="1:40">
      <c r="A67" s="191"/>
      <c r="B67" s="191"/>
      <c r="C67" s="191"/>
      <c r="D67" s="191"/>
      <c r="E67" s="191"/>
      <c r="F67" s="191"/>
      <c r="G67" s="191"/>
      <c r="H67" s="191"/>
      <c r="I67" s="191"/>
      <c r="J67" s="280" t="s">
        <v>40</v>
      </c>
      <c r="K67" s="281" t="s">
        <v>21</v>
      </c>
      <c r="L67" s="230" t="s">
        <v>110</v>
      </c>
      <c r="M67" s="230">
        <v>1</v>
      </c>
      <c r="N67" s="282" t="s">
        <v>23</v>
      </c>
      <c r="O67" s="264"/>
      <c r="P67" s="264"/>
      <c r="Q67" s="191"/>
      <c r="R67" s="191"/>
      <c r="S67" s="191"/>
      <c r="T67" s="191"/>
      <c r="U67" s="191"/>
      <c r="V67" s="191"/>
      <c r="W67" s="191"/>
      <c r="X67" s="191"/>
      <c r="Y67" s="191"/>
      <c r="Z67" s="204" t="s">
        <v>16</v>
      </c>
      <c r="AA67" s="270" t="s">
        <v>18</v>
      </c>
      <c r="AB67" s="205" t="s">
        <v>19</v>
      </c>
      <c r="AC67" s="205">
        <v>5</v>
      </c>
      <c r="AD67" s="206" t="s">
        <v>23</v>
      </c>
      <c r="AE67" s="403">
        <v>1</v>
      </c>
      <c r="AF67" s="404">
        <v>1</v>
      </c>
      <c r="AG67" s="249"/>
      <c r="AH67" s="204" t="s">
        <v>16</v>
      </c>
      <c r="AI67" s="270" t="s">
        <v>18</v>
      </c>
      <c r="AJ67" s="205" t="s">
        <v>19</v>
      </c>
      <c r="AK67" s="205">
        <v>6</v>
      </c>
      <c r="AL67" s="449" t="s">
        <v>20</v>
      </c>
      <c r="AM67" s="476">
        <v>1</v>
      </c>
      <c r="AN67" s="477">
        <v>1</v>
      </c>
    </row>
    <row r="68" ht="17.25" spans="1:40">
      <c r="A68" s="213"/>
      <c r="B68" s="213"/>
      <c r="C68" s="213"/>
      <c r="D68" s="213"/>
      <c r="E68" s="213"/>
      <c r="F68" s="213"/>
      <c r="G68" s="213"/>
      <c r="H68" s="213"/>
      <c r="I68" s="213"/>
      <c r="J68" s="283" t="s">
        <v>112</v>
      </c>
      <c r="K68" s="284" t="s">
        <v>18</v>
      </c>
      <c r="L68" s="233" t="s">
        <v>130</v>
      </c>
      <c r="M68" s="233">
        <v>1</v>
      </c>
      <c r="N68" s="285" t="s">
        <v>23</v>
      </c>
      <c r="O68" s="264">
        <v>1</v>
      </c>
      <c r="P68" s="264">
        <v>2</v>
      </c>
      <c r="Q68" s="213"/>
      <c r="S68" s="213"/>
      <c r="T68" s="213"/>
      <c r="U68" s="213"/>
      <c r="V68" s="213"/>
      <c r="W68" s="213"/>
      <c r="X68" s="213"/>
      <c r="Y68" s="191"/>
      <c r="Z68" s="224"/>
      <c r="AA68" s="270" t="s">
        <v>18</v>
      </c>
      <c r="AB68" s="205" t="s">
        <v>113</v>
      </c>
      <c r="AC68" s="205">
        <v>2</v>
      </c>
      <c r="AD68" s="206" t="s">
        <v>23</v>
      </c>
      <c r="AE68" s="403"/>
      <c r="AF68" s="404"/>
      <c r="AG68" s="249"/>
      <c r="AH68" s="224"/>
      <c r="AI68" s="270" t="s">
        <v>18</v>
      </c>
      <c r="AJ68" s="205" t="s">
        <v>113</v>
      </c>
      <c r="AK68" s="205">
        <v>3</v>
      </c>
      <c r="AL68" s="449" t="s">
        <v>23</v>
      </c>
      <c r="AM68" s="476">
        <v>2</v>
      </c>
      <c r="AN68" s="477">
        <v>2</v>
      </c>
    </row>
    <row r="69" spans="1:40">
      <c r="A69" s="213"/>
      <c r="B69" s="213"/>
      <c r="C69" s="213"/>
      <c r="D69" s="213"/>
      <c r="E69" s="213"/>
      <c r="F69" s="213"/>
      <c r="G69" s="213"/>
      <c r="H69" s="213"/>
      <c r="I69" s="213"/>
      <c r="J69" s="289" t="s">
        <v>118</v>
      </c>
      <c r="K69" s="290" t="s">
        <v>293</v>
      </c>
      <c r="L69" s="291" t="s">
        <v>200</v>
      </c>
      <c r="M69" s="291"/>
      <c r="N69" s="292"/>
      <c r="O69" s="264"/>
      <c r="P69" s="264">
        <v>1</v>
      </c>
      <c r="Q69" s="213"/>
      <c r="R69" s="547" t="s">
        <v>178</v>
      </c>
      <c r="S69" s="548"/>
      <c r="T69" s="549"/>
      <c r="U69" s="549"/>
      <c r="V69" s="550"/>
      <c r="W69" s="551" t="s">
        <v>311</v>
      </c>
      <c r="X69" s="256"/>
      <c r="Y69" s="191"/>
      <c r="Z69" s="224"/>
      <c r="AA69" s="270" t="s">
        <v>18</v>
      </c>
      <c r="AB69" s="205" t="s">
        <v>24</v>
      </c>
      <c r="AC69" s="205">
        <v>2</v>
      </c>
      <c r="AD69" s="206" t="s">
        <v>23</v>
      </c>
      <c r="AE69" s="403"/>
      <c r="AF69" s="404"/>
      <c r="AG69" s="249"/>
      <c r="AH69" s="204"/>
      <c r="AI69" s="270" t="s">
        <v>168</v>
      </c>
      <c r="AJ69" s="205" t="s">
        <v>243</v>
      </c>
      <c r="AK69" s="205"/>
      <c r="AL69" s="449" t="s">
        <v>20</v>
      </c>
      <c r="AM69" s="476">
        <v>1</v>
      </c>
      <c r="AN69" s="477">
        <v>1</v>
      </c>
    </row>
    <row r="70" ht="17.25" spans="1:40">
      <c r="A70" s="213"/>
      <c r="B70" s="213"/>
      <c r="C70" s="213"/>
      <c r="D70" s="213"/>
      <c r="E70" s="213"/>
      <c r="F70" s="213"/>
      <c r="G70" s="213"/>
      <c r="H70" s="213"/>
      <c r="I70" s="213"/>
      <c r="J70" s="310" t="s">
        <v>49</v>
      </c>
      <c r="K70" s="294" t="s">
        <v>18</v>
      </c>
      <c r="L70" s="240" t="s">
        <v>119</v>
      </c>
      <c r="M70" s="240">
        <v>2</v>
      </c>
      <c r="N70" s="295" t="s">
        <v>20</v>
      </c>
      <c r="O70" s="264">
        <v>3</v>
      </c>
      <c r="P70" s="264"/>
      <c r="Q70" s="213"/>
      <c r="R70" s="552"/>
      <c r="S70" s="316"/>
      <c r="T70" s="200" t="s">
        <v>8</v>
      </c>
      <c r="U70" s="200" t="s">
        <v>9</v>
      </c>
      <c r="V70" s="553" t="s">
        <v>10</v>
      </c>
      <c r="W70" s="554" t="s">
        <v>12</v>
      </c>
      <c r="X70" s="318" t="s">
        <v>13</v>
      </c>
      <c r="Y70" s="213"/>
      <c r="Z70" s="435" t="s">
        <v>34</v>
      </c>
      <c r="AA70" s="273" t="s">
        <v>168</v>
      </c>
      <c r="AB70" s="216" t="s">
        <v>217</v>
      </c>
      <c r="AC70" s="216"/>
      <c r="AD70" s="218" t="s">
        <v>23</v>
      </c>
      <c r="AE70" s="406"/>
      <c r="AF70" s="436">
        <v>1</v>
      </c>
      <c r="AG70" s="249"/>
      <c r="AH70" s="224"/>
      <c r="AI70" s="270" t="s">
        <v>18</v>
      </c>
      <c r="AJ70" s="205" t="s">
        <v>24</v>
      </c>
      <c r="AK70" s="205">
        <v>2</v>
      </c>
      <c r="AL70" s="449" t="s">
        <v>20</v>
      </c>
      <c r="AM70" s="476"/>
      <c r="AN70" s="477"/>
    </row>
    <row r="71" ht="17.25" spans="1:40">
      <c r="A71" s="213"/>
      <c r="B71" s="213"/>
      <c r="C71" s="213"/>
      <c r="D71" s="213"/>
      <c r="E71" s="213"/>
      <c r="F71" s="213"/>
      <c r="G71" s="213"/>
      <c r="H71" s="213"/>
      <c r="I71" s="213"/>
      <c r="J71" s="302" t="s">
        <v>125</v>
      </c>
      <c r="K71" s="303"/>
      <c r="L71" s="303"/>
      <c r="M71" s="303">
        <f>SUM(M58:M70)</f>
        <v>20</v>
      </c>
      <c r="N71" s="303">
        <f>SUM(N58:N68)</f>
        <v>0</v>
      </c>
      <c r="O71" s="303">
        <f>SUM(O58:O70)</f>
        <v>38</v>
      </c>
      <c r="P71" s="303">
        <f>SUM(P58:P70)</f>
        <v>37</v>
      </c>
      <c r="Q71" s="213"/>
      <c r="R71" s="555" t="s">
        <v>25</v>
      </c>
      <c r="S71" s="374" t="s">
        <v>168</v>
      </c>
      <c r="T71" s="375" t="s">
        <v>181</v>
      </c>
      <c r="U71" s="375">
        <v>2</v>
      </c>
      <c r="V71" s="556" t="s">
        <v>20</v>
      </c>
      <c r="W71" s="557">
        <v>2</v>
      </c>
      <c r="X71" s="324"/>
      <c r="Y71" s="213"/>
      <c r="Z71" s="596"/>
      <c r="AA71" s="273" t="s">
        <v>168</v>
      </c>
      <c r="AB71" s="216" t="s">
        <v>142</v>
      </c>
      <c r="AC71" s="216"/>
      <c r="AD71" s="218" t="s">
        <v>23</v>
      </c>
      <c r="AE71" s="406">
        <v>1</v>
      </c>
      <c r="AF71" s="436">
        <v>1</v>
      </c>
      <c r="AG71" s="249"/>
      <c r="AH71" s="478" t="s">
        <v>34</v>
      </c>
      <c r="AI71" s="479" t="s">
        <v>271</v>
      </c>
      <c r="AJ71" s="479" t="s">
        <v>138</v>
      </c>
      <c r="AK71" s="479"/>
      <c r="AL71" s="480" t="s">
        <v>20</v>
      </c>
      <c r="AM71" s="481">
        <v>1</v>
      </c>
      <c r="AN71" s="482">
        <v>1</v>
      </c>
    </row>
    <row r="72" spans="1:40">
      <c r="A72" s="213"/>
      <c r="B72" s="213"/>
      <c r="C72" s="213"/>
      <c r="D72" s="213"/>
      <c r="E72" s="213"/>
      <c r="F72" s="213"/>
      <c r="G72" s="213"/>
      <c r="H72" s="213"/>
      <c r="I72" s="213"/>
      <c r="J72" s="250" t="s">
        <v>160</v>
      </c>
      <c r="K72" s="251"/>
      <c r="L72" s="253"/>
      <c r="M72" s="253"/>
      <c r="N72" s="254"/>
      <c r="O72" s="255" t="s">
        <v>312</v>
      </c>
      <c r="P72" s="256"/>
      <c r="Q72" s="213"/>
      <c r="R72" s="558"/>
      <c r="S72" s="374" t="s">
        <v>168</v>
      </c>
      <c r="T72" s="375" t="s">
        <v>183</v>
      </c>
      <c r="U72" s="375"/>
      <c r="V72" s="556" t="s">
        <v>20</v>
      </c>
      <c r="W72" s="557">
        <v>1</v>
      </c>
      <c r="X72" s="324">
        <v>1</v>
      </c>
      <c r="Y72" s="213"/>
      <c r="Z72" s="596"/>
      <c r="AA72" s="273" t="s">
        <v>168</v>
      </c>
      <c r="AB72" s="216" t="s">
        <v>36</v>
      </c>
      <c r="AC72" s="216"/>
      <c r="AD72" s="218" t="s">
        <v>23</v>
      </c>
      <c r="AE72" s="406">
        <v>1</v>
      </c>
      <c r="AF72" s="436">
        <v>1</v>
      </c>
      <c r="AG72" s="249"/>
      <c r="AH72" s="599"/>
      <c r="AI72" s="479" t="s">
        <v>271</v>
      </c>
      <c r="AJ72" s="479" t="s">
        <v>241</v>
      </c>
      <c r="AK72" s="479"/>
      <c r="AL72" s="480" t="s">
        <v>20</v>
      </c>
      <c r="AM72" s="481">
        <v>1</v>
      </c>
      <c r="AN72" s="482"/>
    </row>
    <row r="73" ht="16.5" spans="1:40">
      <c r="A73" s="191"/>
      <c r="B73" s="191"/>
      <c r="C73" s="191"/>
      <c r="D73" s="191"/>
      <c r="E73" s="191"/>
      <c r="F73" s="191"/>
      <c r="G73" s="191"/>
      <c r="H73" s="191"/>
      <c r="I73" s="191"/>
      <c r="J73" s="257" t="s">
        <v>4</v>
      </c>
      <c r="K73" s="199" t="s">
        <v>78</v>
      </c>
      <c r="L73" s="200" t="s">
        <v>8</v>
      </c>
      <c r="M73" s="200" t="s">
        <v>9</v>
      </c>
      <c r="N73" s="258" t="s">
        <v>10</v>
      </c>
      <c r="O73" s="259" t="s">
        <v>12</v>
      </c>
      <c r="P73" s="260" t="s">
        <v>13</v>
      </c>
      <c r="Q73" s="191"/>
      <c r="R73" s="559"/>
      <c r="S73" s="374" t="s">
        <v>168</v>
      </c>
      <c r="T73" s="375" t="s">
        <v>184</v>
      </c>
      <c r="U73" s="375"/>
      <c r="V73" s="556" t="s">
        <v>20</v>
      </c>
      <c r="W73" s="560">
        <v>1</v>
      </c>
      <c r="X73" s="342">
        <v>1</v>
      </c>
      <c r="Y73" s="213"/>
      <c r="Z73" s="422"/>
      <c r="AA73" s="273" t="s">
        <v>18</v>
      </c>
      <c r="AB73" s="216" t="s">
        <v>213</v>
      </c>
      <c r="AC73" s="216">
        <v>3</v>
      </c>
      <c r="AD73" s="218" t="s">
        <v>23</v>
      </c>
      <c r="AE73" s="406">
        <v>2</v>
      </c>
      <c r="AF73" s="407"/>
      <c r="AG73" s="249"/>
      <c r="AH73" s="483"/>
      <c r="AI73" s="479" t="s">
        <v>271</v>
      </c>
      <c r="AJ73" s="479" t="s">
        <v>242</v>
      </c>
      <c r="AK73" s="479"/>
      <c r="AL73" s="480" t="s">
        <v>20</v>
      </c>
      <c r="AM73" s="481">
        <v>1</v>
      </c>
      <c r="AN73" s="482">
        <v>1</v>
      </c>
    </row>
    <row r="74" ht="16.5" spans="1:40">
      <c r="A74" s="191"/>
      <c r="B74" s="191"/>
      <c r="C74" s="191"/>
      <c r="D74" s="191"/>
      <c r="E74" s="191"/>
      <c r="F74" s="191"/>
      <c r="G74" s="191"/>
      <c r="H74" s="191"/>
      <c r="I74" s="191"/>
      <c r="J74" s="306" t="s">
        <v>25</v>
      </c>
      <c r="K74" s="262" t="s">
        <v>18</v>
      </c>
      <c r="L74" s="210" t="s">
        <v>85</v>
      </c>
      <c r="M74" s="210">
        <v>10</v>
      </c>
      <c r="N74" s="263" t="s">
        <v>30</v>
      </c>
      <c r="O74" s="264">
        <v>18</v>
      </c>
      <c r="P74" s="264">
        <v>20</v>
      </c>
      <c r="Q74" s="191"/>
      <c r="R74" s="561" t="s">
        <v>43</v>
      </c>
      <c r="S74" s="326" t="s">
        <v>293</v>
      </c>
      <c r="T74" s="327" t="s">
        <v>186</v>
      </c>
      <c r="U74" s="327">
        <v>2</v>
      </c>
      <c r="V74" s="562" t="s">
        <v>20</v>
      </c>
      <c r="W74" s="560">
        <v>3</v>
      </c>
      <c r="X74" s="342">
        <v>3</v>
      </c>
      <c r="Y74" s="213"/>
      <c r="Z74" s="434"/>
      <c r="AA74" s="273"/>
      <c r="AB74" s="216"/>
      <c r="AC74" s="216"/>
      <c r="AD74" s="218"/>
      <c r="AE74" s="406"/>
      <c r="AF74" s="407"/>
      <c r="AG74" s="249"/>
      <c r="AH74" s="226" t="s">
        <v>101</v>
      </c>
      <c r="AI74" s="276" t="s">
        <v>41</v>
      </c>
      <c r="AJ74" s="227" t="s">
        <v>61</v>
      </c>
      <c r="AK74" s="276">
        <v>2</v>
      </c>
      <c r="AL74" s="451" t="s">
        <v>20</v>
      </c>
      <c r="AM74" s="484"/>
      <c r="AN74" s="485"/>
    </row>
    <row r="75" ht="16.5" spans="1:40">
      <c r="A75" s="191"/>
      <c r="B75" s="191"/>
      <c r="C75" s="191"/>
      <c r="D75" s="191"/>
      <c r="E75" s="191"/>
      <c r="F75" s="191"/>
      <c r="G75" s="191"/>
      <c r="H75" s="191"/>
      <c r="I75" s="191"/>
      <c r="J75" s="313"/>
      <c r="K75" s="262" t="s">
        <v>168</v>
      </c>
      <c r="L75" s="210" t="s">
        <v>130</v>
      </c>
      <c r="M75" s="210"/>
      <c r="N75" s="263" t="s">
        <v>30</v>
      </c>
      <c r="O75" s="264">
        <v>7</v>
      </c>
      <c r="P75" s="264">
        <v>7</v>
      </c>
      <c r="Q75" s="191"/>
      <c r="R75" s="563" t="s">
        <v>16</v>
      </c>
      <c r="S75" s="330" t="s">
        <v>18</v>
      </c>
      <c r="T75" s="331" t="s">
        <v>19</v>
      </c>
      <c r="U75" s="331">
        <v>3</v>
      </c>
      <c r="V75" s="564" t="s">
        <v>23</v>
      </c>
      <c r="W75" s="560">
        <v>3</v>
      </c>
      <c r="X75" s="342">
        <v>2</v>
      </c>
      <c r="Y75" s="191"/>
      <c r="Z75" s="409" t="s">
        <v>101</v>
      </c>
      <c r="AA75" s="276" t="s">
        <v>18</v>
      </c>
      <c r="AB75" s="227" t="s">
        <v>32</v>
      </c>
      <c r="AC75" s="227">
        <v>6</v>
      </c>
      <c r="AD75" s="228" t="s">
        <v>20</v>
      </c>
      <c r="AE75" s="410">
        <v>4</v>
      </c>
      <c r="AF75" s="411">
        <v>4</v>
      </c>
      <c r="AG75" s="249"/>
      <c r="AH75" s="226"/>
      <c r="AI75" s="276" t="s">
        <v>18</v>
      </c>
      <c r="AJ75" s="227" t="s">
        <v>61</v>
      </c>
      <c r="AK75" s="276">
        <v>4</v>
      </c>
      <c r="AL75" s="451" t="s">
        <v>20</v>
      </c>
      <c r="AM75" s="484">
        <v>6</v>
      </c>
      <c r="AN75" s="485">
        <v>5</v>
      </c>
    </row>
    <row r="76" ht="16.5" spans="1:40">
      <c r="A76" s="191"/>
      <c r="B76" s="191"/>
      <c r="C76" s="191"/>
      <c r="D76" s="191"/>
      <c r="E76" s="191"/>
      <c r="F76" s="191"/>
      <c r="G76" s="191"/>
      <c r="H76" s="191"/>
      <c r="I76" s="191"/>
      <c r="J76" s="313"/>
      <c r="K76" s="262" t="s">
        <v>293</v>
      </c>
      <c r="L76" s="210" t="s">
        <v>110</v>
      </c>
      <c r="M76" s="210"/>
      <c r="N76" s="263"/>
      <c r="O76" s="264"/>
      <c r="P76" s="264">
        <v>3</v>
      </c>
      <c r="Q76" s="191"/>
      <c r="R76" s="558"/>
      <c r="S76" s="330" t="s">
        <v>18</v>
      </c>
      <c r="T76" s="331" t="s">
        <v>113</v>
      </c>
      <c r="U76" s="331">
        <v>1</v>
      </c>
      <c r="V76" s="564" t="s">
        <v>23</v>
      </c>
      <c r="W76" s="560">
        <v>1</v>
      </c>
      <c r="X76" s="342">
        <v>1</v>
      </c>
      <c r="Y76" s="191"/>
      <c r="Z76" s="422"/>
      <c r="AA76" s="276" t="s">
        <v>18</v>
      </c>
      <c r="AB76" s="227" t="s">
        <v>61</v>
      </c>
      <c r="AC76" s="227">
        <v>5</v>
      </c>
      <c r="AD76" s="228" t="s">
        <v>20</v>
      </c>
      <c r="AE76" s="410">
        <v>3</v>
      </c>
      <c r="AF76" s="411">
        <v>3</v>
      </c>
      <c r="AG76" s="249"/>
      <c r="AH76" s="224"/>
      <c r="AI76" s="276" t="s">
        <v>21</v>
      </c>
      <c r="AJ76" s="227" t="s">
        <v>32</v>
      </c>
      <c r="AK76" s="276">
        <v>1</v>
      </c>
      <c r="AL76" s="451" t="s">
        <v>20</v>
      </c>
      <c r="AM76" s="484">
        <v>2</v>
      </c>
      <c r="AN76" s="485">
        <v>2</v>
      </c>
    </row>
    <row r="77" ht="16.5" spans="1:40">
      <c r="A77" s="191"/>
      <c r="B77" s="191"/>
      <c r="C77" s="191"/>
      <c r="D77" s="191"/>
      <c r="E77" s="191"/>
      <c r="F77" s="191"/>
      <c r="G77" s="191"/>
      <c r="H77" s="191"/>
      <c r="I77" s="191"/>
      <c r="J77" s="314"/>
      <c r="K77" s="262" t="s">
        <v>293</v>
      </c>
      <c r="L77" s="210" t="s">
        <v>132</v>
      </c>
      <c r="M77" s="210"/>
      <c r="N77" s="263"/>
      <c r="O77" s="264"/>
      <c r="P77" s="264">
        <v>1</v>
      </c>
      <c r="Q77" s="191"/>
      <c r="R77" s="558"/>
      <c r="S77" s="330" t="s">
        <v>168</v>
      </c>
      <c r="T77" s="331" t="s">
        <v>24</v>
      </c>
      <c r="U77" s="331"/>
      <c r="V77" s="564"/>
      <c r="W77" s="560">
        <v>1</v>
      </c>
      <c r="X77" s="342">
        <v>1</v>
      </c>
      <c r="Y77" s="191"/>
      <c r="Z77" s="434"/>
      <c r="AA77" s="276" t="s">
        <v>18</v>
      </c>
      <c r="AB77" s="227" t="s">
        <v>218</v>
      </c>
      <c r="AC77" s="227">
        <v>1</v>
      </c>
      <c r="AD77" s="228" t="s">
        <v>20</v>
      </c>
      <c r="AE77" s="410"/>
      <c r="AF77" s="411"/>
      <c r="AG77" s="249"/>
      <c r="AH77" s="226"/>
      <c r="AI77" s="276" t="s">
        <v>21</v>
      </c>
      <c r="AJ77" s="227" t="s">
        <v>146</v>
      </c>
      <c r="AK77" s="276">
        <v>1</v>
      </c>
      <c r="AL77" s="451" t="s">
        <v>23</v>
      </c>
      <c r="AM77" s="484"/>
      <c r="AN77" s="485"/>
    </row>
    <row r="78" ht="16.5" spans="1:40">
      <c r="A78" s="191"/>
      <c r="B78" s="191"/>
      <c r="C78" s="191"/>
      <c r="D78" s="191"/>
      <c r="E78" s="191"/>
      <c r="F78" s="191"/>
      <c r="G78" s="191"/>
      <c r="H78" s="191"/>
      <c r="I78" s="191"/>
      <c r="J78" s="311" t="s">
        <v>16</v>
      </c>
      <c r="K78" s="270" t="s">
        <v>18</v>
      </c>
      <c r="L78" s="205" t="s">
        <v>19</v>
      </c>
      <c r="M78" s="205">
        <v>2</v>
      </c>
      <c r="N78" s="271" t="s">
        <v>23</v>
      </c>
      <c r="O78" s="264">
        <v>1</v>
      </c>
      <c r="P78" s="264">
        <v>1</v>
      </c>
      <c r="Q78" s="191"/>
      <c r="R78" s="565" t="s">
        <v>34</v>
      </c>
      <c r="S78" s="335" t="s">
        <v>18</v>
      </c>
      <c r="T78" s="220" t="s">
        <v>36</v>
      </c>
      <c r="U78" s="220">
        <v>2</v>
      </c>
      <c r="V78" s="566" t="s">
        <v>20</v>
      </c>
      <c r="W78" s="560">
        <v>2</v>
      </c>
      <c r="X78" s="342">
        <v>2</v>
      </c>
      <c r="Y78" s="191"/>
      <c r="Z78" s="412" t="s">
        <v>40</v>
      </c>
      <c r="AA78" s="281" t="s">
        <v>18</v>
      </c>
      <c r="AB78" s="230" t="s">
        <v>110</v>
      </c>
      <c r="AC78" s="230">
        <v>2</v>
      </c>
      <c r="AD78" s="231" t="s">
        <v>20</v>
      </c>
      <c r="AE78" s="413">
        <v>2</v>
      </c>
      <c r="AF78" s="414">
        <v>2</v>
      </c>
      <c r="AG78" s="249"/>
      <c r="AH78" s="229" t="s">
        <v>40</v>
      </c>
      <c r="AI78" s="281" t="s">
        <v>18</v>
      </c>
      <c r="AJ78" s="230" t="s">
        <v>194</v>
      </c>
      <c r="AK78" s="281">
        <v>1</v>
      </c>
      <c r="AL78" s="453" t="s">
        <v>23</v>
      </c>
      <c r="AM78" s="486"/>
      <c r="AN78" s="487"/>
    </row>
    <row r="79" ht="16.5" spans="1:40">
      <c r="A79" s="191"/>
      <c r="B79" s="191"/>
      <c r="C79" s="191"/>
      <c r="D79" s="191"/>
      <c r="E79" s="191"/>
      <c r="F79" s="191"/>
      <c r="G79" s="191"/>
      <c r="H79" s="191"/>
      <c r="I79" s="191"/>
      <c r="J79" s="313"/>
      <c r="K79" s="270" t="s">
        <v>168</v>
      </c>
      <c r="L79" s="205" t="s">
        <v>113</v>
      </c>
      <c r="M79" s="205"/>
      <c r="N79" s="271"/>
      <c r="O79" s="264">
        <v>1</v>
      </c>
      <c r="P79" s="264"/>
      <c r="Q79" s="191"/>
      <c r="R79" s="567" t="s">
        <v>101</v>
      </c>
      <c r="S79" s="338" t="s">
        <v>18</v>
      </c>
      <c r="T79" s="339" t="s">
        <v>32</v>
      </c>
      <c r="U79" s="339">
        <v>4</v>
      </c>
      <c r="V79" s="568" t="s">
        <v>20</v>
      </c>
      <c r="W79" s="560">
        <v>3</v>
      </c>
      <c r="X79" s="342">
        <v>4</v>
      </c>
      <c r="Y79" s="191"/>
      <c r="Z79" s="434"/>
      <c r="AA79" s="281" t="s">
        <v>293</v>
      </c>
      <c r="AB79" s="230" t="s">
        <v>204</v>
      </c>
      <c r="AC79" s="230">
        <v>1</v>
      </c>
      <c r="AD79" s="231" t="s">
        <v>23</v>
      </c>
      <c r="AE79" s="413">
        <v>2</v>
      </c>
      <c r="AF79" s="414">
        <v>1</v>
      </c>
      <c r="AG79" s="249"/>
      <c r="AH79" s="224"/>
      <c r="AI79" s="281" t="s">
        <v>18</v>
      </c>
      <c r="AJ79" s="230" t="s">
        <v>110</v>
      </c>
      <c r="AK79" s="281">
        <v>1</v>
      </c>
      <c r="AL79" s="453" t="s">
        <v>20</v>
      </c>
      <c r="AM79" s="486">
        <v>2</v>
      </c>
      <c r="AN79" s="487">
        <v>2</v>
      </c>
    </row>
    <row r="80" ht="16.5" spans="1:40">
      <c r="A80" s="191"/>
      <c r="B80" s="191"/>
      <c r="C80" s="191"/>
      <c r="D80" s="191"/>
      <c r="E80" s="191"/>
      <c r="F80" s="191"/>
      <c r="G80" s="191"/>
      <c r="H80" s="191"/>
      <c r="I80" s="191"/>
      <c r="J80" s="314"/>
      <c r="K80" s="270" t="s">
        <v>168</v>
      </c>
      <c r="L80" s="205" t="s">
        <v>308</v>
      </c>
      <c r="M80" s="205"/>
      <c r="N80" s="271"/>
      <c r="O80" s="264">
        <v>1</v>
      </c>
      <c r="P80" s="264"/>
      <c r="Q80" s="191"/>
      <c r="R80" s="558"/>
      <c r="S80" s="338" t="s">
        <v>168</v>
      </c>
      <c r="T80" s="339" t="s">
        <v>190</v>
      </c>
      <c r="U80" s="339"/>
      <c r="V80" s="568" t="s">
        <v>23</v>
      </c>
      <c r="W80" s="560">
        <v>2</v>
      </c>
      <c r="X80" s="342">
        <v>1</v>
      </c>
      <c r="Y80" s="191"/>
      <c r="Z80" s="415" t="s">
        <v>112</v>
      </c>
      <c r="AA80" s="284" t="s">
        <v>18</v>
      </c>
      <c r="AB80" s="233" t="s">
        <v>113</v>
      </c>
      <c r="AC80" s="233">
        <v>1</v>
      </c>
      <c r="AD80" s="234" t="s">
        <v>23</v>
      </c>
      <c r="AE80" s="416"/>
      <c r="AF80" s="417">
        <v>1</v>
      </c>
      <c r="AG80" s="249"/>
      <c r="AH80" s="415" t="s">
        <v>112</v>
      </c>
      <c r="AI80" s="284" t="s">
        <v>18</v>
      </c>
      <c r="AJ80" s="233" t="s">
        <v>239</v>
      </c>
      <c r="AK80" s="284">
        <v>3</v>
      </c>
      <c r="AL80" s="455" t="s">
        <v>23</v>
      </c>
      <c r="AM80" s="488">
        <v>4</v>
      </c>
      <c r="AN80" s="489">
        <v>2</v>
      </c>
    </row>
    <row r="81" ht="16.5" spans="1:40">
      <c r="A81" s="191"/>
      <c r="B81" s="191"/>
      <c r="C81" s="191"/>
      <c r="D81" s="191"/>
      <c r="E81" s="191"/>
      <c r="F81" s="191"/>
      <c r="G81" s="191"/>
      <c r="H81" s="191"/>
      <c r="I81" s="191"/>
      <c r="J81" s="312" t="s">
        <v>101</v>
      </c>
      <c r="K81" s="276" t="s">
        <v>18</v>
      </c>
      <c r="L81" s="227" t="s">
        <v>61</v>
      </c>
      <c r="M81" s="227">
        <v>4</v>
      </c>
      <c r="N81" s="277" t="s">
        <v>20</v>
      </c>
      <c r="O81" s="264">
        <v>5</v>
      </c>
      <c r="P81" s="264">
        <v>2</v>
      </c>
      <c r="Q81" s="191"/>
      <c r="R81" s="558"/>
      <c r="S81" s="338" t="s">
        <v>18</v>
      </c>
      <c r="T81" s="339" t="s">
        <v>61</v>
      </c>
      <c r="U81" s="339">
        <v>8</v>
      </c>
      <c r="V81" s="568" t="s">
        <v>20</v>
      </c>
      <c r="W81" s="560">
        <v>5</v>
      </c>
      <c r="X81" s="342">
        <v>3</v>
      </c>
      <c r="Y81" s="191"/>
      <c r="Z81" s="236" t="s">
        <v>115</v>
      </c>
      <c r="AA81" s="287" t="s">
        <v>18</v>
      </c>
      <c r="AB81" s="237" t="s">
        <v>222</v>
      </c>
      <c r="AC81" s="237">
        <v>1</v>
      </c>
      <c r="AD81" s="238" t="s">
        <v>23</v>
      </c>
      <c r="AE81" s="418"/>
      <c r="AF81" s="419"/>
      <c r="AG81" s="249"/>
      <c r="AH81" s="236" t="s">
        <v>115</v>
      </c>
      <c r="AI81" s="287" t="s">
        <v>168</v>
      </c>
      <c r="AJ81" s="237" t="s">
        <v>200</v>
      </c>
      <c r="AK81" s="287"/>
      <c r="AL81" s="600"/>
      <c r="AM81" s="601">
        <v>1</v>
      </c>
      <c r="AN81" s="602"/>
    </row>
    <row r="82" ht="16.5" spans="1:40">
      <c r="A82" s="191"/>
      <c r="B82" s="191"/>
      <c r="C82" s="191"/>
      <c r="D82" s="191"/>
      <c r="E82" s="191"/>
      <c r="F82" s="191"/>
      <c r="G82" s="191"/>
      <c r="H82" s="191"/>
      <c r="I82" s="191"/>
      <c r="J82" s="314"/>
      <c r="K82" s="276" t="s">
        <v>168</v>
      </c>
      <c r="L82" s="227" t="s">
        <v>32</v>
      </c>
      <c r="M82" s="227"/>
      <c r="N82" s="277"/>
      <c r="O82" s="264">
        <v>1</v>
      </c>
      <c r="P82" s="264"/>
      <c r="Q82" s="191"/>
      <c r="R82" s="559"/>
      <c r="S82" s="338" t="s">
        <v>168</v>
      </c>
      <c r="T82" s="339" t="s">
        <v>191</v>
      </c>
      <c r="U82" s="339"/>
      <c r="V82" s="568" t="s">
        <v>20</v>
      </c>
      <c r="W82" s="560">
        <v>1</v>
      </c>
      <c r="X82" s="342">
        <v>1</v>
      </c>
      <c r="Y82" s="191"/>
      <c r="Z82" s="408"/>
      <c r="AA82" s="287" t="s">
        <v>18</v>
      </c>
      <c r="AB82" s="237" t="s">
        <v>224</v>
      </c>
      <c r="AC82" s="237">
        <v>1</v>
      </c>
      <c r="AD82" s="238" t="s">
        <v>20</v>
      </c>
      <c r="AE82" s="418"/>
      <c r="AF82" s="419">
        <v>1</v>
      </c>
      <c r="AG82" s="249"/>
      <c r="AH82" s="457" t="s">
        <v>49</v>
      </c>
      <c r="AI82" s="294" t="s">
        <v>21</v>
      </c>
      <c r="AJ82" s="240" t="s">
        <v>298</v>
      </c>
      <c r="AK82" s="294">
        <v>1</v>
      </c>
      <c r="AL82" s="458" t="s">
        <v>23</v>
      </c>
      <c r="AM82" s="490"/>
      <c r="AN82" s="491"/>
    </row>
    <row r="83" ht="16.5" spans="1:40">
      <c r="A83" s="191"/>
      <c r="B83" s="191"/>
      <c r="C83" s="191"/>
      <c r="D83" s="191"/>
      <c r="E83" s="191"/>
      <c r="F83" s="191"/>
      <c r="G83" s="191"/>
      <c r="H83" s="191"/>
      <c r="I83" s="191"/>
      <c r="J83" s="280" t="s">
        <v>40</v>
      </c>
      <c r="K83" s="281" t="s">
        <v>21</v>
      </c>
      <c r="L83" s="230" t="s">
        <v>110</v>
      </c>
      <c r="M83" s="230">
        <v>1</v>
      </c>
      <c r="N83" s="282" t="s">
        <v>23</v>
      </c>
      <c r="O83" s="264"/>
      <c r="P83" s="264"/>
      <c r="Q83" s="191"/>
      <c r="R83" s="569" t="s">
        <v>40</v>
      </c>
      <c r="S83" s="345" t="s">
        <v>18</v>
      </c>
      <c r="T83" s="346" t="s">
        <v>192</v>
      </c>
      <c r="U83" s="346">
        <v>1</v>
      </c>
      <c r="V83" s="570" t="s">
        <v>20</v>
      </c>
      <c r="W83" s="560">
        <v>1</v>
      </c>
      <c r="X83" s="342">
        <v>1</v>
      </c>
      <c r="Y83" s="191"/>
      <c r="Z83" s="239" t="s">
        <v>49</v>
      </c>
      <c r="AA83" s="294" t="s">
        <v>293</v>
      </c>
      <c r="AB83" s="240" t="s">
        <v>119</v>
      </c>
      <c r="AC83" s="240">
        <v>1</v>
      </c>
      <c r="AD83" s="241" t="s">
        <v>23</v>
      </c>
      <c r="AE83" s="420">
        <v>1</v>
      </c>
      <c r="AF83" s="421">
        <v>1</v>
      </c>
      <c r="AG83" s="249"/>
      <c r="AH83" s="224"/>
      <c r="AI83" s="294" t="s">
        <v>18</v>
      </c>
      <c r="AJ83" s="240" t="s">
        <v>119</v>
      </c>
      <c r="AK83" s="294">
        <v>1</v>
      </c>
      <c r="AL83" s="458" t="s">
        <v>23</v>
      </c>
      <c r="AM83" s="490"/>
      <c r="AN83" s="491"/>
    </row>
    <row r="84" ht="16.5" spans="1:40">
      <c r="A84" s="191"/>
      <c r="B84" s="191"/>
      <c r="C84" s="191"/>
      <c r="D84" s="191"/>
      <c r="E84" s="191"/>
      <c r="F84" s="191"/>
      <c r="G84" s="191"/>
      <c r="H84" s="191"/>
      <c r="I84" s="191"/>
      <c r="J84" s="283" t="s">
        <v>112</v>
      </c>
      <c r="K84" s="284" t="s">
        <v>18</v>
      </c>
      <c r="L84" s="233" t="s">
        <v>130</v>
      </c>
      <c r="M84" s="233">
        <v>1</v>
      </c>
      <c r="N84" s="285" t="s">
        <v>23</v>
      </c>
      <c r="O84" s="264">
        <v>1</v>
      </c>
      <c r="P84" s="264">
        <v>2</v>
      </c>
      <c r="Q84" s="191"/>
      <c r="R84" s="558"/>
      <c r="S84" s="345" t="s">
        <v>293</v>
      </c>
      <c r="T84" s="346" t="s">
        <v>194</v>
      </c>
      <c r="U84" s="346"/>
      <c r="V84" s="570" t="s">
        <v>23</v>
      </c>
      <c r="W84" s="560"/>
      <c r="X84" s="342">
        <v>1</v>
      </c>
      <c r="Y84" s="191"/>
      <c r="Z84" s="212"/>
      <c r="AA84" s="294" t="s">
        <v>18</v>
      </c>
      <c r="AB84" s="240" t="s">
        <v>226</v>
      </c>
      <c r="AC84" s="240">
        <v>1</v>
      </c>
      <c r="AD84" s="241" t="s">
        <v>23</v>
      </c>
      <c r="AE84" s="420">
        <v>1</v>
      </c>
      <c r="AF84" s="421"/>
      <c r="AG84" s="249"/>
      <c r="AH84" s="224"/>
      <c r="AI84" s="294" t="s">
        <v>18</v>
      </c>
      <c r="AJ84" s="240" t="s">
        <v>301</v>
      </c>
      <c r="AK84" s="294">
        <v>1</v>
      </c>
      <c r="AL84" s="458" t="s">
        <v>23</v>
      </c>
      <c r="AM84" s="490">
        <v>1</v>
      </c>
      <c r="AN84" s="491">
        <v>1</v>
      </c>
    </row>
    <row r="85" ht="16.5" spans="1:40">
      <c r="A85" s="191"/>
      <c r="B85" s="191"/>
      <c r="C85" s="191"/>
      <c r="D85" s="191"/>
      <c r="E85" s="191"/>
      <c r="F85" s="191"/>
      <c r="G85" s="191"/>
      <c r="H85" s="191"/>
      <c r="I85" s="191"/>
      <c r="J85" s="289" t="s">
        <v>118</v>
      </c>
      <c r="K85" s="290" t="s">
        <v>293</v>
      </c>
      <c r="L85" s="291" t="s">
        <v>200</v>
      </c>
      <c r="M85" s="291"/>
      <c r="N85" s="292"/>
      <c r="O85" s="264"/>
      <c r="P85" s="264">
        <v>1</v>
      </c>
      <c r="Q85" s="191"/>
      <c r="R85" s="559"/>
      <c r="S85" s="345" t="s">
        <v>168</v>
      </c>
      <c r="T85" s="346" t="s">
        <v>105</v>
      </c>
      <c r="U85" s="346"/>
      <c r="V85" s="570" t="s">
        <v>23</v>
      </c>
      <c r="W85" s="560">
        <v>1</v>
      </c>
      <c r="X85" s="342">
        <v>1</v>
      </c>
      <c r="Y85" s="191"/>
      <c r="Z85" s="212"/>
      <c r="AA85" s="294" t="s">
        <v>18</v>
      </c>
      <c r="AB85" s="240" t="s">
        <v>157</v>
      </c>
      <c r="AC85" s="240">
        <v>1</v>
      </c>
      <c r="AD85" s="241" t="s">
        <v>23</v>
      </c>
      <c r="AE85" s="420"/>
      <c r="AF85" s="421"/>
      <c r="AG85" s="249"/>
      <c r="AH85" s="239"/>
      <c r="AI85" s="298" t="s">
        <v>18</v>
      </c>
      <c r="AJ85" s="242" t="s">
        <v>228</v>
      </c>
      <c r="AK85" s="298">
        <v>2</v>
      </c>
      <c r="AL85" s="461" t="s">
        <v>23</v>
      </c>
      <c r="AM85" s="490">
        <v>2</v>
      </c>
      <c r="AN85" s="491">
        <v>1</v>
      </c>
    </row>
    <row r="86" ht="17.25" spans="1:40">
      <c r="A86" s="235"/>
      <c r="B86" s="235"/>
      <c r="C86" s="235"/>
      <c r="D86" s="235"/>
      <c r="E86" s="235"/>
      <c r="F86" s="235"/>
      <c r="G86" s="235"/>
      <c r="H86" s="235"/>
      <c r="I86" s="235"/>
      <c r="J86" s="310" t="s">
        <v>49</v>
      </c>
      <c r="K86" s="294" t="s">
        <v>18</v>
      </c>
      <c r="L86" s="240" t="s">
        <v>119</v>
      </c>
      <c r="M86" s="240">
        <v>2</v>
      </c>
      <c r="N86" s="295" t="s">
        <v>20</v>
      </c>
      <c r="O86" s="264">
        <v>3</v>
      </c>
      <c r="P86" s="264"/>
      <c r="Q86" s="235"/>
      <c r="R86" s="571" t="s">
        <v>112</v>
      </c>
      <c r="S86" s="572" t="s">
        <v>168</v>
      </c>
      <c r="T86" s="573" t="s">
        <v>130</v>
      </c>
      <c r="U86" s="573">
        <v>2</v>
      </c>
      <c r="V86" s="574" t="s">
        <v>20</v>
      </c>
      <c r="W86" s="575">
        <v>1</v>
      </c>
      <c r="X86" s="342">
        <v>1</v>
      </c>
      <c r="Y86" s="191"/>
      <c r="Z86" s="212"/>
      <c r="AA86" s="294" t="s">
        <v>18</v>
      </c>
      <c r="AB86" s="240" t="s">
        <v>203</v>
      </c>
      <c r="AC86" s="240">
        <v>1</v>
      </c>
      <c r="AD86" s="241" t="s">
        <v>23</v>
      </c>
      <c r="AE86" s="420">
        <v>1</v>
      </c>
      <c r="AF86" s="421"/>
      <c r="AG86" s="249"/>
      <c r="AH86" s="460"/>
      <c r="AI86" s="298" t="s">
        <v>18</v>
      </c>
      <c r="AJ86" s="242" t="s">
        <v>157</v>
      </c>
      <c r="AK86" s="298">
        <v>1</v>
      </c>
      <c r="AL86" s="461" t="s">
        <v>23</v>
      </c>
      <c r="AM86" s="490"/>
      <c r="AN86" s="491"/>
    </row>
    <row r="87" ht="17.25" spans="1:40">
      <c r="A87" s="249"/>
      <c r="B87" s="249"/>
      <c r="C87" s="249"/>
      <c r="D87" s="249"/>
      <c r="E87" s="249"/>
      <c r="F87" s="249"/>
      <c r="G87" s="249"/>
      <c r="H87" s="249"/>
      <c r="I87" s="249"/>
      <c r="J87" s="302" t="s">
        <v>125</v>
      </c>
      <c r="K87" s="303"/>
      <c r="L87" s="303"/>
      <c r="M87" s="303">
        <f>SUM(M74:M86)</f>
        <v>20</v>
      </c>
      <c r="N87" s="303">
        <f>SUM(N74:N84)</f>
        <v>0</v>
      </c>
      <c r="O87" s="303">
        <f>SUM(O74:O86)</f>
        <v>38</v>
      </c>
      <c r="P87" s="303">
        <f>SUM(P74:P86)</f>
        <v>37</v>
      </c>
      <c r="Q87" s="249"/>
      <c r="R87" s="289" t="s">
        <v>118</v>
      </c>
      <c r="S87" s="296" t="s">
        <v>168</v>
      </c>
      <c r="T87" s="308" t="s">
        <v>200</v>
      </c>
      <c r="U87" s="308"/>
      <c r="V87" s="576" t="s">
        <v>20</v>
      </c>
      <c r="W87" s="577">
        <v>1</v>
      </c>
      <c r="X87" s="578"/>
      <c r="Y87" s="191"/>
      <c r="Z87" s="597"/>
      <c r="AA87" s="424" t="s">
        <v>293</v>
      </c>
      <c r="AB87" s="425" t="s">
        <v>228</v>
      </c>
      <c r="AC87" s="425">
        <v>1</v>
      </c>
      <c r="AD87" s="426" t="s">
        <v>23</v>
      </c>
      <c r="AE87" s="427"/>
      <c r="AF87" s="428">
        <v>1</v>
      </c>
      <c r="AG87" s="249"/>
      <c r="AH87" s="463" t="s">
        <v>177</v>
      </c>
      <c r="AI87" s="464">
        <f>SUM(AK60:AK86)-AK63-AK64-AK76-AK77-AK82</f>
        <v>41</v>
      </c>
      <c r="AJ87" s="465"/>
      <c r="AK87" s="465"/>
      <c r="AL87" s="492"/>
      <c r="AM87" s="493">
        <f>SUM(AM60:AM86)</f>
        <v>61</v>
      </c>
      <c r="AN87" s="494">
        <f>SUM(AN60:AN86)</f>
        <v>40</v>
      </c>
    </row>
    <row r="88" ht="18.75" spans="1:35">
      <c r="A88" s="186"/>
      <c r="B88" s="186"/>
      <c r="C88" s="186"/>
      <c r="D88" s="186"/>
      <c r="E88" s="186"/>
      <c r="F88" s="186"/>
      <c r="G88" s="186"/>
      <c r="H88" s="186"/>
      <c r="I88" s="186"/>
      <c r="J88" s="191"/>
      <c r="K88" s="191"/>
      <c r="L88" s="191"/>
      <c r="M88" s="191"/>
      <c r="N88" s="191"/>
      <c r="O88" s="191"/>
      <c r="P88" s="191"/>
      <c r="Q88" s="186"/>
      <c r="R88" s="579" t="s">
        <v>115</v>
      </c>
      <c r="S88" s="580"/>
      <c r="T88" s="581" t="s">
        <v>116</v>
      </c>
      <c r="U88" s="581"/>
      <c r="V88" s="582"/>
      <c r="W88" s="583"/>
      <c r="X88" s="342"/>
      <c r="Y88" s="235"/>
      <c r="Z88" s="429" t="s">
        <v>177</v>
      </c>
      <c r="AA88" s="430">
        <f>SUM(AC64:AC87)</f>
        <v>52</v>
      </c>
      <c r="AB88" s="598"/>
      <c r="AC88" s="598"/>
      <c r="AD88" s="598"/>
      <c r="AE88" s="432">
        <f>SUM(AE62:AE87)</f>
        <v>43</v>
      </c>
      <c r="AF88" s="432">
        <f>SUM(AF62:AF87)</f>
        <v>41</v>
      </c>
      <c r="AI88" s="65"/>
    </row>
    <row r="89" ht="17.25" spans="1:3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584" t="s">
        <v>49</v>
      </c>
      <c r="S89" s="358" t="s">
        <v>18</v>
      </c>
      <c r="T89" s="359" t="s">
        <v>119</v>
      </c>
      <c r="U89" s="359">
        <v>1</v>
      </c>
      <c r="V89" s="585" t="s">
        <v>23</v>
      </c>
      <c r="W89" s="560"/>
      <c r="X89" s="342"/>
      <c r="Y89" s="185"/>
      <c r="Z89" s="185"/>
      <c r="AA89" s="185"/>
      <c r="AB89" s="185"/>
      <c r="AC89" s="185"/>
      <c r="AD89" s="185"/>
      <c r="AE89" s="185"/>
      <c r="AF89" s="185"/>
      <c r="AG89" s="185"/>
      <c r="AI89" s="65"/>
    </row>
    <row r="90" spans="1:3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558"/>
      <c r="S90" s="358" t="s">
        <v>293</v>
      </c>
      <c r="T90" s="359" t="s">
        <v>175</v>
      </c>
      <c r="U90" s="359"/>
      <c r="V90" s="585" t="s">
        <v>23</v>
      </c>
      <c r="W90" s="560">
        <v>1</v>
      </c>
      <c r="X90" s="342">
        <v>1</v>
      </c>
      <c r="Y90" s="186"/>
      <c r="Z90" s="388" t="s">
        <v>283</v>
      </c>
      <c r="AA90" s="389"/>
      <c r="AB90" s="389"/>
      <c r="AC90" s="389"/>
      <c r="AD90" s="390"/>
      <c r="AE90" s="391" t="s">
        <v>313</v>
      </c>
      <c r="AF90" s="390"/>
      <c r="AG90" s="185"/>
      <c r="AI90" s="65"/>
    </row>
    <row r="91" ht="17.25" spans="1:3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586"/>
      <c r="S91" s="587" t="s">
        <v>293</v>
      </c>
      <c r="T91" s="588" t="s">
        <v>203</v>
      </c>
      <c r="U91" s="588"/>
      <c r="V91" s="589" t="s">
        <v>23</v>
      </c>
      <c r="W91" s="575"/>
      <c r="X91" s="590">
        <v>1</v>
      </c>
      <c r="Y91" s="191"/>
      <c r="Z91" s="392"/>
      <c r="AA91" s="393"/>
      <c r="AB91" s="199" t="s">
        <v>8</v>
      </c>
      <c r="AC91" s="199" t="s">
        <v>9</v>
      </c>
      <c r="AD91" s="394" t="s">
        <v>10</v>
      </c>
      <c r="AE91" s="395" t="s">
        <v>12</v>
      </c>
      <c r="AF91" s="208" t="s">
        <v>13</v>
      </c>
      <c r="AG91" s="185"/>
      <c r="AI91" s="65"/>
    </row>
    <row r="92" ht="17.25" spans="1:3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591" t="s">
        <v>177</v>
      </c>
      <c r="S92" s="592">
        <f>SUM(U71:U91)</f>
        <v>26</v>
      </c>
      <c r="T92" s="593"/>
      <c r="U92" s="593"/>
      <c r="V92" s="594"/>
      <c r="W92" s="595">
        <f>SUM(W71:W91)</f>
        <v>30</v>
      </c>
      <c r="X92" s="371">
        <f>SUM(X71:X91)</f>
        <v>26</v>
      </c>
      <c r="Y92" s="191"/>
      <c r="Z92" s="433"/>
      <c r="AA92" s="262" t="s">
        <v>168</v>
      </c>
      <c r="AB92" s="210" t="s">
        <v>132</v>
      </c>
      <c r="AC92" s="210"/>
      <c r="AD92" s="211"/>
      <c r="AE92" s="396">
        <v>1</v>
      </c>
      <c r="AF92" s="397"/>
      <c r="AG92" s="185"/>
      <c r="AI92" s="65"/>
    </row>
    <row r="93" ht="16.5" spans="1:3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Y93" s="191"/>
      <c r="Z93" s="433" t="s">
        <v>25</v>
      </c>
      <c r="AA93" s="262" t="s">
        <v>41</v>
      </c>
      <c r="AB93" s="210" t="s">
        <v>130</v>
      </c>
      <c r="AC93" s="210"/>
      <c r="AD93" s="211"/>
      <c r="AE93" s="396"/>
      <c r="AF93" s="397">
        <v>1</v>
      </c>
      <c r="AG93" s="185"/>
      <c r="AI93" s="65"/>
    </row>
    <row r="94" ht="16.5" spans="1:3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Y94" s="191"/>
      <c r="Z94" s="212"/>
      <c r="AA94" s="262" t="s">
        <v>168</v>
      </c>
      <c r="AB94" s="210" t="s">
        <v>184</v>
      </c>
      <c r="AC94" s="210"/>
      <c r="AD94" s="211"/>
      <c r="AE94" s="396">
        <v>7</v>
      </c>
      <c r="AF94" s="397">
        <v>6</v>
      </c>
      <c r="AG94" s="185"/>
      <c r="AI94" s="65"/>
    </row>
    <row r="95" ht="16.5" spans="1:3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Y95" s="191"/>
      <c r="Z95" s="398"/>
      <c r="AA95" s="262" t="s">
        <v>18</v>
      </c>
      <c r="AB95" s="210" t="s">
        <v>208</v>
      </c>
      <c r="AC95" s="210">
        <v>15</v>
      </c>
      <c r="AD95" s="211" t="s">
        <v>30</v>
      </c>
      <c r="AE95" s="396">
        <v>16</v>
      </c>
      <c r="AF95" s="397">
        <v>16</v>
      </c>
      <c r="AG95" s="185"/>
      <c r="AI95" s="65"/>
    </row>
    <row r="96" ht="16.5" spans="1:3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Y96" s="191"/>
      <c r="Z96" s="399" t="s">
        <v>43</v>
      </c>
      <c r="AA96" s="266" t="s">
        <v>18</v>
      </c>
      <c r="AB96" s="222" t="s">
        <v>186</v>
      </c>
      <c r="AC96" s="222">
        <v>1</v>
      </c>
      <c r="AD96" s="223" t="s">
        <v>20</v>
      </c>
      <c r="AE96" s="400">
        <v>1</v>
      </c>
      <c r="AF96" s="401">
        <v>1</v>
      </c>
      <c r="AG96" s="185"/>
      <c r="AI96" s="65"/>
    </row>
    <row r="97" ht="16.5" spans="1:3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Y97" s="191"/>
      <c r="Z97" s="398"/>
      <c r="AA97" s="266" t="s">
        <v>18</v>
      </c>
      <c r="AB97" s="222" t="s">
        <v>209</v>
      </c>
      <c r="AC97" s="222">
        <v>1</v>
      </c>
      <c r="AD97" s="223" t="s">
        <v>20</v>
      </c>
      <c r="AE97" s="400"/>
      <c r="AF97" s="401"/>
      <c r="AG97" s="185"/>
      <c r="AI97" s="65"/>
    </row>
    <row r="98" ht="16.5" spans="1:35">
      <c r="A98" s="191"/>
      <c r="B98" s="191"/>
      <c r="C98" s="191"/>
      <c r="D98" s="191"/>
      <c r="E98" s="191"/>
      <c r="F98" s="191"/>
      <c r="G98" s="191"/>
      <c r="H98" s="191"/>
      <c r="I98" s="191"/>
      <c r="J98" s="213"/>
      <c r="K98" s="213"/>
      <c r="L98" s="213"/>
      <c r="M98" s="213"/>
      <c r="N98" s="213"/>
      <c r="O98" s="213"/>
      <c r="P98" s="213"/>
      <c r="Q98" s="191"/>
      <c r="Y98" s="191"/>
      <c r="Z98" s="204" t="s">
        <v>16</v>
      </c>
      <c r="AA98" s="270" t="s">
        <v>18</v>
      </c>
      <c r="AB98" s="205" t="s">
        <v>19</v>
      </c>
      <c r="AC98" s="205">
        <v>5</v>
      </c>
      <c r="AD98" s="206" t="s">
        <v>23</v>
      </c>
      <c r="AE98" s="403">
        <v>1</v>
      </c>
      <c r="AF98" s="404">
        <v>1</v>
      </c>
      <c r="AI98" s="65"/>
    </row>
    <row r="99" ht="16.5" spans="1:35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Y99" s="191"/>
      <c r="Z99" s="224"/>
      <c r="AA99" s="270" t="s">
        <v>18</v>
      </c>
      <c r="AB99" s="205" t="s">
        <v>113</v>
      </c>
      <c r="AC99" s="205">
        <v>2</v>
      </c>
      <c r="AD99" s="206" t="s">
        <v>23</v>
      </c>
      <c r="AE99" s="403"/>
      <c r="AF99" s="404"/>
      <c r="AI99" s="65"/>
    </row>
    <row r="100" ht="16.5" spans="1:35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Y100" s="191"/>
      <c r="Z100" s="224"/>
      <c r="AA100" s="270" t="s">
        <v>18</v>
      </c>
      <c r="AB100" s="205" t="s">
        <v>24</v>
      </c>
      <c r="AC100" s="205">
        <v>2</v>
      </c>
      <c r="AD100" s="206" t="s">
        <v>23</v>
      </c>
      <c r="AE100" s="403"/>
      <c r="AF100" s="404"/>
      <c r="AI100" s="65"/>
    </row>
    <row r="101" ht="16.5" spans="1:35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Y101" s="213"/>
      <c r="Z101" s="435" t="s">
        <v>34</v>
      </c>
      <c r="AA101" s="273" t="s">
        <v>168</v>
      </c>
      <c r="AB101" s="216" t="s">
        <v>217</v>
      </c>
      <c r="AC101" s="216"/>
      <c r="AD101" s="218" t="s">
        <v>23</v>
      </c>
      <c r="AE101" s="406"/>
      <c r="AF101" s="436">
        <v>1</v>
      </c>
      <c r="AI101" s="65"/>
    </row>
    <row r="102" ht="16.5" spans="1:35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Y102" s="213"/>
      <c r="Z102" s="214"/>
      <c r="AA102" s="273" t="s">
        <v>168</v>
      </c>
      <c r="AB102" s="216" t="s">
        <v>142</v>
      </c>
      <c r="AC102" s="216"/>
      <c r="AD102" s="218" t="s">
        <v>23</v>
      </c>
      <c r="AE102" s="406">
        <v>1</v>
      </c>
      <c r="AF102" s="436">
        <v>1</v>
      </c>
      <c r="AI102" s="65"/>
    </row>
    <row r="103" ht="16.5" spans="1:35">
      <c r="A103" s="213"/>
      <c r="B103" s="213"/>
      <c r="C103" s="213"/>
      <c r="D103" s="213"/>
      <c r="E103" s="213"/>
      <c r="F103" s="213"/>
      <c r="G103" s="213"/>
      <c r="H103" s="213"/>
      <c r="I103" s="213"/>
      <c r="J103" s="191"/>
      <c r="K103" s="191"/>
      <c r="L103" s="191"/>
      <c r="M103" s="191"/>
      <c r="N103" s="191"/>
      <c r="O103" s="191"/>
      <c r="P103" s="191"/>
      <c r="Q103" s="213"/>
      <c r="Y103" s="213"/>
      <c r="Z103" s="214"/>
      <c r="AA103" s="273" t="s">
        <v>168</v>
      </c>
      <c r="AB103" s="216" t="s">
        <v>36</v>
      </c>
      <c r="AC103" s="216"/>
      <c r="AD103" s="218" t="s">
        <v>23</v>
      </c>
      <c r="AE103" s="406">
        <v>1</v>
      </c>
      <c r="AF103" s="436">
        <v>1</v>
      </c>
      <c r="AI103" s="65"/>
    </row>
    <row r="104" ht="16.5" spans="1:3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Y104" s="213"/>
      <c r="Z104" s="212"/>
      <c r="AA104" s="273" t="s">
        <v>18</v>
      </c>
      <c r="AB104" s="216" t="s">
        <v>213</v>
      </c>
      <c r="AC104" s="216">
        <v>3</v>
      </c>
      <c r="AD104" s="218" t="s">
        <v>23</v>
      </c>
      <c r="AE104" s="406">
        <v>2</v>
      </c>
      <c r="AF104" s="407">
        <v>2</v>
      </c>
      <c r="AI104" s="65"/>
    </row>
    <row r="105" ht="16.5" spans="1:3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213"/>
      <c r="Z105" s="398"/>
      <c r="AA105" s="273"/>
      <c r="AB105" s="216"/>
      <c r="AC105" s="216"/>
      <c r="AD105" s="218"/>
      <c r="AE105" s="406"/>
      <c r="AF105" s="407"/>
      <c r="AI105" s="65"/>
    </row>
    <row r="106" ht="16.5" spans="1:3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409" t="s">
        <v>101</v>
      </c>
      <c r="AA106" s="276" t="s">
        <v>18</v>
      </c>
      <c r="AB106" s="227" t="s">
        <v>32</v>
      </c>
      <c r="AC106" s="227">
        <v>6</v>
      </c>
      <c r="AD106" s="228" t="s">
        <v>20</v>
      </c>
      <c r="AE106" s="410">
        <v>5</v>
      </c>
      <c r="AF106" s="411">
        <v>4</v>
      </c>
      <c r="AI106" s="65"/>
    </row>
    <row r="107" ht="16.5" spans="1:3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212"/>
      <c r="AA107" s="276" t="s">
        <v>18</v>
      </c>
      <c r="AB107" s="227" t="s">
        <v>61</v>
      </c>
      <c r="AC107" s="227">
        <v>5</v>
      </c>
      <c r="AD107" s="228" t="s">
        <v>20</v>
      </c>
      <c r="AE107" s="410">
        <v>4</v>
      </c>
      <c r="AF107" s="411">
        <v>4</v>
      </c>
      <c r="AI107" s="65"/>
    </row>
    <row r="108" ht="16.5" spans="1:35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398"/>
      <c r="AA108" s="276" t="s">
        <v>18</v>
      </c>
      <c r="AB108" s="227" t="s">
        <v>218</v>
      </c>
      <c r="AC108" s="227">
        <v>1</v>
      </c>
      <c r="AD108" s="228" t="s">
        <v>20</v>
      </c>
      <c r="AE108" s="410"/>
      <c r="AF108" s="411"/>
      <c r="AI108" s="65"/>
    </row>
    <row r="109" ht="16.5" spans="1:35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412" t="s">
        <v>40</v>
      </c>
      <c r="AA109" s="281" t="s">
        <v>18</v>
      </c>
      <c r="AB109" s="230" t="s">
        <v>110</v>
      </c>
      <c r="AC109" s="230">
        <v>2</v>
      </c>
      <c r="AD109" s="231" t="s">
        <v>20</v>
      </c>
      <c r="AE109" s="413">
        <v>2</v>
      </c>
      <c r="AF109" s="414">
        <v>2</v>
      </c>
      <c r="AI109" s="65"/>
    </row>
    <row r="110" ht="16.5" spans="1:35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398"/>
      <c r="AA110" s="281" t="s">
        <v>293</v>
      </c>
      <c r="AB110" s="230" t="s">
        <v>204</v>
      </c>
      <c r="AC110" s="230">
        <v>1</v>
      </c>
      <c r="AD110" s="231" t="s">
        <v>23</v>
      </c>
      <c r="AE110" s="413">
        <v>2</v>
      </c>
      <c r="AF110" s="414">
        <v>1</v>
      </c>
      <c r="AI110" s="65"/>
    </row>
    <row r="111" ht="16.5" spans="1:35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415" t="s">
        <v>112</v>
      </c>
      <c r="AA111" s="284" t="s">
        <v>18</v>
      </c>
      <c r="AB111" s="233" t="s">
        <v>113</v>
      </c>
      <c r="AC111" s="233">
        <v>1</v>
      </c>
      <c r="AD111" s="234" t="s">
        <v>23</v>
      </c>
      <c r="AE111" s="416"/>
      <c r="AF111" s="417">
        <v>1</v>
      </c>
      <c r="AI111" s="65"/>
    </row>
    <row r="112" ht="16.5" spans="1:35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236" t="s">
        <v>115</v>
      </c>
      <c r="AA112" s="287" t="s">
        <v>18</v>
      </c>
      <c r="AB112" s="237" t="s">
        <v>222</v>
      </c>
      <c r="AC112" s="237">
        <v>1</v>
      </c>
      <c r="AD112" s="238" t="s">
        <v>23</v>
      </c>
      <c r="AE112" s="418"/>
      <c r="AF112" s="419"/>
      <c r="AI112" s="65"/>
    </row>
    <row r="113" ht="16.5" spans="1:35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448"/>
      <c r="AA113" s="287" t="s">
        <v>18</v>
      </c>
      <c r="AB113" s="237" t="s">
        <v>224</v>
      </c>
      <c r="AC113" s="237">
        <v>1</v>
      </c>
      <c r="AD113" s="238" t="s">
        <v>20</v>
      </c>
      <c r="AE113" s="418"/>
      <c r="AF113" s="419">
        <v>1</v>
      </c>
      <c r="AI113" s="65"/>
    </row>
    <row r="114" ht="16.5" spans="1:35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239" t="s">
        <v>49</v>
      </c>
      <c r="AA114" s="294" t="s">
        <v>293</v>
      </c>
      <c r="AB114" s="240" t="s">
        <v>119</v>
      </c>
      <c r="AC114" s="240">
        <v>1</v>
      </c>
      <c r="AD114" s="241" t="s">
        <v>23</v>
      </c>
      <c r="AE114" s="420">
        <v>1</v>
      </c>
      <c r="AF114" s="421">
        <v>1</v>
      </c>
      <c r="AI114" s="65"/>
    </row>
    <row r="115" ht="16.5" spans="1:3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212"/>
      <c r="AA115" s="294" t="s">
        <v>18</v>
      </c>
      <c r="AB115" s="240" t="s">
        <v>226</v>
      </c>
      <c r="AC115" s="240">
        <v>1</v>
      </c>
      <c r="AD115" s="241" t="s">
        <v>23</v>
      </c>
      <c r="AE115" s="420">
        <v>1</v>
      </c>
      <c r="AF115" s="421">
        <v>1</v>
      </c>
      <c r="AI115" s="65"/>
    </row>
    <row r="116" ht="16.5" spans="1:35">
      <c r="A116" s="191"/>
      <c r="B116" s="191"/>
      <c r="C116" s="191"/>
      <c r="D116" s="191"/>
      <c r="E116" s="191"/>
      <c r="F116" s="191"/>
      <c r="G116" s="191"/>
      <c r="H116" s="191"/>
      <c r="I116" s="191"/>
      <c r="J116" s="235"/>
      <c r="K116" s="235"/>
      <c r="L116" s="235"/>
      <c r="M116" s="235"/>
      <c r="N116" s="235"/>
      <c r="O116" s="235"/>
      <c r="P116" s="235"/>
      <c r="Q116" s="191"/>
      <c r="R116" s="191"/>
      <c r="S116" s="191"/>
      <c r="T116" s="191"/>
      <c r="U116" s="191"/>
      <c r="V116" s="191"/>
      <c r="W116" s="191"/>
      <c r="X116" s="191"/>
      <c r="Y116" s="191"/>
      <c r="Z116" s="212"/>
      <c r="AA116" s="294" t="s">
        <v>18</v>
      </c>
      <c r="AB116" s="240" t="s">
        <v>157</v>
      </c>
      <c r="AC116" s="240">
        <v>1</v>
      </c>
      <c r="AD116" s="241" t="s">
        <v>23</v>
      </c>
      <c r="AE116" s="420"/>
      <c r="AF116" s="421"/>
      <c r="AI116" s="65"/>
    </row>
    <row r="117" ht="16.5" spans="1:35">
      <c r="A117" s="235"/>
      <c r="B117" s="235"/>
      <c r="C117" s="235"/>
      <c r="D117" s="235"/>
      <c r="E117" s="235"/>
      <c r="F117" s="235"/>
      <c r="G117" s="235"/>
      <c r="H117" s="235"/>
      <c r="I117" s="235"/>
      <c r="J117" s="249"/>
      <c r="K117" s="249"/>
      <c r="L117" s="249"/>
      <c r="M117" s="249"/>
      <c r="N117" s="249"/>
      <c r="O117" s="249"/>
      <c r="P117" s="249"/>
      <c r="Q117" s="235"/>
      <c r="R117" s="235"/>
      <c r="S117" s="235"/>
      <c r="T117" s="235"/>
      <c r="U117" s="235"/>
      <c r="V117" s="235"/>
      <c r="W117" s="235"/>
      <c r="X117" s="235"/>
      <c r="Y117" s="191"/>
      <c r="Z117" s="212"/>
      <c r="AA117" s="294" t="s">
        <v>18</v>
      </c>
      <c r="AB117" s="240" t="s">
        <v>203</v>
      </c>
      <c r="AC117" s="240">
        <v>1</v>
      </c>
      <c r="AD117" s="241" t="s">
        <v>23</v>
      </c>
      <c r="AE117" s="420">
        <v>1</v>
      </c>
      <c r="AF117" s="421"/>
      <c r="AI117" s="65"/>
    </row>
    <row r="118" ht="17.25" spans="1:35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191"/>
      <c r="Z118" s="597"/>
      <c r="AA118" s="424" t="s">
        <v>293</v>
      </c>
      <c r="AB118" s="425" t="s">
        <v>228</v>
      </c>
      <c r="AC118" s="425">
        <v>1</v>
      </c>
      <c r="AD118" s="426" t="s">
        <v>23</v>
      </c>
      <c r="AE118" s="427"/>
      <c r="AF118" s="428">
        <v>1</v>
      </c>
      <c r="AI118" s="65"/>
    </row>
    <row r="119" ht="13.5" spans="1:35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35"/>
      <c r="Z119" s="429" t="s">
        <v>177</v>
      </c>
      <c r="AA119" s="430">
        <f>SUM(AC95:AC118)</f>
        <v>52</v>
      </c>
      <c r="AB119" s="598"/>
      <c r="AC119" s="598"/>
      <c r="AD119" s="598"/>
      <c r="AE119" s="432">
        <f>SUM(AE93:AE118)</f>
        <v>45</v>
      </c>
      <c r="AF119" s="432">
        <f>SUM(AF93:AF118)</f>
        <v>46</v>
      </c>
      <c r="AI119" s="65"/>
    </row>
    <row r="120" ht="12.75" spans="35:35">
      <c r="AI120" s="65"/>
    </row>
    <row r="121" ht="12.75" spans="35:35">
      <c r="AI121" s="65"/>
    </row>
    <row r="122" ht="12.75" spans="35:35">
      <c r="AI122" s="65"/>
    </row>
    <row r="123" ht="12.75" spans="35:35">
      <c r="AI123" s="65"/>
    </row>
    <row r="124" ht="12.75" spans="35:35">
      <c r="AI124" s="65"/>
    </row>
    <row r="125" ht="12.75" spans="35:35">
      <c r="AI125" s="65"/>
    </row>
    <row r="126" ht="12.75" spans="35:35">
      <c r="AI126" s="65"/>
    </row>
    <row r="127" ht="12.75" spans="35:35">
      <c r="AI127" s="65"/>
    </row>
    <row r="128" ht="12.75" spans="35:35">
      <c r="AI128" s="65"/>
    </row>
    <row r="129" ht="12.75" spans="35:35">
      <c r="AI129" s="65"/>
    </row>
    <row r="130" ht="12.75" spans="35:35">
      <c r="AI130" s="65"/>
    </row>
    <row r="131" ht="12.75" spans="35:35">
      <c r="AI131" s="65"/>
    </row>
    <row r="132" ht="12.75" spans="35:35">
      <c r="AI132" s="65"/>
    </row>
    <row r="133" ht="12.75" spans="35:35">
      <c r="AI133" s="65"/>
    </row>
    <row r="134" ht="12.75" spans="35:35">
      <c r="AI134" s="65"/>
    </row>
    <row r="135" ht="12.75" spans="35:35">
      <c r="AI135" s="65"/>
    </row>
    <row r="136" ht="12.75" spans="35:35">
      <c r="AI136" s="65"/>
    </row>
    <row r="137" ht="12.75" spans="35:35">
      <c r="AI137" s="65"/>
    </row>
    <row r="138" ht="12.75" spans="35:35">
      <c r="AI138" s="65"/>
    </row>
    <row r="139" ht="12.75" spans="35:35">
      <c r="AI139" s="65"/>
    </row>
    <row r="140" ht="12.75" spans="35:35">
      <c r="AI140" s="65"/>
    </row>
    <row r="141" ht="12.75" spans="35:35">
      <c r="AI141" s="65"/>
    </row>
    <row r="142" ht="12.75" spans="35:35">
      <c r="AI142" s="65"/>
    </row>
    <row r="143" ht="12.75" spans="35:35">
      <c r="AI143" s="65"/>
    </row>
    <row r="144" ht="12.75" spans="35:35">
      <c r="AI144" s="65"/>
    </row>
    <row r="145" ht="12.75" spans="35:35">
      <c r="AI145" s="65"/>
    </row>
    <row r="146" ht="12.75" spans="35:35">
      <c r="AI146" s="65"/>
    </row>
    <row r="147" ht="12.75" spans="35:35">
      <c r="AI147" s="65"/>
    </row>
    <row r="148" ht="12.75" spans="35:35">
      <c r="AI148" s="65"/>
    </row>
    <row r="149" ht="12.75" spans="35:35">
      <c r="AI149" s="65"/>
    </row>
    <row r="150" ht="12.75" spans="35:35">
      <c r="AI150" s="65"/>
    </row>
    <row r="151" ht="12.75" spans="35:35">
      <c r="AI151" s="65"/>
    </row>
    <row r="152" ht="12.75" spans="35:35">
      <c r="AI152" s="65"/>
    </row>
    <row r="153" ht="12.75" spans="35:35">
      <c r="AI153" s="65"/>
    </row>
    <row r="154" ht="12.75" spans="35:35">
      <c r="AI154" s="65"/>
    </row>
    <row r="155" ht="12.75" spans="35:35">
      <c r="AI155" s="65"/>
    </row>
    <row r="156" ht="12.75" spans="35:35">
      <c r="AI156" s="65"/>
    </row>
    <row r="157" ht="12.75" spans="35:35">
      <c r="AI157" s="65"/>
    </row>
    <row r="158" ht="12.75" spans="35:35">
      <c r="AI158" s="65"/>
    </row>
    <row r="159" ht="12.75" spans="35:35">
      <c r="AI159" s="65"/>
    </row>
    <row r="160" ht="12.75" spans="35:35">
      <c r="AI160" s="65"/>
    </row>
    <row r="161" ht="12.75" spans="35:35">
      <c r="AI161" s="65"/>
    </row>
    <row r="162" ht="12.75" spans="35:35">
      <c r="AI162" s="65"/>
    </row>
    <row r="163" ht="12.75" spans="35:35">
      <c r="AI163" s="65"/>
    </row>
    <row r="164" ht="12.75" spans="35:35">
      <c r="AI164" s="65"/>
    </row>
    <row r="165" ht="12.75" spans="35:35">
      <c r="AI165" s="65"/>
    </row>
    <row r="166" ht="12.75" spans="35:35">
      <c r="AI166" s="65"/>
    </row>
    <row r="167" ht="12.75" spans="35:35">
      <c r="AI167" s="65"/>
    </row>
    <row r="168" ht="12.75" spans="35:35">
      <c r="AI168" s="65"/>
    </row>
    <row r="169" ht="12.75" spans="35:35">
      <c r="AI169" s="65"/>
    </row>
    <row r="170" ht="12.75" spans="35:35">
      <c r="AI170" s="65"/>
    </row>
    <row r="171" ht="12.75" spans="35:35">
      <c r="AI171" s="65"/>
    </row>
    <row r="172" ht="12.75" spans="35:35">
      <c r="AI172" s="65"/>
    </row>
    <row r="173" ht="12.75" spans="35:35">
      <c r="AI173" s="65"/>
    </row>
    <row r="174" ht="12.75" spans="35:35">
      <c r="AI174" s="65"/>
    </row>
    <row r="175" ht="12.75" spans="35:35">
      <c r="AI175" s="65"/>
    </row>
    <row r="176" ht="12.75" spans="35:35">
      <c r="AI176" s="65"/>
    </row>
    <row r="177" ht="12.75" spans="35:35">
      <c r="AI177" s="65"/>
    </row>
    <row r="178" ht="12.75" spans="35:35">
      <c r="AI178" s="65"/>
    </row>
    <row r="179" ht="12.75" spans="35:35">
      <c r="AI179" s="65"/>
    </row>
    <row r="180" ht="12.75" spans="35:35">
      <c r="AI180" s="65"/>
    </row>
    <row r="181" ht="12.75" spans="35:35">
      <c r="AI181" s="65"/>
    </row>
    <row r="182" ht="12.75" spans="35:35">
      <c r="AI182" s="65"/>
    </row>
    <row r="183" ht="12.75" spans="35:35">
      <c r="AI183" s="65"/>
    </row>
    <row r="184" ht="12.75" spans="35:35">
      <c r="AI184" s="65"/>
    </row>
    <row r="185" ht="12.75" spans="35:35">
      <c r="AI185" s="65"/>
    </row>
    <row r="186" ht="12.75" spans="35:35">
      <c r="AI186" s="65"/>
    </row>
    <row r="187" ht="12.75" spans="35:35">
      <c r="AI187" s="65"/>
    </row>
    <row r="188" ht="12.75" spans="35:35">
      <c r="AI188" s="65"/>
    </row>
    <row r="189" ht="12.75" spans="35:35">
      <c r="AI189" s="65"/>
    </row>
    <row r="190" ht="12.75" spans="35:35">
      <c r="AI190" s="65"/>
    </row>
    <row r="191" ht="12.75" spans="35:35">
      <c r="AI191" s="65"/>
    </row>
    <row r="192" ht="12.75" spans="35:35">
      <c r="AI192" s="65"/>
    </row>
    <row r="193" ht="12.75" spans="35:35">
      <c r="AI193" s="65"/>
    </row>
    <row r="194" ht="12.75" spans="35:35">
      <c r="AI194" s="65"/>
    </row>
    <row r="195" ht="12.75" spans="35:35">
      <c r="AI195" s="65"/>
    </row>
    <row r="196" ht="12.75" spans="35:35">
      <c r="AI196" s="65"/>
    </row>
    <row r="197" ht="12.75" spans="35:35">
      <c r="AI197" s="65"/>
    </row>
    <row r="198" ht="12.75" spans="35:35">
      <c r="AI198" s="65"/>
    </row>
    <row r="199" ht="12.75" spans="35:35">
      <c r="AI199" s="65"/>
    </row>
    <row r="200" ht="12.75" spans="35:35">
      <c r="AI200" s="65"/>
    </row>
    <row r="201" ht="12.75" spans="35:35">
      <c r="AI201" s="65"/>
    </row>
    <row r="202" ht="12.75" spans="35:35">
      <c r="AI202" s="65"/>
    </row>
    <row r="203" ht="12.75" spans="35:35">
      <c r="AI203" s="65"/>
    </row>
    <row r="204" ht="12.75" spans="35:35">
      <c r="AI204" s="65"/>
    </row>
    <row r="205" ht="12.75" spans="35:35">
      <c r="AI205" s="65"/>
    </row>
    <row r="206" ht="12.75" spans="35:35">
      <c r="AI206" s="65"/>
    </row>
    <row r="207" ht="12.75" spans="35:35">
      <c r="AI207" s="65"/>
    </row>
    <row r="208" ht="12.75" spans="35:35">
      <c r="AI208" s="65"/>
    </row>
    <row r="209" ht="12.75" spans="35:35">
      <c r="AI209" s="65"/>
    </row>
    <row r="210" ht="12.75" spans="35:35">
      <c r="AI210" s="65"/>
    </row>
    <row r="211" ht="12.75" spans="35:35">
      <c r="AI211" s="65"/>
    </row>
    <row r="212" ht="12.75" spans="35:35">
      <c r="AI212" s="65"/>
    </row>
  </sheetData>
  <mergeCells count="148">
    <mergeCell ref="AH1:AN1"/>
    <mergeCell ref="AQ1:AY1"/>
    <mergeCell ref="Z2:AD2"/>
    <mergeCell ref="AE2:AF2"/>
    <mergeCell ref="AH2:AL2"/>
    <mergeCell ref="AM2:AN2"/>
    <mergeCell ref="R3:V3"/>
    <mergeCell ref="W3:X3"/>
    <mergeCell ref="B4:F4"/>
    <mergeCell ref="G4:H4"/>
    <mergeCell ref="J4:N4"/>
    <mergeCell ref="O4:P4"/>
    <mergeCell ref="S21:V21"/>
    <mergeCell ref="R25:V25"/>
    <mergeCell ref="W25:X25"/>
    <mergeCell ref="J26:N26"/>
    <mergeCell ref="O26:P26"/>
    <mergeCell ref="AA28:AD28"/>
    <mergeCell ref="AI28:AL28"/>
    <mergeCell ref="Z31:AD31"/>
    <mergeCell ref="AE31:AF31"/>
    <mergeCell ref="AH31:AL31"/>
    <mergeCell ref="AM31:AN31"/>
    <mergeCell ref="J40:N40"/>
    <mergeCell ref="O40:P40"/>
    <mergeCell ref="S44:V44"/>
    <mergeCell ref="R47:V47"/>
    <mergeCell ref="W47:X47"/>
    <mergeCell ref="AI55:AL55"/>
    <mergeCell ref="J56:N56"/>
    <mergeCell ref="O56:P56"/>
    <mergeCell ref="AH57:AN57"/>
    <mergeCell ref="AA58:AD58"/>
    <mergeCell ref="AH58:AL58"/>
    <mergeCell ref="AM58:AN58"/>
    <mergeCell ref="Z60:AD60"/>
    <mergeCell ref="AE60:AF60"/>
    <mergeCell ref="S66:V66"/>
    <mergeCell ref="R69:V69"/>
    <mergeCell ref="W69:X69"/>
    <mergeCell ref="J72:N72"/>
    <mergeCell ref="O72:P72"/>
    <mergeCell ref="AI87:AL87"/>
    <mergeCell ref="AA88:AD88"/>
    <mergeCell ref="Z90:AD90"/>
    <mergeCell ref="AE90:AF90"/>
    <mergeCell ref="S92:V92"/>
    <mergeCell ref="AA119:AD119"/>
    <mergeCell ref="B7:B9"/>
    <mergeCell ref="B10:B12"/>
    <mergeCell ref="B13:B15"/>
    <mergeCell ref="B16:B17"/>
    <mergeCell ref="B19:B20"/>
    <mergeCell ref="J13:J15"/>
    <mergeCell ref="J21:J24"/>
    <mergeCell ref="J28:J31"/>
    <mergeCell ref="J37:J38"/>
    <mergeCell ref="J42:J45"/>
    <mergeCell ref="J46:J48"/>
    <mergeCell ref="J49:J50"/>
    <mergeCell ref="J58:J61"/>
    <mergeCell ref="J62:J64"/>
    <mergeCell ref="J65:J66"/>
    <mergeCell ref="J74:J77"/>
    <mergeCell ref="J78:J80"/>
    <mergeCell ref="J81:J82"/>
    <mergeCell ref="R27:R28"/>
    <mergeCell ref="R30:R32"/>
    <mergeCell ref="R34:R36"/>
    <mergeCell ref="R37:R38"/>
    <mergeCell ref="R41:R43"/>
    <mergeCell ref="R49:R50"/>
    <mergeCell ref="R52:R54"/>
    <mergeCell ref="R56:R58"/>
    <mergeCell ref="R59:R60"/>
    <mergeCell ref="R63:R65"/>
    <mergeCell ref="R71:R73"/>
    <mergeCell ref="R75:R77"/>
    <mergeCell ref="R79:R82"/>
    <mergeCell ref="R83:R85"/>
    <mergeCell ref="R89:R91"/>
    <mergeCell ref="Z4:Z5"/>
    <mergeCell ref="Z6:Z7"/>
    <mergeCell ref="Z9:Z12"/>
    <mergeCell ref="Z13:Z14"/>
    <mergeCell ref="Z15:Z17"/>
    <mergeCell ref="Z18:Z19"/>
    <mergeCell ref="Z21:Z23"/>
    <mergeCell ref="Z24:Z27"/>
    <mergeCell ref="Z33:Z35"/>
    <mergeCell ref="Z36:Z37"/>
    <mergeCell ref="Z38:Z40"/>
    <mergeCell ref="Z41:Z45"/>
    <mergeCell ref="Z46:Z48"/>
    <mergeCell ref="Z49:Z50"/>
    <mergeCell ref="Z52:Z53"/>
    <mergeCell ref="Z54:Z57"/>
    <mergeCell ref="Z62:Z64"/>
    <mergeCell ref="Z65:Z66"/>
    <mergeCell ref="Z67:Z69"/>
    <mergeCell ref="Z70:Z74"/>
    <mergeCell ref="Z75:Z77"/>
    <mergeCell ref="Z78:Z79"/>
    <mergeCell ref="Z81:Z82"/>
    <mergeCell ref="Z83:Z87"/>
    <mergeCell ref="Z93:Z95"/>
    <mergeCell ref="Z96:Z97"/>
    <mergeCell ref="Z98:Z100"/>
    <mergeCell ref="Z101:Z105"/>
    <mergeCell ref="Z106:Z108"/>
    <mergeCell ref="Z109:Z110"/>
    <mergeCell ref="Z112:Z113"/>
    <mergeCell ref="Z114:Z118"/>
    <mergeCell ref="AH5:AH7"/>
    <mergeCell ref="AH9:AH11"/>
    <mergeCell ref="AH12:AH15"/>
    <mergeCell ref="AH16:AH19"/>
    <mergeCell ref="AH20:AH21"/>
    <mergeCell ref="AH24:AH27"/>
    <mergeCell ref="AH33:AH35"/>
    <mergeCell ref="AH36:AH37"/>
    <mergeCell ref="AH38:AH41"/>
    <mergeCell ref="AH42:AH43"/>
    <mergeCell ref="AH44:AH47"/>
    <mergeCell ref="AH48:AH49"/>
    <mergeCell ref="AH51:AH54"/>
    <mergeCell ref="AH60:AH62"/>
    <mergeCell ref="AH63:AH66"/>
    <mergeCell ref="AH67:AH70"/>
    <mergeCell ref="AH71:AH73"/>
    <mergeCell ref="AH74:AH77"/>
    <mergeCell ref="AH78:AH79"/>
    <mergeCell ref="AH82:AH86"/>
    <mergeCell ref="AQ3:AQ26"/>
    <mergeCell ref="AQ27:AQ32"/>
    <mergeCell ref="AQ33:AQ39"/>
    <mergeCell ref="AR3:AR7"/>
    <mergeCell ref="AR9:AR16"/>
    <mergeCell ref="AR17:AR20"/>
    <mergeCell ref="AR21:AR26"/>
    <mergeCell ref="AR27:AR31"/>
    <mergeCell ref="AR33:AR39"/>
    <mergeCell ref="AS3:AS7"/>
    <mergeCell ref="AS9:AS16"/>
    <mergeCell ref="AS17:AS20"/>
    <mergeCell ref="AS21:AS26"/>
    <mergeCell ref="AS27:AS31"/>
    <mergeCell ref="AS33:AS39"/>
  </mergeCells>
  <dataValidations count="9">
    <dataValidation type="list" allowBlank="1" showInputMessage="1" showErrorMessage="1" sqref="G6 H6 J12 Z13 H15 R33 Z41 AH42 R55 S68 T68 U68 V68 W68 X68 Z70 R78 Z101 A10:A11 A39:A43 A68:A72 A99:A103 B68:B72 B99:B103 C68:C72 C99:C103 D68:D72 D99:D103 E68:E72 E99:E103 F68:F72 F99:F103 G68:G72 G99:G103 H68:H72 H99:H103 I10:I11 I39:I43 I68:I72 I99:I103 J98:J102 K98:K102 L98:L102 M98:M102 N98:N102 O98:O102 P98:P102 Q10:Q11 Q39:Q43 Q68:Q72 Q99:Q103 R10:R11 Y41:Y45 Y70:Y74 Y101:Y105 AH71:AH72">
      <formula1>"自孵部,签约部,培训部,外采部,商务部,运营中台,总经办+财务部,财务部,技术部,"</formula1>
    </dataValidation>
    <dataValidation type="list" allowBlank="1" showInputMessage="1" showErrorMessage="1" sqref="B10 B13 B16 B6:B7 B18:B19 B21:B25">
      <formula1>"自孵部,签约部,培训部,外采部,商务中台,运营中台,总经办+财务部,财务部,技术中台,内容中台,AI中台,数据中台,"</formula1>
    </dataValidation>
    <dataValidation type="list" allowBlank="1" showInputMessage="1" showErrorMessage="1" sqref="J11 J13 J16 J19 J21 J28 J37 J42 J46 J49 J51 J54 J58 J62 J65 J67 J70 J74 J78 J81 J83 J86 J6:J9 J32:J34">
      <formula1>"自孵部,签约部,培训部,外采部,商务中台,运营中台,总经办+财务部,财务部,技术中台,内容中台,"</formula1>
    </dataValidation>
    <dataValidation type="list" allowBlank="1" showInputMessage="1" showErrorMessage="1" sqref="N49 N65 N81 F6:F24 N6:N24 N28:N38 N42:N46 N51:N54 N58:N62 N67:N70 N74:N78 N83:N86 V5:V20 V27:V43 V49:V65 V71:V91 AD4:AD27 AD34:AD57 AD63:AD87 AD94:AD118 AL4:AL27 AL33:AL54 AL60:AL86">
      <formula1>"社招,校招,社招&amp;校招,"</formula1>
    </dataValidation>
    <dataValidation type="list" allowBlank="1" showInputMessage="1" showErrorMessage="1" sqref="C6:C25">
      <formula1>"新增需求,替补需求,储备需求,上个月未交付延期本月,临时新增,"</formula1>
    </dataValidation>
    <dataValidation type="list" allowBlank="1" showInputMessage="1" showErrorMessage="1" sqref="K6:K24 K28:K38 K42:K54 K58:K70 K74:K86 S4:S20 S26:S43 S48:S65 S70:S91 AA3:AA27 AA32:AA57 AA61:AA87 AA91:AA118">
      <formula1>"新增需求,替补需求,储备需求,上个月未入职,临时新增,"</formula1>
    </dataValidation>
    <dataValidation type="list" allowBlank="1" showInputMessage="1" showErrorMessage="1" sqref="AI4:AI1048576">
      <formula1>"新增需求,替补需求,储备需求,上个月未交付延期本月,招聘类型,临时新增,"</formula1>
    </dataValidation>
    <dataValidation type="list" showInputMessage="1" showErrorMessage="1" sqref="AT3:AT40">
      <formula1>"新增需求,替补需求,储备需求,上个月未交付延期本月,招聘类型,临时需求,"</formula1>
    </dataValidation>
    <dataValidation type="list" showInputMessage="1" showErrorMessage="1" sqref="AW3:AW39">
      <formula1>"社招,校招,社招&amp;校招,"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招聘进度"/>
  <dimension ref="B2:Q25"/>
  <sheetViews>
    <sheetView workbookViewId="0">
      <selection activeCell="A1" sqref="A1"/>
    </sheetView>
  </sheetViews>
  <sheetFormatPr defaultColWidth="14" defaultRowHeight="18" customHeight="1"/>
  <cols>
    <col min="2" max="2" width="11.4571428571429" customWidth="1"/>
    <col min="3" max="3" width="11.1904761904762" customWidth="1"/>
    <col min="4" max="5" width="8.21904761904762" customWidth="1"/>
    <col min="7" max="16" width="8.09523809523809" customWidth="1"/>
    <col min="17" max="17" width="36.552380952381" customWidth="1"/>
  </cols>
  <sheetData>
    <row r="2" customHeight="1" spans="2:17">
      <c r="B2" s="127" t="s">
        <v>4</v>
      </c>
      <c r="C2" s="128" t="s">
        <v>159</v>
      </c>
      <c r="D2" s="128" t="s">
        <v>9</v>
      </c>
      <c r="E2" s="128" t="s">
        <v>314</v>
      </c>
      <c r="F2" s="128" t="s">
        <v>315</v>
      </c>
      <c r="G2" s="129" t="s">
        <v>316</v>
      </c>
      <c r="H2" s="130"/>
      <c r="I2" s="130"/>
      <c r="J2" s="130"/>
      <c r="K2" s="130"/>
      <c r="L2" s="130"/>
      <c r="M2" s="130"/>
      <c r="N2" s="130"/>
      <c r="O2" s="130"/>
      <c r="P2" s="174"/>
      <c r="Q2" s="180" t="s">
        <v>317</v>
      </c>
    </row>
    <row r="3" customHeight="1" spans="2:17">
      <c r="B3" s="131" t="s">
        <v>16</v>
      </c>
      <c r="C3" s="132" t="s">
        <v>19</v>
      </c>
      <c r="D3" s="133">
        <v>3</v>
      </c>
      <c r="E3" s="133"/>
      <c r="F3" s="134"/>
      <c r="G3" s="135"/>
      <c r="H3" s="135"/>
      <c r="I3" s="135"/>
      <c r="J3" s="175"/>
      <c r="K3" s="175"/>
      <c r="L3" s="175"/>
      <c r="M3" s="175"/>
      <c r="N3" s="175"/>
      <c r="O3" s="175"/>
      <c r="P3" s="176"/>
      <c r="Q3" s="181"/>
    </row>
    <row r="4" customHeight="1" spans="2:17">
      <c r="B4" s="136"/>
      <c r="C4" s="137" t="s">
        <v>113</v>
      </c>
      <c r="D4" s="137">
        <v>2</v>
      </c>
      <c r="E4" s="137"/>
      <c r="F4" s="138"/>
      <c r="G4" s="139"/>
      <c r="H4" s="139"/>
      <c r="I4" s="142"/>
      <c r="J4" s="142"/>
      <c r="K4" s="142"/>
      <c r="L4" s="142"/>
      <c r="M4" s="142"/>
      <c r="N4" s="142"/>
      <c r="O4" s="142"/>
      <c r="P4" s="177"/>
      <c r="Q4" s="182"/>
    </row>
    <row r="5" customHeight="1" spans="2:17">
      <c r="B5" s="140" t="s">
        <v>25</v>
      </c>
      <c r="C5" s="141" t="s">
        <v>318</v>
      </c>
      <c r="D5" s="139">
        <v>1</v>
      </c>
      <c r="E5" s="139"/>
      <c r="F5" s="138"/>
      <c r="G5" s="139"/>
      <c r="H5" s="142"/>
      <c r="I5" s="142"/>
      <c r="J5" s="142"/>
      <c r="K5" s="142"/>
      <c r="L5" s="142"/>
      <c r="M5" s="142"/>
      <c r="N5" s="142"/>
      <c r="O5" s="142"/>
      <c r="P5" s="177"/>
      <c r="Q5" s="182"/>
    </row>
    <row r="6" customHeight="1" spans="2:17">
      <c r="B6" s="143"/>
      <c r="C6" s="144" t="s">
        <v>184</v>
      </c>
      <c r="D6" s="139">
        <v>10</v>
      </c>
      <c r="E6" s="139"/>
      <c r="F6" s="138"/>
      <c r="G6" s="139"/>
      <c r="H6" s="139"/>
      <c r="I6" s="139"/>
      <c r="J6" s="139"/>
      <c r="K6" s="139"/>
      <c r="L6" s="139"/>
      <c r="M6" s="139"/>
      <c r="N6" s="139"/>
      <c r="O6" s="139"/>
      <c r="P6" s="178"/>
      <c r="Q6" s="182"/>
    </row>
    <row r="7" customHeight="1" spans="2:17">
      <c r="B7" s="145"/>
      <c r="C7" s="144" t="s">
        <v>130</v>
      </c>
      <c r="D7" s="139">
        <v>3</v>
      </c>
      <c r="E7" s="139"/>
      <c r="F7" s="138"/>
      <c r="G7" s="139"/>
      <c r="H7" s="139"/>
      <c r="I7" s="139"/>
      <c r="J7" s="142"/>
      <c r="K7" s="142"/>
      <c r="L7" s="142"/>
      <c r="M7" s="142"/>
      <c r="N7" s="142"/>
      <c r="O7" s="142"/>
      <c r="P7" s="177"/>
      <c r="Q7" s="182"/>
    </row>
    <row r="8" customHeight="1" spans="2:17">
      <c r="B8" s="146" t="s">
        <v>34</v>
      </c>
      <c r="C8" s="147" t="s">
        <v>319</v>
      </c>
      <c r="D8" s="138">
        <v>1</v>
      </c>
      <c r="E8" s="138"/>
      <c r="F8" s="138"/>
      <c r="G8" s="142"/>
      <c r="H8" s="142"/>
      <c r="I8" s="142"/>
      <c r="J8" s="142"/>
      <c r="K8" s="142"/>
      <c r="L8" s="142"/>
      <c r="M8" s="142"/>
      <c r="N8" s="142"/>
      <c r="O8" s="142"/>
      <c r="P8" s="177"/>
      <c r="Q8" s="181"/>
    </row>
    <row r="9" customHeight="1" spans="2:17">
      <c r="B9" s="143"/>
      <c r="C9" s="138" t="s">
        <v>36</v>
      </c>
      <c r="D9" s="138">
        <v>4</v>
      </c>
      <c r="E9" s="138"/>
      <c r="F9" s="138"/>
      <c r="G9" s="139"/>
      <c r="H9" s="139"/>
      <c r="I9" s="139"/>
      <c r="J9" s="139"/>
      <c r="K9" s="142"/>
      <c r="L9" s="142"/>
      <c r="M9" s="142"/>
      <c r="N9" s="142"/>
      <c r="O9" s="142"/>
      <c r="P9" s="177"/>
      <c r="Q9" s="183"/>
    </row>
    <row r="10" customHeight="1" spans="2:17">
      <c r="B10" s="143"/>
      <c r="C10" s="138" t="s">
        <v>320</v>
      </c>
      <c r="D10" s="138">
        <v>6</v>
      </c>
      <c r="E10" s="138"/>
      <c r="F10" s="138"/>
      <c r="G10" s="139"/>
      <c r="H10" s="139"/>
      <c r="I10" s="139"/>
      <c r="J10" s="139"/>
      <c r="K10" s="139"/>
      <c r="L10" s="139"/>
      <c r="M10" s="142"/>
      <c r="N10" s="142"/>
      <c r="O10" s="142"/>
      <c r="P10" s="177"/>
      <c r="Q10" s="183"/>
    </row>
    <row r="11" customHeight="1" spans="2:17">
      <c r="B11" s="148" t="s">
        <v>43</v>
      </c>
      <c r="C11" s="149" t="s">
        <v>133</v>
      </c>
      <c r="D11" s="149">
        <v>2</v>
      </c>
      <c r="E11" s="149"/>
      <c r="F11" s="138"/>
      <c r="G11" s="139"/>
      <c r="H11" s="139"/>
      <c r="I11" s="142"/>
      <c r="J11" s="142"/>
      <c r="K11" s="142"/>
      <c r="L11" s="142"/>
      <c r="M11" s="142"/>
      <c r="N11" s="142"/>
      <c r="O11" s="142"/>
      <c r="P11" s="177"/>
      <c r="Q11" s="182"/>
    </row>
    <row r="12" customHeight="1" spans="2:17">
      <c r="B12" s="150" t="s">
        <v>101</v>
      </c>
      <c r="C12" s="151" t="s">
        <v>321</v>
      </c>
      <c r="D12" s="152">
        <v>1</v>
      </c>
      <c r="E12" s="152"/>
      <c r="F12" s="138"/>
      <c r="G12" s="142"/>
      <c r="H12" s="142"/>
      <c r="I12" s="142"/>
      <c r="J12" s="142"/>
      <c r="K12" s="142"/>
      <c r="L12" s="142"/>
      <c r="M12" s="142"/>
      <c r="N12" s="142"/>
      <c r="O12" s="142"/>
      <c r="P12" s="177"/>
      <c r="Q12" s="181"/>
    </row>
    <row r="13" customHeight="1" spans="2:17">
      <c r="B13" s="143"/>
      <c r="C13" s="152" t="s">
        <v>61</v>
      </c>
      <c r="D13" s="152">
        <v>5</v>
      </c>
      <c r="E13" s="152"/>
      <c r="F13" s="138"/>
      <c r="G13" s="139"/>
      <c r="H13" s="139"/>
      <c r="I13" s="139"/>
      <c r="J13" s="139"/>
      <c r="K13" s="139"/>
      <c r="L13" s="142"/>
      <c r="M13" s="142"/>
      <c r="N13" s="142"/>
      <c r="O13" s="142"/>
      <c r="P13" s="177"/>
      <c r="Q13" s="184"/>
    </row>
    <row r="14" customHeight="1" spans="2:17">
      <c r="B14" s="145"/>
      <c r="C14" s="153" t="s">
        <v>32</v>
      </c>
      <c r="D14" s="152">
        <v>2</v>
      </c>
      <c r="E14" s="152"/>
      <c r="F14" s="138"/>
      <c r="G14" s="139"/>
      <c r="H14" s="139"/>
      <c r="I14" s="142"/>
      <c r="J14" s="142"/>
      <c r="K14" s="142"/>
      <c r="L14" s="142"/>
      <c r="M14" s="142"/>
      <c r="N14" s="142"/>
      <c r="O14" s="142"/>
      <c r="P14" s="177"/>
      <c r="Q14" s="181"/>
    </row>
    <row r="15" customHeight="1" spans="2:17">
      <c r="B15" s="154" t="s">
        <v>40</v>
      </c>
      <c r="C15" s="155" t="s">
        <v>110</v>
      </c>
      <c r="D15" s="156">
        <v>2</v>
      </c>
      <c r="E15" s="156"/>
      <c r="F15" s="138"/>
      <c r="G15" s="139"/>
      <c r="H15" s="139"/>
      <c r="I15" s="142"/>
      <c r="J15" s="142"/>
      <c r="K15" s="142"/>
      <c r="L15" s="142"/>
      <c r="M15" s="142"/>
      <c r="N15" s="142"/>
      <c r="O15" s="142"/>
      <c r="P15" s="177"/>
      <c r="Q15" s="181"/>
    </row>
    <row r="16" customHeight="1" spans="2:17">
      <c r="B16" s="157" t="s">
        <v>112</v>
      </c>
      <c r="C16" s="158" t="s">
        <v>116</v>
      </c>
      <c r="D16" s="159">
        <v>0</v>
      </c>
      <c r="E16" s="159"/>
      <c r="F16" s="138"/>
      <c r="G16" s="142"/>
      <c r="H16" s="142"/>
      <c r="I16" s="142"/>
      <c r="J16" s="142"/>
      <c r="K16" s="142"/>
      <c r="L16" s="142"/>
      <c r="M16" s="142"/>
      <c r="N16" s="142"/>
      <c r="O16" s="142"/>
      <c r="P16" s="177"/>
      <c r="Q16" s="182"/>
    </row>
    <row r="17" customHeight="1" spans="2:17">
      <c r="B17" s="160" t="s">
        <v>115</v>
      </c>
      <c r="C17" s="161" t="s">
        <v>116</v>
      </c>
      <c r="D17" s="162">
        <v>0</v>
      </c>
      <c r="E17" s="162"/>
      <c r="F17" s="138"/>
      <c r="G17" s="142"/>
      <c r="H17" s="142"/>
      <c r="I17" s="142"/>
      <c r="J17" s="142"/>
      <c r="K17" s="142"/>
      <c r="L17" s="142"/>
      <c r="M17" s="142"/>
      <c r="N17" s="142"/>
      <c r="O17" s="142"/>
      <c r="P17" s="177"/>
      <c r="Q17" s="181"/>
    </row>
    <row r="18" customHeight="1" spans="2:17">
      <c r="B18" s="146" t="s">
        <v>153</v>
      </c>
      <c r="C18" s="163" t="s">
        <v>116</v>
      </c>
      <c r="D18" s="138">
        <v>0</v>
      </c>
      <c r="E18" s="138"/>
      <c r="F18" s="138"/>
      <c r="G18" s="142"/>
      <c r="H18" s="142"/>
      <c r="I18" s="142"/>
      <c r="J18" s="142"/>
      <c r="K18" s="142"/>
      <c r="L18" s="142"/>
      <c r="M18" s="142"/>
      <c r="N18" s="142"/>
      <c r="O18" s="142"/>
      <c r="P18" s="177"/>
      <c r="Q18" s="181"/>
    </row>
    <row r="19" customHeight="1" spans="2:17">
      <c r="B19" s="146" t="s">
        <v>118</v>
      </c>
      <c r="C19" s="147" t="s">
        <v>322</v>
      </c>
      <c r="D19" s="138">
        <v>1</v>
      </c>
      <c r="E19" s="138"/>
      <c r="F19" s="138"/>
      <c r="G19" s="142"/>
      <c r="H19" s="142"/>
      <c r="I19" s="142"/>
      <c r="J19" s="142"/>
      <c r="K19" s="142"/>
      <c r="L19" s="142"/>
      <c r="M19" s="142"/>
      <c r="N19" s="142"/>
      <c r="O19" s="142"/>
      <c r="P19" s="177"/>
      <c r="Q19" s="181"/>
    </row>
    <row r="20" customHeight="1" spans="2:17">
      <c r="B20" s="164" t="s">
        <v>49</v>
      </c>
      <c r="C20" s="165" t="s">
        <v>157</v>
      </c>
      <c r="D20" s="165">
        <v>2</v>
      </c>
      <c r="E20" s="165"/>
      <c r="F20" s="138"/>
      <c r="G20" s="139"/>
      <c r="H20" s="139"/>
      <c r="I20" s="142"/>
      <c r="J20" s="142"/>
      <c r="K20" s="142"/>
      <c r="L20" s="142"/>
      <c r="M20" s="142"/>
      <c r="N20" s="142"/>
      <c r="O20" s="142"/>
      <c r="P20" s="177"/>
      <c r="Q20" s="181"/>
    </row>
    <row r="21" customHeight="1" spans="2:17">
      <c r="B21" s="145"/>
      <c r="C21" s="166" t="s">
        <v>228</v>
      </c>
      <c r="D21" s="165">
        <v>2</v>
      </c>
      <c r="E21" s="165"/>
      <c r="F21" s="138"/>
      <c r="G21" s="139"/>
      <c r="H21" s="139"/>
      <c r="I21" s="142"/>
      <c r="J21" s="142"/>
      <c r="K21" s="142"/>
      <c r="L21" s="142"/>
      <c r="M21" s="142"/>
      <c r="N21" s="142"/>
      <c r="O21" s="142"/>
      <c r="P21" s="177"/>
      <c r="Q21" s="181"/>
    </row>
    <row r="22" customHeight="1" spans="2:17">
      <c r="B22" s="167" t="s">
        <v>177</v>
      </c>
      <c r="C22" s="168"/>
      <c r="D22" s="169">
        <f>SUM(D3:D20)</f>
        <v>45</v>
      </c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79"/>
      <c r="Q22" s="181"/>
    </row>
    <row r="23" customHeight="1" spans="2:16">
      <c r="B23" s="170" t="s">
        <v>323</v>
      </c>
      <c r="C23" s="171"/>
      <c r="D23" s="172"/>
      <c r="E23" s="172"/>
      <c r="F23" s="172"/>
      <c r="G23" s="170"/>
      <c r="H23" s="172"/>
      <c r="I23" s="172"/>
      <c r="J23" s="172"/>
      <c r="K23" s="172"/>
      <c r="L23" s="172"/>
      <c r="M23" s="172"/>
      <c r="N23" s="172"/>
      <c r="O23" s="172"/>
      <c r="P23" s="172"/>
    </row>
    <row r="24" customHeight="1" spans="2:11">
      <c r="B24" s="65"/>
      <c r="C24"/>
      <c r="D24"/>
      <c r="E24" s="173"/>
      <c r="F24" s="173"/>
      <c r="G24" s="173"/>
      <c r="H24" s="173"/>
      <c r="I24" s="173"/>
      <c r="J24" s="173"/>
      <c r="K24" s="173"/>
    </row>
    <row r="25" customHeight="1" spans="2:11">
      <c r="B25" s="65"/>
      <c r="C25"/>
      <c r="D25"/>
      <c r="E25" s="173"/>
      <c r="F25" s="173"/>
      <c r="G25" s="173"/>
      <c r="H25" s="173"/>
      <c r="I25" s="173"/>
      <c r="J25" s="173"/>
      <c r="K25" s="173"/>
    </row>
  </sheetData>
  <mergeCells count="10">
    <mergeCell ref="G2:P2"/>
    <mergeCell ref="B23:P23"/>
    <mergeCell ref="B3:B4"/>
    <mergeCell ref="B5:B7"/>
    <mergeCell ref="B8:B10"/>
    <mergeCell ref="B12:B14"/>
    <mergeCell ref="B20:B21"/>
    <mergeCell ref="Q6:Q7"/>
    <mergeCell ref="Q9:Q10"/>
    <mergeCell ref="Q13:Q14"/>
  </mergeCells>
  <dataValidations count="1">
    <dataValidation type="list" showInputMessage="1" showErrorMessage="1" sqref="B3 B5 B8 B11:B12 B15:B20 B24:B25">
      <formula1>"自孵部,签约部,培训部,外采部,商务中台,运营中台,总经办+财务部,财务部,技术中台,内容中台,AI中台,数据中台,"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2026-2"/>
  <dimension ref="A1:L242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14" defaultRowHeight="18" customHeight="1"/>
  <cols>
    <col min="1" max="1" width="16.7238095238095" style="1" customWidth="1"/>
    <col min="2" max="3" width="24.0095238095238" style="1" customWidth="1"/>
    <col min="4" max="5" width="13.8952380952381" style="1" customWidth="1"/>
    <col min="6" max="7" width="10.9238095238095" style="1" customWidth="1"/>
    <col min="8" max="8" width="62.4571428571429" style="2" customWidth="1"/>
    <col min="9" max="11" width="13.6761904761905" style="4"/>
    <col min="12" max="12" width="15.3714285714286" style="4" customWidth="1"/>
    <col min="13" max="25" width="13.6761904761905" style="4"/>
  </cols>
  <sheetData>
    <row r="1" ht="61.5" customHeight="1" spans="1:10">
      <c r="A1" s="6" t="s">
        <v>0</v>
      </c>
      <c r="B1" s="6"/>
      <c r="I1" s="109"/>
      <c r="J1" s="109" t="s">
        <v>1</v>
      </c>
    </row>
    <row r="2" ht="25.5" customHeight="1" spans="1:12">
      <c r="A2" s="95" t="s">
        <v>324</v>
      </c>
      <c r="B2" s="8"/>
      <c r="C2" s="8"/>
      <c r="D2" s="8"/>
      <c r="E2" s="9"/>
      <c r="F2" s="9"/>
      <c r="G2" s="9"/>
      <c r="H2" s="10"/>
      <c r="I2" s="110" t="s">
        <v>325</v>
      </c>
      <c r="J2" s="69"/>
      <c r="K2" s="69"/>
      <c r="L2" s="70"/>
    </row>
    <row r="3" ht="19.5" customHeight="1" spans="1:12">
      <c r="A3" s="11" t="s">
        <v>4</v>
      </c>
      <c r="B3" s="11" t="s">
        <v>326</v>
      </c>
      <c r="C3" s="11" t="s">
        <v>327</v>
      </c>
      <c r="D3" s="12"/>
      <c r="E3" s="11" t="s">
        <v>8</v>
      </c>
      <c r="F3" s="11" t="s">
        <v>9</v>
      </c>
      <c r="G3" s="11" t="s">
        <v>10</v>
      </c>
      <c r="H3" s="13" t="s">
        <v>11</v>
      </c>
      <c r="I3" s="111" t="s">
        <v>12</v>
      </c>
      <c r="J3" s="111" t="s">
        <v>13</v>
      </c>
      <c r="K3" s="111" t="s">
        <v>14</v>
      </c>
      <c r="L3" s="112" t="s">
        <v>259</v>
      </c>
    </row>
    <row r="4" ht="16.5" hidden="1" spans="1:12">
      <c r="A4" s="14" t="s">
        <v>16</v>
      </c>
      <c r="B4" s="15"/>
      <c r="C4" s="15">
        <v>59</v>
      </c>
      <c r="D4" s="16" t="s">
        <v>18</v>
      </c>
      <c r="E4" s="17" t="s">
        <v>237</v>
      </c>
      <c r="F4" s="16">
        <v>1</v>
      </c>
      <c r="G4" s="16" t="s">
        <v>23</v>
      </c>
      <c r="H4" s="18" t="s">
        <v>266</v>
      </c>
      <c r="I4" s="20"/>
      <c r="J4" s="20"/>
      <c r="K4" s="20"/>
      <c r="L4" s="113"/>
    </row>
    <row r="5" ht="16.5" hidden="1" spans="1:12">
      <c r="A5" s="19"/>
      <c r="B5" s="19"/>
      <c r="C5" s="19"/>
      <c r="D5" s="16" t="s">
        <v>18</v>
      </c>
      <c r="E5" s="17" t="s">
        <v>113</v>
      </c>
      <c r="F5" s="20">
        <v>3</v>
      </c>
      <c r="G5" s="16" t="s">
        <v>23</v>
      </c>
      <c r="H5" s="18" t="s">
        <v>189</v>
      </c>
      <c r="I5" s="20"/>
      <c r="J5" s="20"/>
      <c r="K5" s="20"/>
      <c r="L5" s="75"/>
    </row>
    <row r="6" ht="16.5" hidden="1" spans="1:12">
      <c r="A6" s="19"/>
      <c r="B6" s="19"/>
      <c r="C6" s="19"/>
      <c r="D6" s="16" t="s">
        <v>21</v>
      </c>
      <c r="E6" s="17" t="s">
        <v>19</v>
      </c>
      <c r="F6" s="20">
        <v>1</v>
      </c>
      <c r="G6" s="16" t="s">
        <v>20</v>
      </c>
      <c r="H6" s="18" t="s">
        <v>328</v>
      </c>
      <c r="I6" s="20"/>
      <c r="J6" s="20"/>
      <c r="K6" s="20"/>
      <c r="L6" s="75"/>
    </row>
    <row r="7" ht="16.5" hidden="1" spans="1:12">
      <c r="A7" s="19"/>
      <c r="B7" s="19"/>
      <c r="C7" s="19"/>
      <c r="D7" s="16" t="s">
        <v>21</v>
      </c>
      <c r="E7" s="17" t="s">
        <v>22</v>
      </c>
      <c r="F7" s="20">
        <v>1</v>
      </c>
      <c r="G7" s="16" t="s">
        <v>23</v>
      </c>
      <c r="H7" s="18" t="s">
        <v>329</v>
      </c>
      <c r="I7" s="20"/>
      <c r="J7" s="20"/>
      <c r="K7" s="20"/>
      <c r="L7" s="75"/>
    </row>
    <row r="8" ht="43.5" hidden="1" customHeight="1" spans="1:12">
      <c r="A8" s="96"/>
      <c r="B8" s="97"/>
      <c r="C8" s="97"/>
      <c r="D8" s="16" t="s">
        <v>18</v>
      </c>
      <c r="E8" s="17" t="s">
        <v>24</v>
      </c>
      <c r="F8" s="16">
        <v>3</v>
      </c>
      <c r="G8" s="16" t="s">
        <v>20</v>
      </c>
      <c r="H8" s="18" t="s">
        <v>267</v>
      </c>
      <c r="I8" s="20"/>
      <c r="J8" s="20"/>
      <c r="K8" s="20"/>
      <c r="L8" s="113"/>
    </row>
    <row r="9" ht="16.5" hidden="1" spans="1:12">
      <c r="A9" s="21" t="s">
        <v>25</v>
      </c>
      <c r="B9" s="22"/>
      <c r="C9" s="22">
        <v>63</v>
      </c>
      <c r="D9" s="30" t="s">
        <v>21</v>
      </c>
      <c r="E9" s="24" t="s">
        <v>184</v>
      </c>
      <c r="F9" s="23">
        <v>3</v>
      </c>
      <c r="G9" s="23" t="s">
        <v>30</v>
      </c>
      <c r="H9" s="25"/>
      <c r="I9" s="114"/>
      <c r="J9" s="114"/>
      <c r="K9" s="114"/>
      <c r="L9" s="78"/>
    </row>
    <row r="10" ht="16.5" hidden="1" spans="1:12">
      <c r="A10" s="19"/>
      <c r="B10" s="19"/>
      <c r="C10" s="19"/>
      <c r="D10" s="30" t="s">
        <v>21</v>
      </c>
      <c r="E10" s="24" t="s">
        <v>130</v>
      </c>
      <c r="F10" s="23">
        <v>2</v>
      </c>
      <c r="G10" s="23" t="s">
        <v>23</v>
      </c>
      <c r="H10" s="25"/>
      <c r="I10" s="114"/>
      <c r="J10" s="114"/>
      <c r="K10" s="114"/>
      <c r="L10" s="75"/>
    </row>
    <row r="11" ht="16.5" hidden="1" spans="1:12">
      <c r="A11" s="26"/>
      <c r="B11" s="27"/>
      <c r="C11" s="27"/>
      <c r="D11" s="23"/>
      <c r="E11" s="24"/>
      <c r="F11" s="23"/>
      <c r="G11" s="23"/>
      <c r="H11" s="25"/>
      <c r="I11" s="114"/>
      <c r="J11" s="114"/>
      <c r="K11" s="114"/>
      <c r="L11" s="78"/>
    </row>
    <row r="12" ht="16.5" hidden="1" spans="1:12">
      <c r="A12" s="26"/>
      <c r="B12" s="27"/>
      <c r="C12" s="27"/>
      <c r="D12" s="23"/>
      <c r="E12" s="24"/>
      <c r="F12" s="23"/>
      <c r="G12" s="23"/>
      <c r="H12" s="25"/>
      <c r="I12" s="114"/>
      <c r="J12" s="114"/>
      <c r="K12" s="114"/>
      <c r="L12" s="78"/>
    </row>
    <row r="13" ht="16.5" hidden="1" spans="1:12">
      <c r="A13" s="19"/>
      <c r="B13" s="19"/>
      <c r="C13" s="19"/>
      <c r="D13" s="23"/>
      <c r="E13" s="24"/>
      <c r="F13" s="23"/>
      <c r="G13" s="23"/>
      <c r="H13" s="25"/>
      <c r="I13" s="114"/>
      <c r="J13" s="114"/>
      <c r="K13" s="114"/>
      <c r="L13" s="75"/>
    </row>
    <row r="14" ht="16.5" hidden="1" spans="1:12">
      <c r="A14" s="57"/>
      <c r="B14" s="57"/>
      <c r="C14" s="57"/>
      <c r="D14" s="23"/>
      <c r="E14" s="24"/>
      <c r="F14" s="23"/>
      <c r="G14" s="23"/>
      <c r="H14" s="25"/>
      <c r="I14" s="114"/>
      <c r="J14" s="114"/>
      <c r="K14" s="114"/>
      <c r="L14" s="75"/>
    </row>
    <row r="15" ht="27.75" hidden="1" customHeight="1" spans="1:12">
      <c r="A15" s="28" t="s">
        <v>31</v>
      </c>
      <c r="B15" s="29"/>
      <c r="C15" s="29">
        <v>85</v>
      </c>
      <c r="D15" s="30" t="s">
        <v>41</v>
      </c>
      <c r="E15" s="31" t="s">
        <v>63</v>
      </c>
      <c r="F15" s="30">
        <v>2</v>
      </c>
      <c r="G15" s="30" t="s">
        <v>23</v>
      </c>
      <c r="H15" s="32" t="s">
        <v>330</v>
      </c>
      <c r="I15" s="115"/>
      <c r="J15" s="115"/>
      <c r="K15" s="115"/>
      <c r="L15" s="116"/>
    </row>
    <row r="16" ht="16.5" hidden="1" spans="1:12">
      <c r="A16" s="19"/>
      <c r="B16" s="19"/>
      <c r="C16" s="19"/>
      <c r="D16" s="30" t="s">
        <v>21</v>
      </c>
      <c r="E16" s="31" t="s">
        <v>61</v>
      </c>
      <c r="F16" s="30">
        <v>2</v>
      </c>
      <c r="G16" s="30" t="s">
        <v>23</v>
      </c>
      <c r="H16" s="32" t="s">
        <v>331</v>
      </c>
      <c r="I16" s="115"/>
      <c r="J16" s="115"/>
      <c r="K16" s="115"/>
      <c r="L16" s="75"/>
    </row>
    <row r="17" ht="16.5" hidden="1" spans="1:12">
      <c r="A17" s="98"/>
      <c r="B17" s="99"/>
      <c r="C17" s="99"/>
      <c r="D17" s="30" t="s">
        <v>21</v>
      </c>
      <c r="E17" s="31" t="s">
        <v>61</v>
      </c>
      <c r="F17" s="30">
        <v>6</v>
      </c>
      <c r="G17" s="30" t="s">
        <v>23</v>
      </c>
      <c r="H17" s="32" t="s">
        <v>331</v>
      </c>
      <c r="I17" s="115"/>
      <c r="J17" s="115"/>
      <c r="K17" s="115"/>
      <c r="L17" s="116"/>
    </row>
    <row r="18" ht="16.5" hidden="1" spans="1:12">
      <c r="A18" s="19"/>
      <c r="B18" s="19"/>
      <c r="C18" s="19"/>
      <c r="D18" s="30" t="s">
        <v>21</v>
      </c>
      <c r="E18" s="31" t="s">
        <v>67</v>
      </c>
      <c r="F18" s="30">
        <v>1</v>
      </c>
      <c r="G18" s="30" t="s">
        <v>20</v>
      </c>
      <c r="H18" s="32"/>
      <c r="I18" s="115"/>
      <c r="J18" s="115"/>
      <c r="K18" s="115"/>
      <c r="L18" s="75"/>
    </row>
    <row r="19" ht="16.5" hidden="1" spans="1:12">
      <c r="A19" s="19"/>
      <c r="B19" s="19"/>
      <c r="C19" s="19"/>
      <c r="D19" s="30"/>
      <c r="E19" s="31"/>
      <c r="F19" s="30"/>
      <c r="G19" s="30"/>
      <c r="H19" s="32"/>
      <c r="I19" s="115"/>
      <c r="J19" s="115"/>
      <c r="K19" s="115"/>
      <c r="L19" s="75"/>
    </row>
    <row r="20" ht="16.5" hidden="1" spans="1:12">
      <c r="A20" s="19"/>
      <c r="B20" s="19"/>
      <c r="C20" s="19"/>
      <c r="D20" s="30"/>
      <c r="E20" s="31"/>
      <c r="F20" s="30"/>
      <c r="G20" s="30"/>
      <c r="H20" s="32"/>
      <c r="I20" s="115"/>
      <c r="J20" s="115"/>
      <c r="K20" s="115"/>
      <c r="L20" s="75"/>
    </row>
    <row r="21" ht="16.5" hidden="1" spans="1:12">
      <c r="A21" s="57"/>
      <c r="B21" s="57"/>
      <c r="C21" s="57"/>
      <c r="D21" s="30"/>
      <c r="E21" s="31"/>
      <c r="F21" s="30"/>
      <c r="G21" s="30"/>
      <c r="H21" s="32"/>
      <c r="I21" s="115"/>
      <c r="J21" s="115"/>
      <c r="K21" s="115"/>
      <c r="L21" s="75"/>
    </row>
    <row r="22" ht="16.5" hidden="1" spans="1:12">
      <c r="A22" s="33" t="s">
        <v>34</v>
      </c>
      <c r="B22" s="34"/>
      <c r="C22" s="34">
        <v>27</v>
      </c>
      <c r="D22" s="35" t="s">
        <v>18</v>
      </c>
      <c r="E22" s="35" t="s">
        <v>268</v>
      </c>
      <c r="F22" s="35">
        <v>2</v>
      </c>
      <c r="G22" s="35" t="s">
        <v>20</v>
      </c>
      <c r="H22" s="35" t="s">
        <v>332</v>
      </c>
      <c r="I22" s="117"/>
      <c r="J22" s="117"/>
      <c r="K22" s="117"/>
      <c r="L22" s="83"/>
    </row>
    <row r="23" ht="16.5" hidden="1" spans="1:12">
      <c r="A23" s="19"/>
      <c r="B23" s="19"/>
      <c r="C23" s="19"/>
      <c r="D23" s="35" t="s">
        <v>18</v>
      </c>
      <c r="E23" s="35" t="s">
        <v>38</v>
      </c>
      <c r="F23" s="35">
        <v>4</v>
      </c>
      <c r="G23" s="35" t="s">
        <v>23</v>
      </c>
      <c r="H23" s="35" t="s">
        <v>333</v>
      </c>
      <c r="I23" s="117"/>
      <c r="J23" s="117"/>
      <c r="K23" s="117"/>
      <c r="L23" s="75"/>
    </row>
    <row r="24" ht="16.5" hidden="1" spans="1:12">
      <c r="A24" s="19"/>
      <c r="B24" s="19"/>
      <c r="C24" s="19"/>
      <c r="D24" s="35" t="s">
        <v>18</v>
      </c>
      <c r="E24" s="35" t="s">
        <v>237</v>
      </c>
      <c r="F24" s="35">
        <v>1</v>
      </c>
      <c r="G24" s="35" t="s">
        <v>23</v>
      </c>
      <c r="H24" s="35" t="s">
        <v>334</v>
      </c>
      <c r="I24" s="117"/>
      <c r="J24" s="117"/>
      <c r="K24" s="117"/>
      <c r="L24" s="75"/>
    </row>
    <row r="25" ht="16.5" hidden="1" spans="1:12">
      <c r="A25" s="19"/>
      <c r="B25" s="19"/>
      <c r="C25" s="19"/>
      <c r="D25" s="35" t="s">
        <v>18</v>
      </c>
      <c r="E25" s="35" t="s">
        <v>66</v>
      </c>
      <c r="F25" s="35">
        <v>2</v>
      </c>
      <c r="G25" s="35" t="s">
        <v>23</v>
      </c>
      <c r="H25" s="35" t="s">
        <v>335</v>
      </c>
      <c r="I25" s="117"/>
      <c r="J25" s="117"/>
      <c r="K25" s="117"/>
      <c r="L25" s="75"/>
    </row>
    <row r="26" ht="16.5" hidden="1" spans="1:12">
      <c r="A26" s="19"/>
      <c r="B26" s="19"/>
      <c r="C26" s="19"/>
      <c r="D26" s="35" t="s">
        <v>21</v>
      </c>
      <c r="E26" s="36" t="s">
        <v>336</v>
      </c>
      <c r="F26" s="35">
        <v>1</v>
      </c>
      <c r="G26" s="35" t="s">
        <v>20</v>
      </c>
      <c r="H26" s="37" t="s">
        <v>337</v>
      </c>
      <c r="I26" s="117"/>
      <c r="J26" s="117"/>
      <c r="K26" s="117"/>
      <c r="L26" s="75"/>
    </row>
    <row r="27" ht="16.5" hidden="1" spans="1:12">
      <c r="A27" s="19"/>
      <c r="B27" s="19"/>
      <c r="C27" s="19"/>
      <c r="D27" s="35"/>
      <c r="E27" s="36"/>
      <c r="F27" s="35"/>
      <c r="G27" s="35"/>
      <c r="H27" s="37"/>
      <c r="I27" s="117"/>
      <c r="J27" s="117"/>
      <c r="K27" s="117"/>
      <c r="L27" s="75"/>
    </row>
    <row r="28" ht="16.5" hidden="1" spans="1:12">
      <c r="A28" s="19"/>
      <c r="B28" s="19"/>
      <c r="C28" s="19"/>
      <c r="D28" s="35" t="s">
        <v>18</v>
      </c>
      <c r="E28" s="35" t="s">
        <v>67</v>
      </c>
      <c r="F28" s="35">
        <v>2</v>
      </c>
      <c r="G28" s="35" t="s">
        <v>20</v>
      </c>
      <c r="H28" s="35" t="s">
        <v>338</v>
      </c>
      <c r="I28" s="118"/>
      <c r="J28" s="118"/>
      <c r="K28" s="118"/>
      <c r="L28" s="75"/>
    </row>
    <row r="29" ht="66" hidden="1" spans="1:12">
      <c r="A29" s="40" t="s">
        <v>40</v>
      </c>
      <c r="B29" s="41"/>
      <c r="C29" s="41">
        <v>15</v>
      </c>
      <c r="D29" s="42" t="s">
        <v>18</v>
      </c>
      <c r="E29" s="43" t="s">
        <v>133</v>
      </c>
      <c r="F29" s="42">
        <v>1</v>
      </c>
      <c r="G29" s="42" t="s">
        <v>23</v>
      </c>
      <c r="H29" s="44" t="s">
        <v>339</v>
      </c>
      <c r="I29" s="118"/>
      <c r="J29" s="118"/>
      <c r="K29" s="118"/>
      <c r="L29" s="119"/>
    </row>
    <row r="30" ht="82.5" hidden="1" spans="1:12">
      <c r="A30" s="100"/>
      <c r="B30" s="101"/>
      <c r="C30" s="101"/>
      <c r="D30" s="42" t="s">
        <v>18</v>
      </c>
      <c r="E30" s="43" t="s">
        <v>340</v>
      </c>
      <c r="F30" s="42">
        <v>1</v>
      </c>
      <c r="G30" s="42" t="s">
        <v>23</v>
      </c>
      <c r="H30" s="44" t="s">
        <v>341</v>
      </c>
      <c r="I30" s="118"/>
      <c r="J30" s="118"/>
      <c r="K30" s="118"/>
      <c r="L30" s="119"/>
    </row>
    <row r="31" ht="16.5" hidden="1" spans="1:12">
      <c r="A31" s="19"/>
      <c r="B31" s="19"/>
      <c r="C31" s="19"/>
      <c r="D31" s="42"/>
      <c r="E31" s="43"/>
      <c r="F31" s="42"/>
      <c r="G31" s="42"/>
      <c r="H31" s="44"/>
      <c r="I31" s="118"/>
      <c r="J31" s="118"/>
      <c r="K31" s="118"/>
      <c r="L31" s="75"/>
    </row>
    <row r="32" ht="16.5" hidden="1" spans="1:12">
      <c r="A32" s="19"/>
      <c r="B32" s="19"/>
      <c r="C32" s="19"/>
      <c r="D32" s="42"/>
      <c r="E32" s="43"/>
      <c r="F32" s="42"/>
      <c r="G32" s="42"/>
      <c r="H32" s="44"/>
      <c r="I32" s="118"/>
      <c r="J32" s="118"/>
      <c r="K32" s="118"/>
      <c r="L32" s="75"/>
    </row>
    <row r="33" ht="16.5" hidden="1" spans="1:12">
      <c r="A33" s="57"/>
      <c r="B33" s="57"/>
      <c r="C33" s="57"/>
      <c r="D33" s="42"/>
      <c r="E33" s="43"/>
      <c r="F33" s="42"/>
      <c r="G33" s="42"/>
      <c r="H33" s="44"/>
      <c r="I33" s="118"/>
      <c r="J33" s="118"/>
      <c r="K33" s="118"/>
      <c r="L33" s="75"/>
    </row>
    <row r="34" ht="27.75" customHeight="1" spans="1:12">
      <c r="A34" s="45" t="s">
        <v>43</v>
      </c>
      <c r="B34" s="46"/>
      <c r="C34" s="46">
        <v>41</v>
      </c>
      <c r="D34" s="47" t="s">
        <v>41</v>
      </c>
      <c r="E34" s="48" t="s">
        <v>70</v>
      </c>
      <c r="F34" s="47">
        <v>1</v>
      </c>
      <c r="G34" s="47" t="s">
        <v>23</v>
      </c>
      <c r="H34" s="49" t="s">
        <v>261</v>
      </c>
      <c r="I34" s="64"/>
      <c r="J34" s="64"/>
      <c r="K34" s="64"/>
      <c r="L34" s="120"/>
    </row>
    <row r="35" ht="27.75" customHeight="1" spans="1:12">
      <c r="A35" s="19"/>
      <c r="B35" s="19"/>
      <c r="C35" s="19"/>
      <c r="D35" s="47" t="s">
        <v>21</v>
      </c>
      <c r="E35" s="48" t="s">
        <v>69</v>
      </c>
      <c r="F35" s="47">
        <v>1</v>
      </c>
      <c r="G35" s="47" t="s">
        <v>23</v>
      </c>
      <c r="H35" s="49" t="s">
        <v>262</v>
      </c>
      <c r="I35" s="64"/>
      <c r="J35" s="64"/>
      <c r="K35" s="64"/>
      <c r="L35" s="75"/>
    </row>
    <row r="36" ht="16.5" spans="1:12">
      <c r="A36" s="19"/>
      <c r="B36" s="19"/>
      <c r="C36" s="19"/>
      <c r="D36" s="47" t="s">
        <v>41</v>
      </c>
      <c r="E36" s="48" t="s">
        <v>69</v>
      </c>
      <c r="F36" s="47">
        <v>1</v>
      </c>
      <c r="G36" s="47" t="s">
        <v>23</v>
      </c>
      <c r="H36" s="49" t="s">
        <v>262</v>
      </c>
      <c r="I36" s="64"/>
      <c r="J36" s="64"/>
      <c r="K36" s="64"/>
      <c r="L36" s="75"/>
    </row>
    <row r="37" ht="49.5" spans="1:12">
      <c r="A37" s="19"/>
      <c r="B37" s="19"/>
      <c r="C37" s="19"/>
      <c r="D37" s="47" t="s">
        <v>18</v>
      </c>
      <c r="E37" s="48" t="s">
        <v>68</v>
      </c>
      <c r="F37" s="47">
        <v>2</v>
      </c>
      <c r="G37" s="47" t="s">
        <v>23</v>
      </c>
      <c r="H37" s="49" t="s">
        <v>263</v>
      </c>
      <c r="I37" s="64"/>
      <c r="J37" s="64"/>
      <c r="K37" s="64"/>
      <c r="L37" s="75"/>
    </row>
    <row r="38" ht="42" customHeight="1" spans="1:12">
      <c r="A38" s="19"/>
      <c r="B38" s="19"/>
      <c r="C38" s="19"/>
      <c r="D38" s="47" t="s">
        <v>21</v>
      </c>
      <c r="E38" s="48" t="s">
        <v>68</v>
      </c>
      <c r="F38" s="47">
        <v>1</v>
      </c>
      <c r="G38" s="47" t="s">
        <v>20</v>
      </c>
      <c r="H38" s="49" t="s">
        <v>264</v>
      </c>
      <c r="I38" s="64"/>
      <c r="J38" s="64"/>
      <c r="K38" s="64"/>
      <c r="L38" s="75"/>
    </row>
    <row r="39" ht="42" customHeight="1" spans="1:12">
      <c r="A39" s="19"/>
      <c r="B39" s="19"/>
      <c r="C39" s="19"/>
      <c r="D39" s="47" t="s">
        <v>21</v>
      </c>
      <c r="E39" s="48" t="s">
        <v>239</v>
      </c>
      <c r="F39" s="47">
        <v>1</v>
      </c>
      <c r="G39" s="47" t="s">
        <v>23</v>
      </c>
      <c r="H39" s="49" t="s">
        <v>240</v>
      </c>
      <c r="I39" s="64"/>
      <c r="J39" s="64"/>
      <c r="K39" s="64"/>
      <c r="L39" s="75"/>
    </row>
    <row r="40" ht="16.5" spans="1:12">
      <c r="A40" s="19"/>
      <c r="B40" s="19"/>
      <c r="C40" s="19"/>
      <c r="D40" s="47" t="s">
        <v>21</v>
      </c>
      <c r="E40" s="48" t="s">
        <v>73</v>
      </c>
      <c r="F40" s="47">
        <v>1</v>
      </c>
      <c r="G40" s="47" t="s">
        <v>23</v>
      </c>
      <c r="H40" s="49" t="s">
        <v>342</v>
      </c>
      <c r="I40" s="64"/>
      <c r="J40" s="64"/>
      <c r="K40" s="64"/>
      <c r="L40" s="75"/>
    </row>
    <row r="41" ht="27.75" customHeight="1" spans="1:12">
      <c r="A41" s="19"/>
      <c r="B41" s="19"/>
      <c r="C41" s="19"/>
      <c r="D41" s="47" t="s">
        <v>18</v>
      </c>
      <c r="E41" s="48" t="s">
        <v>239</v>
      </c>
      <c r="F41" s="47">
        <v>1</v>
      </c>
      <c r="G41" s="47" t="s">
        <v>23</v>
      </c>
      <c r="H41" s="49" t="s">
        <v>240</v>
      </c>
      <c r="I41" s="64"/>
      <c r="J41" s="64"/>
      <c r="K41" s="64"/>
      <c r="L41" s="75"/>
    </row>
    <row r="42" ht="27.75" customHeight="1" spans="1:12">
      <c r="A42" s="19"/>
      <c r="B42" s="19"/>
      <c r="C42" s="19"/>
      <c r="D42" s="47" t="s">
        <v>41</v>
      </c>
      <c r="E42" s="48" t="s">
        <v>239</v>
      </c>
      <c r="F42" s="47">
        <v>1</v>
      </c>
      <c r="G42" s="47" t="s">
        <v>23</v>
      </c>
      <c r="H42" s="49" t="s">
        <v>240</v>
      </c>
      <c r="I42" s="64"/>
      <c r="J42" s="64"/>
      <c r="K42" s="64"/>
      <c r="L42" s="120"/>
    </row>
    <row r="43" ht="27.75" customHeight="1" spans="1:12">
      <c r="A43" s="19"/>
      <c r="B43" s="19"/>
      <c r="C43" s="19"/>
      <c r="D43" s="47" t="s">
        <v>21</v>
      </c>
      <c r="E43" s="48" t="s">
        <v>73</v>
      </c>
      <c r="F43" s="47">
        <v>1</v>
      </c>
      <c r="G43" s="47" t="s">
        <v>23</v>
      </c>
      <c r="H43" s="49" t="s">
        <v>342</v>
      </c>
      <c r="I43" s="64"/>
      <c r="J43" s="64"/>
      <c r="K43" s="64"/>
      <c r="L43" s="120"/>
    </row>
    <row r="44" ht="27.75" customHeight="1" spans="1:12">
      <c r="A44" s="19"/>
      <c r="B44" s="19"/>
      <c r="C44" s="19"/>
      <c r="D44" s="47" t="s">
        <v>18</v>
      </c>
      <c r="E44" s="48" t="s">
        <v>74</v>
      </c>
      <c r="F44" s="47">
        <v>2</v>
      </c>
      <c r="G44" s="47" t="s">
        <v>20</v>
      </c>
      <c r="H44" s="49" t="s">
        <v>187</v>
      </c>
      <c r="I44" s="64"/>
      <c r="J44" s="64"/>
      <c r="K44" s="64"/>
      <c r="L44" s="120"/>
    </row>
    <row r="45" ht="27.75" customHeight="1" spans="1:12">
      <c r="A45" s="102"/>
      <c r="B45" s="103"/>
      <c r="C45" s="103"/>
      <c r="D45" s="47" t="s">
        <v>21</v>
      </c>
      <c r="E45" s="48" t="s">
        <v>343</v>
      </c>
      <c r="F45" s="47">
        <v>1</v>
      </c>
      <c r="G45" s="47" t="s">
        <v>20</v>
      </c>
      <c r="H45" s="49" t="s">
        <v>344</v>
      </c>
      <c r="I45" s="64"/>
      <c r="J45" s="64"/>
      <c r="K45" s="64"/>
      <c r="L45" s="120"/>
    </row>
    <row r="46" ht="27.75" customHeight="1" spans="1:12">
      <c r="A46" s="102"/>
      <c r="B46" s="103"/>
      <c r="C46" s="103"/>
      <c r="D46" s="47" t="s">
        <v>18</v>
      </c>
      <c r="E46" s="48" t="s">
        <v>239</v>
      </c>
      <c r="F46" s="47">
        <v>1</v>
      </c>
      <c r="G46" s="47" t="s">
        <v>23</v>
      </c>
      <c r="H46" s="49" t="s">
        <v>265</v>
      </c>
      <c r="I46" s="64"/>
      <c r="J46" s="64"/>
      <c r="K46" s="64"/>
      <c r="L46" s="120"/>
    </row>
    <row r="47" ht="27.75" customHeight="1" spans="1:12">
      <c r="A47" s="102"/>
      <c r="B47" s="103"/>
      <c r="C47" s="103"/>
      <c r="D47" s="47" t="s">
        <v>21</v>
      </c>
      <c r="E47" s="48" t="s">
        <v>68</v>
      </c>
      <c r="F47" s="47">
        <v>1</v>
      </c>
      <c r="G47" s="47" t="s">
        <v>23</v>
      </c>
      <c r="H47" s="49" t="s">
        <v>265</v>
      </c>
      <c r="I47" s="64"/>
      <c r="J47" s="64"/>
      <c r="K47" s="64"/>
      <c r="L47" s="120"/>
    </row>
    <row r="48" ht="16.5" hidden="1" spans="1:12">
      <c r="A48" s="52" t="s">
        <v>49</v>
      </c>
      <c r="B48" s="53">
        <v>21</v>
      </c>
      <c r="C48" s="53">
        <v>20</v>
      </c>
      <c r="D48" s="54" t="s">
        <v>18</v>
      </c>
      <c r="E48" s="55" t="s">
        <v>276</v>
      </c>
      <c r="F48" s="54">
        <v>1</v>
      </c>
      <c r="G48" s="54" t="s">
        <v>23</v>
      </c>
      <c r="H48" s="56" t="s">
        <v>277</v>
      </c>
      <c r="I48" s="121"/>
      <c r="J48" s="121"/>
      <c r="K48" s="121"/>
      <c r="L48" s="122"/>
    </row>
    <row r="49" ht="27.75" hidden="1" customHeight="1" spans="1:12">
      <c r="A49" s="19"/>
      <c r="B49" s="19"/>
      <c r="C49" s="19"/>
      <c r="D49" s="54" t="s">
        <v>18</v>
      </c>
      <c r="E49" s="55" t="s">
        <v>251</v>
      </c>
      <c r="F49" s="54">
        <v>1</v>
      </c>
      <c r="G49" s="54" t="s">
        <v>23</v>
      </c>
      <c r="H49" s="56" t="s">
        <v>252</v>
      </c>
      <c r="I49" s="121"/>
      <c r="J49" s="121"/>
      <c r="K49" s="121"/>
      <c r="L49" s="75"/>
    </row>
    <row r="50" ht="16.5" hidden="1" spans="1:12">
      <c r="A50" s="19"/>
      <c r="B50" s="19"/>
      <c r="C50" s="19"/>
      <c r="D50" s="54" t="s">
        <v>21</v>
      </c>
      <c r="E50" s="55" t="s">
        <v>123</v>
      </c>
      <c r="F50" s="54">
        <v>1</v>
      </c>
      <c r="G50" s="54" t="s">
        <v>23</v>
      </c>
      <c r="H50" s="56" t="s">
        <v>345</v>
      </c>
      <c r="I50" s="121"/>
      <c r="J50" s="121"/>
      <c r="K50" s="121"/>
      <c r="L50" s="75"/>
    </row>
    <row r="51" ht="16.5" hidden="1" spans="1:12">
      <c r="A51" s="19"/>
      <c r="B51" s="19"/>
      <c r="C51" s="19"/>
      <c r="D51" s="54" t="s">
        <v>18</v>
      </c>
      <c r="E51" s="55" t="s">
        <v>119</v>
      </c>
      <c r="F51" s="54">
        <v>1</v>
      </c>
      <c r="G51" s="54" t="s">
        <v>23</v>
      </c>
      <c r="H51" s="56" t="s">
        <v>253</v>
      </c>
      <c r="I51" s="121"/>
      <c r="J51" s="121"/>
      <c r="K51" s="121"/>
      <c r="L51" s="75"/>
    </row>
    <row r="52" ht="26.25" hidden="1" customHeight="1" spans="1:12">
      <c r="A52" s="104"/>
      <c r="B52" s="105"/>
      <c r="C52" s="105"/>
      <c r="D52" s="54" t="s">
        <v>18</v>
      </c>
      <c r="E52" s="55" t="s">
        <v>176</v>
      </c>
      <c r="F52" s="54">
        <v>1</v>
      </c>
      <c r="G52" s="54" t="s">
        <v>23</v>
      </c>
      <c r="H52" s="56" t="s">
        <v>124</v>
      </c>
      <c r="I52" s="121"/>
      <c r="J52" s="121"/>
      <c r="K52" s="121"/>
      <c r="L52" s="122"/>
    </row>
    <row r="53" ht="55.5" hidden="1" customHeight="1" spans="1:12">
      <c r="A53" s="57"/>
      <c r="B53" s="57"/>
      <c r="C53" s="57"/>
      <c r="D53" s="54" t="s">
        <v>41</v>
      </c>
      <c r="E53" s="55" t="s">
        <v>254</v>
      </c>
      <c r="F53" s="54">
        <v>1</v>
      </c>
      <c r="G53" s="54" t="s">
        <v>23</v>
      </c>
      <c r="H53" s="56" t="s">
        <v>227</v>
      </c>
      <c r="I53" s="121"/>
      <c r="J53" s="121"/>
      <c r="K53" s="121"/>
      <c r="L53" s="75"/>
    </row>
    <row r="54" ht="16.5" hidden="1" spans="1:12">
      <c r="A54" s="58" t="s">
        <v>50</v>
      </c>
      <c r="B54" s="59">
        <v>7</v>
      </c>
      <c r="C54" s="59">
        <v>7</v>
      </c>
      <c r="D54" s="58"/>
      <c r="E54" s="59"/>
      <c r="F54" s="58"/>
      <c r="G54" s="58"/>
      <c r="H54" s="60"/>
      <c r="I54" s="123"/>
      <c r="J54" s="123"/>
      <c r="K54" s="123"/>
      <c r="L54" s="124">
        <v>7</v>
      </c>
    </row>
    <row r="55" ht="17.25" hidden="1" spans="1:12">
      <c r="A55" s="106"/>
      <c r="B55" s="107"/>
      <c r="C55" s="107">
        <f>SUM(C4:C54)</f>
        <v>317</v>
      </c>
      <c r="D55" s="106"/>
      <c r="E55" s="107"/>
      <c r="F55" s="106">
        <f>SUM(F4:F53)</f>
        <v>61</v>
      </c>
      <c r="G55" s="106"/>
      <c r="H55" s="108"/>
      <c r="I55" s="125"/>
      <c r="J55" s="125"/>
      <c r="K55" s="125"/>
      <c r="L55" s="126">
        <f>SUM(L4:L54)</f>
        <v>7</v>
      </c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1:7">
      <c r="A63" s="65"/>
      <c r="B63" s="1"/>
      <c r="C63" s="1"/>
      <c r="D63" s="66"/>
      <c r="E63" s="1"/>
      <c r="F63" s="66"/>
      <c r="G63" s="66"/>
    </row>
    <row r="64" ht="16.5" spans="1:7">
      <c r="A64" s="65"/>
      <c r="B64" s="1"/>
      <c r="C64" s="1"/>
      <c r="D64" s="66"/>
      <c r="E64" s="1"/>
      <c r="F64" s="66"/>
      <c r="G64" s="66"/>
    </row>
    <row r="65" ht="16.5" spans="1:7">
      <c r="A65" s="65"/>
      <c r="B65" s="1"/>
      <c r="C65" s="1"/>
      <c r="D65" s="66"/>
      <c r="E65" s="1"/>
      <c r="F65" s="66"/>
      <c r="G65" s="66"/>
    </row>
    <row r="66" ht="16.5" spans="1:7">
      <c r="A66" s="65"/>
      <c r="B66" s="1"/>
      <c r="C66" s="1"/>
      <c r="D66" s="66"/>
      <c r="E66" s="1"/>
      <c r="F66" s="66"/>
      <c r="G66" s="66"/>
    </row>
    <row r="67" ht="16.5" spans="1:7">
      <c r="A67" s="65"/>
      <c r="B67" s="1"/>
      <c r="C67" s="1"/>
      <c r="D67" s="66"/>
      <c r="E67" s="1"/>
      <c r="F67" s="66"/>
      <c r="G67" s="66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6"/>
      <c r="E208" s="1"/>
      <c r="F208" s="66"/>
      <c r="G208" s="66"/>
    </row>
    <row r="209" ht="16.5" spans="1:7">
      <c r="A209" s="65"/>
      <c r="B209" s="1"/>
      <c r="C209" s="1"/>
      <c r="D209" s="66"/>
      <c r="E209" s="1"/>
      <c r="F209" s="66"/>
      <c r="G209" s="66"/>
    </row>
    <row r="210" ht="16.5" spans="1:7">
      <c r="A210" s="65"/>
      <c r="B210" s="1"/>
      <c r="C210" s="1"/>
      <c r="D210" s="66"/>
      <c r="E210" s="1"/>
      <c r="F210" s="66"/>
      <c r="G210" s="66"/>
    </row>
    <row r="211" ht="16.5" spans="1:7">
      <c r="A211" s="65"/>
      <c r="B211" s="1"/>
      <c r="C211" s="1"/>
      <c r="D211" s="66"/>
      <c r="E211" s="1"/>
      <c r="F211" s="66"/>
      <c r="G211" s="66"/>
    </row>
    <row r="212" ht="16.5" spans="1:7">
      <c r="A212" s="65"/>
      <c r="B212" s="1"/>
      <c r="C212" s="1"/>
      <c r="D212" s="66"/>
      <c r="E212" s="1"/>
      <c r="F212" s="66"/>
      <c r="G212" s="66"/>
    </row>
    <row r="213" ht="16.5" spans="1:7">
      <c r="A213" s="65"/>
      <c r="B213" s="1"/>
      <c r="C213" s="1"/>
      <c r="D213" s="66"/>
      <c r="E213" s="1"/>
      <c r="F213" s="66"/>
      <c r="G213" s="66"/>
    </row>
    <row r="214" ht="16.5" spans="1:7">
      <c r="A214" s="65"/>
      <c r="B214" s="1"/>
      <c r="C214" s="1"/>
      <c r="D214" s="66"/>
      <c r="E214" s="1"/>
      <c r="F214" s="66"/>
      <c r="G214" s="66"/>
    </row>
    <row r="215" ht="16.5" spans="1:7">
      <c r="A215" s="65"/>
      <c r="B215" s="1"/>
      <c r="C215" s="1"/>
      <c r="D215" s="66"/>
      <c r="E215" s="1"/>
      <c r="F215" s="66"/>
      <c r="G215" s="66"/>
    </row>
    <row r="216" ht="16.5" spans="1:7">
      <c r="A216" s="65"/>
      <c r="B216" s="1"/>
      <c r="C216" s="1"/>
      <c r="D216" s="66"/>
      <c r="E216" s="1"/>
      <c r="F216" s="66"/>
      <c r="G216" s="66"/>
    </row>
    <row r="217" ht="16.5" spans="1:7">
      <c r="A217" s="65"/>
      <c r="B217" s="1"/>
      <c r="C217" s="1"/>
      <c r="D217" s="66"/>
      <c r="E217" s="1"/>
      <c r="F217" s="66"/>
      <c r="G217" s="66"/>
    </row>
    <row r="218" ht="16.5" spans="1:7">
      <c r="A218" s="65"/>
      <c r="B218" s="1"/>
      <c r="C218" s="1"/>
      <c r="D218" s="66"/>
      <c r="E218" s="1"/>
      <c r="F218" s="66"/>
      <c r="G218" s="66"/>
    </row>
    <row r="219" ht="16.5" spans="1:7">
      <c r="A219" s="65"/>
      <c r="B219" s="1"/>
      <c r="C219" s="1"/>
      <c r="D219" s="66"/>
      <c r="E219" s="1"/>
      <c r="F219" s="66"/>
      <c r="G219" s="66"/>
    </row>
    <row r="220" ht="16.5" spans="1:7">
      <c r="A220" s="65"/>
      <c r="B220" s="1"/>
      <c r="C220" s="1"/>
      <c r="D220" s="66"/>
      <c r="E220" s="1"/>
      <c r="F220" s="66"/>
      <c r="G220" s="66"/>
    </row>
    <row r="221" ht="16.5" spans="1:7">
      <c r="A221" s="65"/>
      <c r="B221" s="1"/>
      <c r="C221" s="1"/>
      <c r="D221" s="66"/>
      <c r="E221" s="1"/>
      <c r="F221" s="66"/>
      <c r="G221" s="66"/>
    </row>
    <row r="222" ht="16.5" spans="1:7">
      <c r="A222" s="65"/>
      <c r="B222" s="1"/>
      <c r="C222" s="1"/>
      <c r="D222" s="66"/>
      <c r="E222" s="1"/>
      <c r="F222" s="66"/>
      <c r="G222" s="66"/>
    </row>
    <row r="223" ht="16.5" spans="1:7">
      <c r="A223" s="65"/>
      <c r="B223" s="1"/>
      <c r="C223" s="1"/>
      <c r="D223" s="66"/>
      <c r="E223" s="1"/>
      <c r="F223" s="66"/>
      <c r="G223" s="66"/>
    </row>
    <row r="224" ht="16.5" spans="1:7">
      <c r="A224" s="65"/>
      <c r="B224" s="1"/>
      <c r="C224" s="1"/>
      <c r="D224" s="66"/>
      <c r="E224" s="1"/>
      <c r="F224" s="66"/>
      <c r="G224" s="66"/>
    </row>
    <row r="225" ht="16.5" spans="1:7">
      <c r="A225" s="65"/>
      <c r="B225" s="1"/>
      <c r="C225" s="1"/>
      <c r="D225" s="66"/>
      <c r="E225" s="1"/>
      <c r="F225" s="66"/>
      <c r="G225" s="66"/>
    </row>
    <row r="226" ht="16.5" spans="1:7">
      <c r="A226" s="65"/>
      <c r="B226" s="1"/>
      <c r="C226" s="1"/>
      <c r="D226" s="66"/>
      <c r="E226" s="1"/>
      <c r="F226" s="66"/>
      <c r="G226" s="66"/>
    </row>
    <row r="227" ht="16.5" spans="1:7">
      <c r="A227" s="65"/>
      <c r="B227" s="1"/>
      <c r="C227" s="1"/>
      <c r="D227" s="66"/>
      <c r="E227" s="1"/>
      <c r="F227" s="66"/>
      <c r="G227" s="66"/>
    </row>
    <row r="228" ht="16.5" spans="1:7">
      <c r="A228" s="65"/>
      <c r="B228" s="1"/>
      <c r="C228" s="1"/>
      <c r="D228" s="66"/>
      <c r="E228" s="1"/>
      <c r="F228" s="66"/>
      <c r="G228" s="66"/>
    </row>
    <row r="229" ht="16.5" spans="1:7">
      <c r="A229" s="65"/>
      <c r="B229" s="1"/>
      <c r="C229" s="1"/>
      <c r="D229" s="66"/>
      <c r="E229" s="1"/>
      <c r="F229" s="66"/>
      <c r="G229" s="66"/>
    </row>
    <row r="230" ht="16.5" spans="1:7">
      <c r="A230" s="65"/>
      <c r="B230" s="1"/>
      <c r="C230" s="1"/>
      <c r="D230" s="66"/>
      <c r="E230" s="1"/>
      <c r="F230" s="66"/>
      <c r="G230" s="66"/>
    </row>
    <row r="231" ht="16.5" spans="1:7">
      <c r="A231" s="65"/>
      <c r="B231" s="1"/>
      <c r="C231" s="1"/>
      <c r="D231" s="66"/>
      <c r="E231" s="1"/>
      <c r="F231" s="66"/>
      <c r="G231" s="66"/>
    </row>
    <row r="232" ht="16.5" spans="1:7">
      <c r="A232" s="65"/>
      <c r="B232" s="1"/>
      <c r="C232" s="1"/>
      <c r="D232" s="66"/>
      <c r="E232" s="1"/>
      <c r="F232" s="66"/>
      <c r="G232" s="66"/>
    </row>
    <row r="233" ht="16.5" spans="1:7">
      <c r="A233" s="65"/>
      <c r="B233" s="1"/>
      <c r="C233" s="1"/>
      <c r="D233" s="66"/>
      <c r="E233" s="1"/>
      <c r="F233" s="66"/>
      <c r="G233" s="66"/>
    </row>
    <row r="234" ht="16.5" spans="1:7">
      <c r="A234" s="65"/>
      <c r="B234" s="1"/>
      <c r="C234" s="1"/>
      <c r="D234" s="66"/>
      <c r="E234" s="1"/>
      <c r="F234" s="66"/>
      <c r="G234" s="66"/>
    </row>
    <row r="235" ht="16.5" spans="1:7">
      <c r="A235" s="65"/>
      <c r="B235" s="1"/>
      <c r="C235" s="1"/>
      <c r="D235" s="66"/>
      <c r="E235" s="1"/>
      <c r="F235" s="66"/>
      <c r="G235" s="66"/>
    </row>
    <row r="236" ht="16.5" spans="1:7">
      <c r="A236" s="65"/>
      <c r="B236" s="1"/>
      <c r="C236" s="1"/>
      <c r="D236" s="66"/>
      <c r="E236" s="1"/>
      <c r="F236" s="66"/>
      <c r="G236" s="66"/>
    </row>
    <row r="237" ht="16.5" spans="1:7">
      <c r="A237" s="65"/>
      <c r="B237" s="1"/>
      <c r="C237" s="1"/>
      <c r="D237" s="66"/>
      <c r="E237" s="1"/>
      <c r="F237" s="66"/>
      <c r="G237" s="66"/>
    </row>
    <row r="238" ht="16.5" spans="1:7">
      <c r="A238" s="65"/>
      <c r="B238" s="1"/>
      <c r="C238" s="1"/>
      <c r="D238" s="66"/>
      <c r="E238" s="1"/>
      <c r="F238" s="66"/>
      <c r="G238" s="66"/>
    </row>
    <row r="239" ht="16.5" spans="1:7">
      <c r="A239" s="65"/>
      <c r="B239" s="1"/>
      <c r="C239" s="1"/>
      <c r="D239" s="66"/>
      <c r="E239" s="1"/>
      <c r="F239" s="66"/>
      <c r="G239" s="66"/>
    </row>
    <row r="240" ht="16.5" spans="1:7">
      <c r="A240" s="65"/>
      <c r="B240" s="1"/>
      <c r="C240" s="1"/>
      <c r="D240" s="66"/>
      <c r="E240" s="1"/>
      <c r="F240" s="66"/>
      <c r="G240" s="66"/>
    </row>
    <row r="241" ht="16.5" spans="1:7">
      <c r="A241" s="65"/>
      <c r="B241" s="1"/>
      <c r="C241" s="1"/>
      <c r="D241" s="65"/>
      <c r="E241" s="1"/>
      <c r="F241" s="1"/>
      <c r="G241" s="65"/>
    </row>
    <row r="242" ht="16.5" spans="1:7">
      <c r="A242" s="65"/>
      <c r="B242" s="1"/>
      <c r="C242" s="1"/>
      <c r="D242" s="65"/>
      <c r="E242" s="1"/>
      <c r="F242" s="1"/>
      <c r="G242" s="65"/>
    </row>
  </sheetData>
  <autoFilter xmlns:etc="http://www.wps.cn/officeDocument/2017/etCustomData" ref="A3:L55" etc:filterBottomFollowUsedRange="0">
    <filterColumn colId="0">
      <customFilters>
        <customFilter operator="equal" val="培训部"/>
      </customFilters>
    </filterColumn>
    <extLst/>
  </autoFilter>
  <mergeCells count="32">
    <mergeCell ref="A1:H1"/>
    <mergeCell ref="J1:L1"/>
    <mergeCell ref="A2:H2"/>
    <mergeCell ref="I2:L2"/>
    <mergeCell ref="A4:A7"/>
    <mergeCell ref="A9:A14"/>
    <mergeCell ref="A15:A21"/>
    <mergeCell ref="A22:A28"/>
    <mergeCell ref="A29:A33"/>
    <mergeCell ref="A34:A47"/>
    <mergeCell ref="A48:A53"/>
    <mergeCell ref="B4:B7"/>
    <mergeCell ref="B9:B14"/>
    <mergeCell ref="B15:B21"/>
    <mergeCell ref="B22:B28"/>
    <mergeCell ref="B29:B33"/>
    <mergeCell ref="B34:B47"/>
    <mergeCell ref="B48:B53"/>
    <mergeCell ref="C4:C7"/>
    <mergeCell ref="C9:C14"/>
    <mergeCell ref="C15:C21"/>
    <mergeCell ref="C22:C28"/>
    <mergeCell ref="C29:C33"/>
    <mergeCell ref="C34:C47"/>
    <mergeCell ref="C48:C53"/>
    <mergeCell ref="L4:L7"/>
    <mergeCell ref="L9:L14"/>
    <mergeCell ref="L15:L21"/>
    <mergeCell ref="L22:L28"/>
    <mergeCell ref="L29:L33"/>
    <mergeCell ref="L34:L41"/>
    <mergeCell ref="L48:L53"/>
  </mergeCells>
  <dataValidations count="3">
    <dataValidation type="list" allowBlank="1" showInputMessage="1" showErrorMessage="1" sqref="A3:A1048576">
      <formula1>"自孵部,签约部,培训部,外采部,商务部,运营中台,总经办+财务部,财务部,技术部,"</formula1>
    </dataValidation>
    <dataValidation type="list" allowBlank="1" showInputMessage="1" showErrorMessage="1" sqref="D3:D1048576">
      <formula1>"新增需求,替补需求,储备需求,上个月未交付延期本月,"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-1"/>
  <dimension ref="A1:L229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14" defaultRowHeight="18" customHeight="1"/>
  <cols>
    <col min="1" max="1" width="16.7238095238095" style="1" customWidth="1"/>
    <col min="2" max="3" width="24.0095238095238" style="1" customWidth="1"/>
    <col min="4" max="5" width="13.8952380952381" style="1" customWidth="1"/>
    <col min="6" max="7" width="10.9238095238095" style="1" customWidth="1"/>
    <col min="8" max="8" width="62.4571428571429" style="2" customWidth="1"/>
    <col min="9" max="11" width="13.6761904761905" style="3"/>
    <col min="12" max="12" width="15.3714285714286" style="3" customWidth="1"/>
    <col min="13" max="25" width="13.6761904761905" style="4"/>
  </cols>
  <sheetData>
    <row r="1" ht="122.25" customHeight="1" spans="1:10">
      <c r="A1" s="5" t="s">
        <v>346</v>
      </c>
      <c r="B1" s="6"/>
      <c r="I1" s="67"/>
      <c r="J1" s="67" t="s">
        <v>347</v>
      </c>
    </row>
    <row r="2" ht="25.5" customHeight="1" spans="1:12">
      <c r="A2" s="7" t="s">
        <v>348</v>
      </c>
      <c r="B2" s="8"/>
      <c r="C2" s="8"/>
      <c r="D2" s="8"/>
      <c r="E2" s="9"/>
      <c r="F2" s="9"/>
      <c r="G2" s="9"/>
      <c r="H2" s="10"/>
      <c r="I2" s="68" t="s">
        <v>349</v>
      </c>
      <c r="J2" s="69"/>
      <c r="K2" s="69"/>
      <c r="L2" s="70"/>
    </row>
    <row r="3" ht="19.5" customHeight="1" spans="1:12">
      <c r="A3" s="11" t="s">
        <v>4</v>
      </c>
      <c r="B3" s="11" t="s">
        <v>350</v>
      </c>
      <c r="C3" s="11" t="s">
        <v>351</v>
      </c>
      <c r="D3" s="12" t="s">
        <v>18</v>
      </c>
      <c r="E3" s="11" t="s">
        <v>8</v>
      </c>
      <c r="F3" s="11" t="s">
        <v>9</v>
      </c>
      <c r="G3" s="11" t="s">
        <v>10</v>
      </c>
      <c r="H3" s="13" t="s">
        <v>11</v>
      </c>
      <c r="I3" s="71" t="s">
        <v>12</v>
      </c>
      <c r="J3" s="71" t="s">
        <v>13</v>
      </c>
      <c r="K3" s="71" t="s">
        <v>14</v>
      </c>
      <c r="L3" s="72" t="s">
        <v>352</v>
      </c>
    </row>
    <row r="4" ht="16.5" spans="1:12">
      <c r="A4" s="14" t="s">
        <v>16</v>
      </c>
      <c r="B4" s="15">
        <f>235.24/57</f>
        <v>4.12701754385965</v>
      </c>
      <c r="C4" s="15">
        <v>57</v>
      </c>
      <c r="D4" s="16" t="s">
        <v>18</v>
      </c>
      <c r="E4" s="17" t="s">
        <v>19</v>
      </c>
      <c r="F4" s="16">
        <v>2</v>
      </c>
      <c r="G4" s="16" t="s">
        <v>20</v>
      </c>
      <c r="H4" s="18" t="s">
        <v>353</v>
      </c>
      <c r="I4" s="73">
        <v>3</v>
      </c>
      <c r="J4" s="73">
        <v>4</v>
      </c>
      <c r="K4" s="73">
        <v>1</v>
      </c>
      <c r="L4" s="74">
        <v>59</v>
      </c>
    </row>
    <row r="5" ht="16.5" spans="1:12">
      <c r="A5" s="19"/>
      <c r="B5" s="19"/>
      <c r="C5" s="19"/>
      <c r="D5" s="16" t="s">
        <v>18</v>
      </c>
      <c r="E5" s="17" t="s">
        <v>354</v>
      </c>
      <c r="F5" s="20">
        <v>2</v>
      </c>
      <c r="G5" s="16" t="s">
        <v>23</v>
      </c>
      <c r="H5" s="18" t="s">
        <v>329</v>
      </c>
      <c r="I5" s="73">
        <v>1</v>
      </c>
      <c r="J5" s="73">
        <v>1</v>
      </c>
      <c r="K5" s="73">
        <v>0</v>
      </c>
      <c r="L5" s="75"/>
    </row>
    <row r="6" ht="16.5" spans="1:12">
      <c r="A6" s="19"/>
      <c r="B6" s="19"/>
      <c r="C6" s="19"/>
      <c r="D6" s="16" t="s">
        <v>21</v>
      </c>
      <c r="E6" s="17" t="s">
        <v>19</v>
      </c>
      <c r="F6" s="20">
        <v>1</v>
      </c>
      <c r="G6" s="16" t="s">
        <v>20</v>
      </c>
      <c r="H6" s="18" t="s">
        <v>328</v>
      </c>
      <c r="I6" s="73">
        <v>0</v>
      </c>
      <c r="J6" s="73">
        <v>0</v>
      </c>
      <c r="K6" s="73">
        <v>0</v>
      </c>
      <c r="L6" s="75"/>
    </row>
    <row r="7" ht="16.5" spans="1:12">
      <c r="A7" s="19"/>
      <c r="B7" s="19"/>
      <c r="C7" s="19"/>
      <c r="D7" s="16" t="s">
        <v>21</v>
      </c>
      <c r="E7" s="17" t="s">
        <v>22</v>
      </c>
      <c r="F7" s="20">
        <v>1</v>
      </c>
      <c r="G7" s="16" t="s">
        <v>23</v>
      </c>
      <c r="H7" s="18" t="s">
        <v>329</v>
      </c>
      <c r="I7" s="73">
        <v>0</v>
      </c>
      <c r="J7" s="73">
        <v>0</v>
      </c>
      <c r="K7" s="73">
        <v>2</v>
      </c>
      <c r="L7" s="75"/>
    </row>
    <row r="8" ht="16.5" spans="1:12">
      <c r="A8" s="19"/>
      <c r="B8" s="19"/>
      <c r="C8" s="19"/>
      <c r="D8" s="16" t="s">
        <v>21</v>
      </c>
      <c r="E8" s="17" t="s">
        <v>24</v>
      </c>
      <c r="F8" s="16">
        <v>3</v>
      </c>
      <c r="G8" s="16" t="s">
        <v>20</v>
      </c>
      <c r="H8" s="18" t="s">
        <v>244</v>
      </c>
      <c r="I8" s="73">
        <v>0</v>
      </c>
      <c r="J8" s="73">
        <v>0</v>
      </c>
      <c r="K8" s="73">
        <v>0</v>
      </c>
      <c r="L8" s="75"/>
    </row>
    <row r="9" ht="16.5" spans="1:12">
      <c r="A9" s="21" t="s">
        <v>25</v>
      </c>
      <c r="B9" s="22">
        <f>498.39256/69</f>
        <v>7.22308057971015</v>
      </c>
      <c r="C9" s="22">
        <v>69</v>
      </c>
      <c r="D9" s="23" t="s">
        <v>18</v>
      </c>
      <c r="E9" s="24" t="s">
        <v>57</v>
      </c>
      <c r="F9" s="23">
        <v>5</v>
      </c>
      <c r="G9" s="23" t="s">
        <v>30</v>
      </c>
      <c r="H9" s="25"/>
      <c r="I9" s="76">
        <v>9</v>
      </c>
      <c r="J9" s="76">
        <v>10</v>
      </c>
      <c r="K9" s="76">
        <v>17</v>
      </c>
      <c r="L9" s="77">
        <v>63</v>
      </c>
    </row>
    <row r="10" ht="16.5" spans="1:12">
      <c r="A10" s="19"/>
      <c r="B10" s="19"/>
      <c r="C10" s="19"/>
      <c r="D10" s="23" t="s">
        <v>18</v>
      </c>
      <c r="E10" s="24" t="s">
        <v>59</v>
      </c>
      <c r="F10" s="23">
        <v>3</v>
      </c>
      <c r="G10" s="23" t="s">
        <v>23</v>
      </c>
      <c r="H10" s="25"/>
      <c r="I10" s="76">
        <v>1</v>
      </c>
      <c r="J10" s="76">
        <v>2</v>
      </c>
      <c r="K10" s="76">
        <v>2</v>
      </c>
      <c r="L10" s="75"/>
    </row>
    <row r="11" ht="16.5" spans="1:12">
      <c r="A11" s="26"/>
      <c r="B11" s="27"/>
      <c r="C11" s="27"/>
      <c r="D11" s="23"/>
      <c r="E11" s="24" t="s">
        <v>355</v>
      </c>
      <c r="F11" s="23">
        <v>1</v>
      </c>
      <c r="G11" s="23" t="s">
        <v>23</v>
      </c>
      <c r="H11" s="25"/>
      <c r="I11" s="76">
        <v>0</v>
      </c>
      <c r="J11" s="76">
        <v>1</v>
      </c>
      <c r="K11" s="76">
        <v>0</v>
      </c>
      <c r="L11" s="78"/>
    </row>
    <row r="12" ht="16.5" spans="1:12">
      <c r="A12" s="26"/>
      <c r="B12" s="27"/>
      <c r="C12" s="27"/>
      <c r="D12" s="23"/>
      <c r="E12" s="24" t="s">
        <v>110</v>
      </c>
      <c r="F12" s="23">
        <v>1</v>
      </c>
      <c r="G12" s="23" t="s">
        <v>30</v>
      </c>
      <c r="H12" s="25"/>
      <c r="I12" s="76">
        <v>1</v>
      </c>
      <c r="J12" s="76">
        <v>1</v>
      </c>
      <c r="K12" s="76">
        <v>2</v>
      </c>
      <c r="L12" s="78"/>
    </row>
    <row r="13" ht="27.75" customHeight="1" spans="1:12">
      <c r="A13" s="28" t="s">
        <v>31</v>
      </c>
      <c r="B13" s="29">
        <v>89</v>
      </c>
      <c r="C13" s="29">
        <v>89</v>
      </c>
      <c r="D13" s="30" t="s">
        <v>18</v>
      </c>
      <c r="E13" s="31" t="s">
        <v>268</v>
      </c>
      <c r="F13" s="30">
        <v>3</v>
      </c>
      <c r="G13" s="30" t="s">
        <v>20</v>
      </c>
      <c r="H13" s="32" t="s">
        <v>356</v>
      </c>
      <c r="I13" s="79">
        <v>0</v>
      </c>
      <c r="J13" s="79">
        <v>1</v>
      </c>
      <c r="K13" s="79">
        <v>2</v>
      </c>
      <c r="L13" s="80">
        <v>85</v>
      </c>
    </row>
    <row r="14" ht="16.5" spans="1:12">
      <c r="A14" s="19"/>
      <c r="B14" s="19"/>
      <c r="C14" s="19"/>
      <c r="D14" s="30" t="s">
        <v>18</v>
      </c>
      <c r="E14" s="31" t="s">
        <v>67</v>
      </c>
      <c r="F14" s="30">
        <v>1</v>
      </c>
      <c r="G14" s="30" t="s">
        <v>20</v>
      </c>
      <c r="H14" s="32" t="s">
        <v>357</v>
      </c>
      <c r="I14" s="79">
        <v>2</v>
      </c>
      <c r="J14" s="79">
        <v>2</v>
      </c>
      <c r="K14" s="79">
        <v>3</v>
      </c>
      <c r="L14" s="75"/>
    </row>
    <row r="15" ht="16.5" spans="1:12">
      <c r="A15" s="19"/>
      <c r="B15" s="19"/>
      <c r="C15" s="19"/>
      <c r="D15" s="30" t="s">
        <v>21</v>
      </c>
      <c r="E15" s="31" t="s">
        <v>67</v>
      </c>
      <c r="F15" s="30">
        <v>1</v>
      </c>
      <c r="G15" s="30" t="s">
        <v>20</v>
      </c>
      <c r="H15" s="32"/>
      <c r="I15" s="79"/>
      <c r="J15" s="79"/>
      <c r="K15" s="79"/>
      <c r="L15" s="75"/>
    </row>
    <row r="16" ht="16.5" spans="1:12">
      <c r="A16" s="33" t="s">
        <v>34</v>
      </c>
      <c r="B16" s="34">
        <f>57.07/23</f>
        <v>2.48130434782609</v>
      </c>
      <c r="C16" s="34">
        <v>23</v>
      </c>
      <c r="D16" s="35" t="s">
        <v>18</v>
      </c>
      <c r="E16" s="36" t="s">
        <v>268</v>
      </c>
      <c r="F16" s="35">
        <v>3</v>
      </c>
      <c r="G16" s="35" t="s">
        <v>20</v>
      </c>
      <c r="H16" s="37" t="s">
        <v>358</v>
      </c>
      <c r="I16" s="81">
        <v>1</v>
      </c>
      <c r="J16" s="81">
        <v>1</v>
      </c>
      <c r="K16" s="81">
        <v>1</v>
      </c>
      <c r="L16" s="82">
        <v>27</v>
      </c>
    </row>
    <row r="17" ht="16.5" spans="1:12">
      <c r="A17" s="19"/>
      <c r="B17" s="19"/>
      <c r="C17" s="19"/>
      <c r="D17" s="35" t="s">
        <v>18</v>
      </c>
      <c r="E17" s="36" t="s">
        <v>38</v>
      </c>
      <c r="F17" s="35">
        <v>4</v>
      </c>
      <c r="G17" s="35" t="s">
        <v>30</v>
      </c>
      <c r="H17" s="37"/>
      <c r="I17" s="81">
        <v>4</v>
      </c>
      <c r="J17" s="81">
        <v>3</v>
      </c>
      <c r="K17" s="81">
        <v>0</v>
      </c>
      <c r="L17" s="75"/>
    </row>
    <row r="18" ht="16.5" spans="1:12">
      <c r="A18" s="19"/>
      <c r="B18" s="19"/>
      <c r="C18" s="19"/>
      <c r="D18" s="35" t="s">
        <v>18</v>
      </c>
      <c r="E18" s="36" t="s">
        <v>359</v>
      </c>
      <c r="F18" s="35">
        <v>1</v>
      </c>
      <c r="G18" s="35" t="s">
        <v>23</v>
      </c>
      <c r="H18" s="37"/>
      <c r="I18" s="81">
        <v>0</v>
      </c>
      <c r="J18" s="81">
        <v>0</v>
      </c>
      <c r="K18" s="81">
        <v>0</v>
      </c>
      <c r="L18" s="75"/>
    </row>
    <row r="19" ht="16.5" spans="1:12">
      <c r="A19" s="38"/>
      <c r="B19" s="39"/>
      <c r="C19" s="39"/>
      <c r="D19" s="35" t="s">
        <v>18</v>
      </c>
      <c r="E19" s="36" t="s">
        <v>67</v>
      </c>
      <c r="F19" s="35">
        <v>1</v>
      </c>
      <c r="G19" s="35" t="s">
        <v>20</v>
      </c>
      <c r="H19" s="37"/>
      <c r="I19" s="81">
        <v>1</v>
      </c>
      <c r="J19" s="81">
        <v>1</v>
      </c>
      <c r="K19" s="81">
        <v>0</v>
      </c>
      <c r="L19" s="83"/>
    </row>
    <row r="20" ht="16.5" spans="1:12">
      <c r="A20" s="19"/>
      <c r="B20" s="19"/>
      <c r="C20" s="19"/>
      <c r="D20" s="35" t="s">
        <v>21</v>
      </c>
      <c r="E20" s="36" t="s">
        <v>336</v>
      </c>
      <c r="F20" s="35">
        <v>1</v>
      </c>
      <c r="G20" s="35" t="s">
        <v>20</v>
      </c>
      <c r="H20" s="37" t="s">
        <v>337</v>
      </c>
      <c r="I20" s="81">
        <v>0</v>
      </c>
      <c r="J20" s="81">
        <v>0</v>
      </c>
      <c r="K20" s="81">
        <v>0</v>
      </c>
      <c r="L20" s="75"/>
    </row>
    <row r="21" ht="16.5" spans="1:12">
      <c r="A21" s="40" t="s">
        <v>40</v>
      </c>
      <c r="B21" s="41">
        <v>18</v>
      </c>
      <c r="C21" s="41">
        <v>18</v>
      </c>
      <c r="D21" s="42" t="s">
        <v>18</v>
      </c>
      <c r="E21" s="43" t="s">
        <v>360</v>
      </c>
      <c r="F21" s="42">
        <v>1</v>
      </c>
      <c r="G21" s="42" t="s">
        <v>23</v>
      </c>
      <c r="H21" s="44" t="s">
        <v>361</v>
      </c>
      <c r="I21" s="84">
        <v>1</v>
      </c>
      <c r="J21" s="84">
        <v>1</v>
      </c>
      <c r="K21" s="84">
        <v>2</v>
      </c>
      <c r="L21" s="85">
        <v>15</v>
      </c>
    </row>
    <row r="22" ht="27.75" customHeight="1" spans="1:12">
      <c r="A22" s="45" t="s">
        <v>43</v>
      </c>
      <c r="B22" s="46">
        <f>68.40188/36</f>
        <v>1.90005222222222</v>
      </c>
      <c r="C22" s="46">
        <v>36</v>
      </c>
      <c r="D22" s="47" t="s">
        <v>18</v>
      </c>
      <c r="E22" s="48" t="s">
        <v>69</v>
      </c>
      <c r="F22" s="47">
        <v>1</v>
      </c>
      <c r="G22" s="47" t="s">
        <v>23</v>
      </c>
      <c r="H22" s="49" t="s">
        <v>262</v>
      </c>
      <c r="I22" s="86">
        <v>1</v>
      </c>
      <c r="J22" s="86">
        <v>1</v>
      </c>
      <c r="K22" s="86">
        <v>0</v>
      </c>
      <c r="L22" s="87">
        <v>41</v>
      </c>
    </row>
    <row r="23" ht="27.75" customHeight="1" spans="1:12">
      <c r="A23" s="19"/>
      <c r="B23" s="19"/>
      <c r="C23" s="19"/>
      <c r="D23" s="47" t="s">
        <v>21</v>
      </c>
      <c r="E23" s="48" t="s">
        <v>69</v>
      </c>
      <c r="F23" s="47">
        <v>1</v>
      </c>
      <c r="G23" s="47" t="s">
        <v>23</v>
      </c>
      <c r="H23" s="49" t="s">
        <v>262</v>
      </c>
      <c r="I23" s="86">
        <v>0</v>
      </c>
      <c r="J23" s="86">
        <v>0</v>
      </c>
      <c r="K23" s="86">
        <v>0</v>
      </c>
      <c r="L23" s="75"/>
    </row>
    <row r="24" ht="16.5" spans="1:12">
      <c r="A24" s="19"/>
      <c r="B24" s="19"/>
      <c r="C24" s="19"/>
      <c r="D24" s="47" t="s">
        <v>41</v>
      </c>
      <c r="E24" s="48" t="s">
        <v>68</v>
      </c>
      <c r="F24" s="47">
        <v>2</v>
      </c>
      <c r="G24" s="47" t="s">
        <v>23</v>
      </c>
      <c r="H24" s="49" t="s">
        <v>362</v>
      </c>
      <c r="I24" s="86">
        <v>0</v>
      </c>
      <c r="J24" s="86">
        <v>0</v>
      </c>
      <c r="K24" s="86">
        <v>0</v>
      </c>
      <c r="L24" s="75"/>
    </row>
    <row r="25" ht="69.75" customHeight="1" spans="1:12">
      <c r="A25" s="19"/>
      <c r="B25" s="19"/>
      <c r="C25" s="19"/>
      <c r="D25" s="47" t="s">
        <v>18</v>
      </c>
      <c r="E25" s="48" t="s">
        <v>68</v>
      </c>
      <c r="F25" s="47">
        <v>2</v>
      </c>
      <c r="G25" s="47" t="s">
        <v>20</v>
      </c>
      <c r="H25" s="49" t="s">
        <v>363</v>
      </c>
      <c r="I25" s="86">
        <v>2</v>
      </c>
      <c r="J25" s="86">
        <v>2</v>
      </c>
      <c r="K25" s="86">
        <v>2</v>
      </c>
      <c r="L25" s="75"/>
    </row>
    <row r="26" ht="42" customHeight="1" spans="1:12">
      <c r="A26" s="19"/>
      <c r="B26" s="19"/>
      <c r="C26" s="19"/>
      <c r="D26" s="47" t="s">
        <v>18</v>
      </c>
      <c r="E26" s="48" t="s">
        <v>239</v>
      </c>
      <c r="F26" s="47">
        <v>1</v>
      </c>
      <c r="G26" s="47" t="s">
        <v>23</v>
      </c>
      <c r="H26" s="49" t="s">
        <v>240</v>
      </c>
      <c r="I26" s="86">
        <v>1</v>
      </c>
      <c r="J26" s="86">
        <v>1</v>
      </c>
      <c r="K26" s="86">
        <v>0</v>
      </c>
      <c r="L26" s="75"/>
    </row>
    <row r="27" ht="42" customHeight="1" spans="1:12">
      <c r="A27" s="19"/>
      <c r="B27" s="19"/>
      <c r="C27" s="19"/>
      <c r="D27" s="47" t="s">
        <v>21</v>
      </c>
      <c r="E27" s="48" t="s">
        <v>239</v>
      </c>
      <c r="F27" s="47">
        <v>1</v>
      </c>
      <c r="G27" s="47" t="s">
        <v>23</v>
      </c>
      <c r="H27" s="49" t="s">
        <v>240</v>
      </c>
      <c r="I27" s="86">
        <v>1</v>
      </c>
      <c r="J27" s="86">
        <v>1</v>
      </c>
      <c r="K27" s="86">
        <v>0</v>
      </c>
      <c r="L27" s="75"/>
    </row>
    <row r="28" ht="16.5" spans="1:12">
      <c r="A28" s="19"/>
      <c r="B28" s="19"/>
      <c r="C28" s="19"/>
      <c r="D28" s="47" t="s">
        <v>21</v>
      </c>
      <c r="E28" s="48" t="s">
        <v>73</v>
      </c>
      <c r="F28" s="47">
        <v>1</v>
      </c>
      <c r="G28" s="47" t="s">
        <v>23</v>
      </c>
      <c r="H28" s="49" t="s">
        <v>342</v>
      </c>
      <c r="I28" s="86">
        <v>1</v>
      </c>
      <c r="J28" s="86">
        <v>1</v>
      </c>
      <c r="K28" s="86">
        <v>0</v>
      </c>
      <c r="L28" s="75"/>
    </row>
    <row r="29" ht="27.75" customHeight="1" spans="1:12">
      <c r="A29" s="19"/>
      <c r="B29" s="19"/>
      <c r="C29" s="19"/>
      <c r="D29" s="47" t="s">
        <v>18</v>
      </c>
      <c r="E29" s="48" t="s">
        <v>74</v>
      </c>
      <c r="F29" s="47">
        <v>2</v>
      </c>
      <c r="G29" s="47" t="s">
        <v>20</v>
      </c>
      <c r="H29" s="49" t="s">
        <v>187</v>
      </c>
      <c r="I29" s="86">
        <v>1</v>
      </c>
      <c r="J29" s="86">
        <v>1</v>
      </c>
      <c r="K29" s="86">
        <v>0</v>
      </c>
      <c r="L29" s="75"/>
    </row>
    <row r="30" ht="27.75" customHeight="1" spans="1:12">
      <c r="A30" s="19"/>
      <c r="B30" s="19"/>
      <c r="C30" s="19"/>
      <c r="D30" s="47" t="s">
        <v>18</v>
      </c>
      <c r="E30" s="48" t="s">
        <v>19</v>
      </c>
      <c r="F30" s="50">
        <v>1</v>
      </c>
      <c r="G30" s="47" t="s">
        <v>23</v>
      </c>
      <c r="H30" s="49" t="s">
        <v>364</v>
      </c>
      <c r="I30" s="86">
        <v>1</v>
      </c>
      <c r="J30" s="86">
        <v>1</v>
      </c>
      <c r="K30" s="86">
        <v>0</v>
      </c>
      <c r="L30" s="75"/>
    </row>
    <row r="31" ht="27.75" customHeight="1" spans="1:12">
      <c r="A31" s="19"/>
      <c r="B31" s="19"/>
      <c r="C31" s="19"/>
      <c r="D31" s="47" t="s">
        <v>18</v>
      </c>
      <c r="E31" s="48" t="s">
        <v>113</v>
      </c>
      <c r="F31" s="47">
        <v>1</v>
      </c>
      <c r="G31" s="47" t="s">
        <v>23</v>
      </c>
      <c r="H31" s="49" t="s">
        <v>364</v>
      </c>
      <c r="I31" s="86">
        <v>0</v>
      </c>
      <c r="J31" s="86">
        <v>0</v>
      </c>
      <c r="K31" s="86">
        <v>0</v>
      </c>
      <c r="L31" s="75"/>
    </row>
    <row r="32" ht="27.75" customHeight="1" spans="1:12">
      <c r="A32" s="19"/>
      <c r="B32" s="19"/>
      <c r="C32" s="19"/>
      <c r="D32" s="47"/>
      <c r="E32" s="48" t="s">
        <v>73</v>
      </c>
      <c r="F32" s="47">
        <v>2</v>
      </c>
      <c r="G32" s="47" t="s">
        <v>23</v>
      </c>
      <c r="H32" s="51" t="s">
        <v>365</v>
      </c>
      <c r="I32" s="86">
        <v>2</v>
      </c>
      <c r="J32" s="86">
        <v>2</v>
      </c>
      <c r="K32" s="86">
        <v>0</v>
      </c>
      <c r="L32" s="75"/>
    </row>
    <row r="33" ht="27.75" customHeight="1" spans="1:12">
      <c r="A33" s="19"/>
      <c r="B33" s="19"/>
      <c r="C33" s="19"/>
      <c r="D33" s="47"/>
      <c r="E33" s="48" t="s">
        <v>47</v>
      </c>
      <c r="F33" s="47">
        <v>1</v>
      </c>
      <c r="G33" s="47" t="s">
        <v>23</v>
      </c>
      <c r="H33" s="51" t="s">
        <v>365</v>
      </c>
      <c r="I33" s="86">
        <v>1</v>
      </c>
      <c r="J33" s="86">
        <v>1</v>
      </c>
      <c r="K33" s="86">
        <v>0</v>
      </c>
      <c r="L33" s="75"/>
    </row>
    <row r="34" ht="16.5" spans="1:12">
      <c r="A34" s="52" t="s">
        <v>49</v>
      </c>
      <c r="B34" s="53">
        <v>21</v>
      </c>
      <c r="C34" s="53">
        <v>21</v>
      </c>
      <c r="D34" s="54" t="s">
        <v>18</v>
      </c>
      <c r="E34" s="55" t="s">
        <v>276</v>
      </c>
      <c r="F34" s="54">
        <v>1</v>
      </c>
      <c r="G34" s="54" t="s">
        <v>23</v>
      </c>
      <c r="H34" s="56" t="s">
        <v>277</v>
      </c>
      <c r="I34" s="88">
        <v>0</v>
      </c>
      <c r="J34" s="88">
        <v>0</v>
      </c>
      <c r="K34" s="88">
        <v>0</v>
      </c>
      <c r="L34" s="89">
        <v>20</v>
      </c>
    </row>
    <row r="35" ht="27.75" customHeight="1" spans="1:12">
      <c r="A35" s="19"/>
      <c r="B35" s="19"/>
      <c r="C35" s="19"/>
      <c r="D35" s="54" t="s">
        <v>18</v>
      </c>
      <c r="E35" s="55" t="s">
        <v>251</v>
      </c>
      <c r="F35" s="54">
        <v>1</v>
      </c>
      <c r="G35" s="54" t="s">
        <v>23</v>
      </c>
      <c r="H35" s="56" t="s">
        <v>252</v>
      </c>
      <c r="I35" s="88">
        <v>0</v>
      </c>
      <c r="J35" s="88">
        <v>0</v>
      </c>
      <c r="K35" s="88">
        <v>0</v>
      </c>
      <c r="L35" s="75"/>
    </row>
    <row r="36" ht="16.5" spans="1:12">
      <c r="A36" s="19"/>
      <c r="B36" s="19"/>
      <c r="C36" s="19"/>
      <c r="D36" s="54" t="s">
        <v>21</v>
      </c>
      <c r="E36" s="55" t="s">
        <v>123</v>
      </c>
      <c r="F36" s="54">
        <v>1</v>
      </c>
      <c r="G36" s="54" t="s">
        <v>23</v>
      </c>
      <c r="H36" s="56" t="s">
        <v>345</v>
      </c>
      <c r="I36" s="88"/>
      <c r="J36" s="88"/>
      <c r="K36" s="88">
        <v>0</v>
      </c>
      <c r="L36" s="75"/>
    </row>
    <row r="37" ht="16.5" spans="1:12">
      <c r="A37" s="19"/>
      <c r="B37" s="19"/>
      <c r="C37" s="19"/>
      <c r="D37" s="54" t="s">
        <v>18</v>
      </c>
      <c r="E37" s="55" t="s">
        <v>366</v>
      </c>
      <c r="F37" s="54">
        <v>1</v>
      </c>
      <c r="G37" s="54" t="s">
        <v>23</v>
      </c>
      <c r="H37" s="56" t="s">
        <v>253</v>
      </c>
      <c r="I37" s="88">
        <v>0</v>
      </c>
      <c r="J37" s="88">
        <v>0</v>
      </c>
      <c r="K37" s="88">
        <v>0</v>
      </c>
      <c r="L37" s="75"/>
    </row>
    <row r="38" ht="25.5" customHeight="1" spans="1:12">
      <c r="A38" s="19"/>
      <c r="B38" s="19"/>
      <c r="C38" s="19"/>
      <c r="D38" s="54" t="s">
        <v>41</v>
      </c>
      <c r="E38" s="55" t="s">
        <v>254</v>
      </c>
      <c r="F38" s="54">
        <v>1</v>
      </c>
      <c r="G38" s="54" t="s">
        <v>23</v>
      </c>
      <c r="H38" s="56" t="s">
        <v>227</v>
      </c>
      <c r="I38" s="88">
        <v>0</v>
      </c>
      <c r="J38" s="88">
        <v>0</v>
      </c>
      <c r="K38" s="88">
        <v>1</v>
      </c>
      <c r="L38" s="75"/>
    </row>
    <row r="39" ht="25.5" customHeight="1" spans="1:12">
      <c r="A39" s="19"/>
      <c r="B39" s="19"/>
      <c r="C39" s="19"/>
      <c r="D39" s="54" t="s">
        <v>18</v>
      </c>
      <c r="E39" s="55" t="s">
        <v>279</v>
      </c>
      <c r="F39" s="54">
        <v>2</v>
      </c>
      <c r="G39" s="54" t="s">
        <v>23</v>
      </c>
      <c r="H39" s="56" t="s">
        <v>367</v>
      </c>
      <c r="I39" s="88"/>
      <c r="J39" s="88"/>
      <c r="K39" s="88"/>
      <c r="L39" s="75"/>
    </row>
    <row r="40" ht="25.5" customHeight="1" spans="1:12">
      <c r="A40" s="57"/>
      <c r="B40" s="57"/>
      <c r="C40" s="57"/>
      <c r="D40" s="54" t="s">
        <v>18</v>
      </c>
      <c r="E40" s="55" t="s">
        <v>281</v>
      </c>
      <c r="F40" s="54">
        <v>1</v>
      </c>
      <c r="G40" s="54" t="s">
        <v>23</v>
      </c>
      <c r="H40" s="56"/>
      <c r="I40" s="88"/>
      <c r="J40" s="88"/>
      <c r="K40" s="88"/>
      <c r="L40" s="75"/>
    </row>
    <row r="41" ht="16.5" spans="1:12">
      <c r="A41" s="58" t="s">
        <v>50</v>
      </c>
      <c r="B41" s="59">
        <v>7</v>
      </c>
      <c r="C41" s="59">
        <v>7</v>
      </c>
      <c r="D41" s="58"/>
      <c r="E41" s="59"/>
      <c r="F41" s="58"/>
      <c r="G41" s="58"/>
      <c r="H41" s="60"/>
      <c r="I41" s="90"/>
      <c r="J41" s="90"/>
      <c r="K41" s="90"/>
      <c r="L41" s="91">
        <v>7</v>
      </c>
    </row>
    <row r="42" ht="16.5" spans="1:12">
      <c r="A42" s="61"/>
      <c r="B42" s="62"/>
      <c r="C42" s="62">
        <f>SUM(C4:C41)</f>
        <v>320</v>
      </c>
      <c r="D42" s="61"/>
      <c r="E42" s="62"/>
      <c r="F42" s="61">
        <f>SUM(F4:F38)</f>
        <v>56</v>
      </c>
      <c r="G42" s="61"/>
      <c r="H42" s="63"/>
      <c r="I42" s="92"/>
      <c r="J42" s="92"/>
      <c r="K42" s="92"/>
      <c r="L42" s="93">
        <f>SUM(L4:L41)</f>
        <v>317</v>
      </c>
    </row>
    <row r="43" ht="42.75" customHeight="1" spans="1:12">
      <c r="A43" s="64"/>
      <c r="B43" s="64"/>
      <c r="C43" s="64"/>
      <c r="D43" s="64"/>
      <c r="E43" s="64"/>
      <c r="F43" s="64"/>
      <c r="G43" s="64"/>
      <c r="H43" s="64"/>
      <c r="I43" s="94">
        <f>SUM(I4:I38)</f>
        <v>35</v>
      </c>
      <c r="J43" s="94">
        <f>SUM(J4:J38)</f>
        <v>39</v>
      </c>
      <c r="K43" s="94">
        <f>SUM(K4:K38)</f>
        <v>35</v>
      </c>
      <c r="L43" s="94"/>
    </row>
    <row r="44" ht="16.5" spans="1:7">
      <c r="A44" s="65"/>
      <c r="B44" s="1"/>
      <c r="C44" s="1"/>
      <c r="D44" s="66"/>
      <c r="E44" s="1"/>
      <c r="F44" s="66"/>
      <c r="G44" s="66"/>
    </row>
    <row r="45" ht="16.5" spans="1:7">
      <c r="A45" s="65"/>
      <c r="B45" s="1"/>
      <c r="C45" s="1"/>
      <c r="D45" s="66"/>
      <c r="E45" s="1"/>
      <c r="F45" s="66"/>
      <c r="G45" s="66"/>
    </row>
    <row r="46" ht="16.5" spans="1:7">
      <c r="A46" s="65"/>
      <c r="B46" s="1"/>
      <c r="C46" s="1"/>
      <c r="D46" s="66"/>
      <c r="E46" s="1"/>
      <c r="F46" s="66"/>
      <c r="G46" s="66"/>
    </row>
    <row r="47" ht="16.5" spans="1:7">
      <c r="A47" s="65"/>
      <c r="B47" s="1"/>
      <c r="C47" s="1"/>
      <c r="D47" s="66"/>
      <c r="E47" s="1"/>
      <c r="F47" s="66"/>
      <c r="G47" s="66"/>
    </row>
    <row r="48" ht="16.5" spans="1:7">
      <c r="A48" s="65"/>
      <c r="B48" s="1"/>
      <c r="C48" s="1"/>
      <c r="D48" s="66"/>
      <c r="E48" s="1"/>
      <c r="F48" s="66"/>
      <c r="G48" s="66"/>
    </row>
    <row r="49" ht="16.5" spans="1:7">
      <c r="A49" s="65"/>
      <c r="B49" s="1"/>
      <c r="C49" s="1"/>
      <c r="D49" s="66"/>
      <c r="E49" s="1"/>
      <c r="F49" s="66"/>
      <c r="G49" s="66"/>
    </row>
    <row r="50" ht="16.5" spans="1:7">
      <c r="A50" s="65"/>
      <c r="B50" s="1"/>
      <c r="C50" s="1"/>
      <c r="D50" s="66"/>
      <c r="E50" s="1"/>
      <c r="F50" s="66"/>
      <c r="G50" s="66"/>
    </row>
    <row r="51" ht="16.5" spans="1:7">
      <c r="A51" s="65"/>
      <c r="B51" s="1"/>
      <c r="C51" s="1"/>
      <c r="D51" s="66"/>
      <c r="E51" s="1"/>
      <c r="F51" s="66"/>
      <c r="G51" s="66"/>
    </row>
    <row r="52" ht="16.5" spans="1:7">
      <c r="A52" s="65"/>
      <c r="B52" s="1"/>
      <c r="C52" s="1"/>
      <c r="D52" s="66"/>
      <c r="E52" s="1"/>
      <c r="F52" s="66"/>
      <c r="G52" s="66"/>
    </row>
    <row r="53" ht="16.5" spans="1:7">
      <c r="A53" s="65"/>
      <c r="B53" s="1"/>
      <c r="C53" s="1"/>
      <c r="D53" s="66"/>
      <c r="E53" s="1"/>
      <c r="F53" s="66"/>
      <c r="G53" s="66"/>
    </row>
    <row r="54" ht="16.5" spans="1:7">
      <c r="A54" s="65"/>
      <c r="B54" s="1"/>
      <c r="C54" s="1"/>
      <c r="D54" s="66"/>
      <c r="E54" s="1"/>
      <c r="F54" s="66"/>
      <c r="G54" s="66"/>
    </row>
    <row r="55" ht="16.5" spans="1:7">
      <c r="A55" s="65"/>
      <c r="B55" s="1"/>
      <c r="C55" s="1"/>
      <c r="D55" s="66"/>
      <c r="E55" s="1"/>
      <c r="F55" s="66"/>
      <c r="G55" s="66"/>
    </row>
    <row r="56" ht="16.5" spans="1:7">
      <c r="A56" s="65"/>
      <c r="B56" s="1"/>
      <c r="C56" s="1"/>
      <c r="D56" s="66"/>
      <c r="E56" s="1"/>
      <c r="F56" s="66"/>
      <c r="G56" s="66"/>
    </row>
    <row r="57" ht="16.5" spans="1:7">
      <c r="A57" s="65"/>
      <c r="B57" s="1"/>
      <c r="C57" s="1"/>
      <c r="D57" s="66"/>
      <c r="E57" s="1"/>
      <c r="F57" s="66"/>
      <c r="G57" s="66"/>
    </row>
    <row r="58" ht="16.5" spans="1:7">
      <c r="A58" s="65"/>
      <c r="B58" s="1"/>
      <c r="C58" s="1"/>
      <c r="D58" s="66"/>
      <c r="E58" s="1"/>
      <c r="F58" s="66"/>
      <c r="G58" s="66"/>
    </row>
    <row r="59" ht="16.5" spans="1:7">
      <c r="A59" s="65"/>
      <c r="B59" s="1"/>
      <c r="C59" s="1"/>
      <c r="D59" s="66"/>
      <c r="E59" s="1"/>
      <c r="F59" s="66"/>
      <c r="G59" s="66"/>
    </row>
    <row r="60" ht="16.5" spans="1:7">
      <c r="A60" s="65"/>
      <c r="B60" s="1"/>
      <c r="C60" s="1"/>
      <c r="D60" s="66"/>
      <c r="E60" s="1"/>
      <c r="F60" s="66"/>
      <c r="G60" s="66"/>
    </row>
    <row r="61" ht="16.5" spans="1:7">
      <c r="A61" s="65"/>
      <c r="B61" s="1"/>
      <c r="C61" s="1"/>
      <c r="D61" s="66"/>
      <c r="E61" s="1"/>
      <c r="F61" s="66"/>
      <c r="G61" s="66"/>
    </row>
    <row r="62" ht="16.5" spans="1:7">
      <c r="A62" s="65"/>
      <c r="B62" s="1"/>
      <c r="C62" s="1"/>
      <c r="D62" s="66"/>
      <c r="E62" s="1"/>
      <c r="F62" s="66"/>
      <c r="G62" s="66"/>
    </row>
    <row r="63" ht="16.5" spans="1:7">
      <c r="A63" s="65"/>
      <c r="B63" s="1"/>
      <c r="C63" s="1"/>
      <c r="D63" s="66"/>
      <c r="E63" s="1"/>
      <c r="F63" s="66"/>
      <c r="G63" s="66"/>
    </row>
    <row r="64" ht="16.5" spans="1:7">
      <c r="A64" s="65"/>
      <c r="B64" s="1"/>
      <c r="C64" s="1"/>
      <c r="D64" s="66"/>
      <c r="E64" s="1"/>
      <c r="F64" s="66"/>
      <c r="G64" s="66"/>
    </row>
    <row r="65" ht="16.5" spans="1:7">
      <c r="A65" s="65"/>
      <c r="B65" s="1"/>
      <c r="C65" s="1"/>
      <c r="D65" s="66"/>
      <c r="E65" s="1"/>
      <c r="F65" s="66"/>
      <c r="G65" s="66"/>
    </row>
    <row r="66" ht="16.5" spans="1:7">
      <c r="A66" s="65"/>
      <c r="B66" s="1"/>
      <c r="C66" s="1"/>
      <c r="D66" s="66"/>
      <c r="E66" s="1"/>
      <c r="F66" s="66"/>
      <c r="G66" s="66"/>
    </row>
    <row r="67" ht="16.5" spans="1:7">
      <c r="A67" s="65"/>
      <c r="B67" s="1"/>
      <c r="C67" s="1"/>
      <c r="D67" s="66"/>
      <c r="E67" s="1"/>
      <c r="F67" s="66"/>
      <c r="G67" s="66"/>
    </row>
    <row r="68" ht="16.5" spans="1:7">
      <c r="A68" s="65"/>
      <c r="B68" s="1"/>
      <c r="C68" s="1"/>
      <c r="D68" s="66"/>
      <c r="E68" s="1"/>
      <c r="F68" s="66"/>
      <c r="G68" s="66"/>
    </row>
    <row r="69" ht="16.5" spans="1:7">
      <c r="A69" s="65"/>
      <c r="B69" s="1"/>
      <c r="C69" s="1"/>
      <c r="D69" s="66"/>
      <c r="E69" s="1"/>
      <c r="F69" s="66"/>
      <c r="G69" s="66"/>
    </row>
    <row r="70" ht="16.5" spans="1:7">
      <c r="A70" s="65"/>
      <c r="B70" s="1"/>
      <c r="C70" s="1"/>
      <c r="D70" s="66"/>
      <c r="E70" s="1"/>
      <c r="F70" s="66"/>
      <c r="G70" s="66"/>
    </row>
    <row r="71" ht="16.5" spans="1:7">
      <c r="A71" s="65"/>
      <c r="B71" s="1"/>
      <c r="C71" s="1"/>
      <c r="D71" s="66"/>
      <c r="E71" s="1"/>
      <c r="F71" s="66"/>
      <c r="G71" s="66"/>
    </row>
    <row r="72" ht="16.5" spans="1:7">
      <c r="A72" s="65"/>
      <c r="B72" s="1"/>
      <c r="C72" s="1"/>
      <c r="D72" s="66"/>
      <c r="E72" s="1"/>
      <c r="F72" s="66"/>
      <c r="G72" s="66"/>
    </row>
    <row r="73" ht="16.5" spans="1:7">
      <c r="A73" s="65"/>
      <c r="B73" s="1"/>
      <c r="C73" s="1"/>
      <c r="D73" s="66"/>
      <c r="E73" s="1"/>
      <c r="F73" s="66"/>
      <c r="G73" s="66"/>
    </row>
    <row r="74" ht="16.5" spans="1:7">
      <c r="A74" s="65"/>
      <c r="B74" s="1"/>
      <c r="C74" s="1"/>
      <c r="D74" s="66"/>
      <c r="E74" s="1"/>
      <c r="F74" s="66"/>
      <c r="G74" s="66"/>
    </row>
    <row r="75" ht="16.5" spans="1:7">
      <c r="A75" s="65"/>
      <c r="B75" s="1"/>
      <c r="C75" s="1"/>
      <c r="D75" s="66"/>
      <c r="E75" s="1"/>
      <c r="F75" s="66"/>
      <c r="G75" s="66"/>
    </row>
    <row r="76" ht="16.5" spans="1:7">
      <c r="A76" s="65"/>
      <c r="B76" s="1"/>
      <c r="C76" s="1"/>
      <c r="D76" s="66"/>
      <c r="E76" s="1"/>
      <c r="F76" s="66"/>
      <c r="G76" s="66"/>
    </row>
    <row r="77" ht="16.5" spans="1:7">
      <c r="A77" s="65"/>
      <c r="B77" s="1"/>
      <c r="C77" s="1"/>
      <c r="D77" s="66"/>
      <c r="E77" s="1"/>
      <c r="F77" s="66"/>
      <c r="G77" s="66"/>
    </row>
    <row r="78" ht="16.5" spans="1:7">
      <c r="A78" s="65"/>
      <c r="B78" s="1"/>
      <c r="C78" s="1"/>
      <c r="D78" s="66"/>
      <c r="E78" s="1"/>
      <c r="F78" s="66"/>
      <c r="G78" s="66"/>
    </row>
    <row r="79" ht="16.5" spans="1:7">
      <c r="A79" s="65"/>
      <c r="B79" s="1"/>
      <c r="C79" s="1"/>
      <c r="D79" s="66"/>
      <c r="E79" s="1"/>
      <c r="F79" s="66"/>
      <c r="G79" s="66"/>
    </row>
    <row r="80" ht="16.5" spans="1:7">
      <c r="A80" s="65"/>
      <c r="B80" s="1"/>
      <c r="C80" s="1"/>
      <c r="D80" s="66"/>
      <c r="E80" s="1"/>
      <c r="F80" s="66"/>
      <c r="G80" s="66"/>
    </row>
    <row r="81" ht="16.5" spans="1:7">
      <c r="A81" s="65"/>
      <c r="B81" s="1"/>
      <c r="C81" s="1"/>
      <c r="D81" s="66"/>
      <c r="E81" s="1"/>
      <c r="F81" s="66"/>
      <c r="G81" s="66"/>
    </row>
    <row r="82" ht="16.5" spans="1:7">
      <c r="A82" s="65"/>
      <c r="B82" s="1"/>
      <c r="C82" s="1"/>
      <c r="D82" s="66"/>
      <c r="E82" s="1"/>
      <c r="F82" s="66"/>
      <c r="G82" s="66"/>
    </row>
    <row r="83" ht="16.5" spans="1:7">
      <c r="A83" s="65"/>
      <c r="B83" s="1"/>
      <c r="C83" s="1"/>
      <c r="D83" s="66"/>
      <c r="E83" s="1"/>
      <c r="F83" s="66"/>
      <c r="G83" s="66"/>
    </row>
    <row r="84" ht="16.5" spans="1:7">
      <c r="A84" s="65"/>
      <c r="B84" s="1"/>
      <c r="C84" s="1"/>
      <c r="D84" s="66"/>
      <c r="E84" s="1"/>
      <c r="F84" s="66"/>
      <c r="G84" s="66"/>
    </row>
    <row r="85" ht="16.5" spans="1:7">
      <c r="A85" s="65"/>
      <c r="B85" s="1"/>
      <c r="C85" s="1"/>
      <c r="D85" s="66"/>
      <c r="E85" s="1"/>
      <c r="F85" s="66"/>
      <c r="G85" s="66"/>
    </row>
    <row r="86" ht="16.5" spans="1:7">
      <c r="A86" s="65"/>
      <c r="B86" s="1"/>
      <c r="C86" s="1"/>
      <c r="D86" s="66"/>
      <c r="E86" s="1"/>
      <c r="F86" s="66"/>
      <c r="G86" s="66"/>
    </row>
    <row r="87" ht="16.5" spans="1:7">
      <c r="A87" s="65"/>
      <c r="B87" s="1"/>
      <c r="C87" s="1"/>
      <c r="D87" s="66"/>
      <c r="E87" s="1"/>
      <c r="F87" s="66"/>
      <c r="G87" s="66"/>
    </row>
    <row r="88" ht="16.5" spans="1:7">
      <c r="A88" s="65"/>
      <c r="B88" s="1"/>
      <c r="C88" s="1"/>
      <c r="D88" s="66"/>
      <c r="E88" s="1"/>
      <c r="F88" s="66"/>
      <c r="G88" s="66"/>
    </row>
    <row r="89" ht="16.5" spans="1:7">
      <c r="A89" s="65"/>
      <c r="B89" s="1"/>
      <c r="C89" s="1"/>
      <c r="D89" s="66"/>
      <c r="E89" s="1"/>
      <c r="F89" s="66"/>
      <c r="G89" s="66"/>
    </row>
    <row r="90" ht="16.5" spans="1:7">
      <c r="A90" s="65"/>
      <c r="B90" s="1"/>
      <c r="C90" s="1"/>
      <c r="D90" s="66"/>
      <c r="E90" s="1"/>
      <c r="F90" s="66"/>
      <c r="G90" s="66"/>
    </row>
    <row r="91" ht="16.5" spans="1:7">
      <c r="A91" s="65"/>
      <c r="B91" s="1"/>
      <c r="C91" s="1"/>
      <c r="D91" s="66"/>
      <c r="E91" s="1"/>
      <c r="F91" s="66"/>
      <c r="G91" s="66"/>
    </row>
    <row r="92" ht="16.5" spans="1:7">
      <c r="A92" s="65"/>
      <c r="B92" s="1"/>
      <c r="C92" s="1"/>
      <c r="D92" s="66"/>
      <c r="E92" s="1"/>
      <c r="F92" s="66"/>
      <c r="G92" s="66"/>
    </row>
    <row r="93" ht="16.5" spans="1:7">
      <c r="A93" s="65"/>
      <c r="B93" s="1"/>
      <c r="C93" s="1"/>
      <c r="D93" s="66"/>
      <c r="E93" s="1"/>
      <c r="F93" s="66"/>
      <c r="G93" s="66"/>
    </row>
    <row r="94" ht="16.5" spans="1:7">
      <c r="A94" s="65"/>
      <c r="B94" s="1"/>
      <c r="C94" s="1"/>
      <c r="D94" s="66"/>
      <c r="E94" s="1"/>
      <c r="F94" s="66"/>
      <c r="G94" s="66"/>
    </row>
    <row r="95" ht="16.5" spans="1:7">
      <c r="A95" s="65"/>
      <c r="B95" s="1"/>
      <c r="C95" s="1"/>
      <c r="D95" s="66"/>
      <c r="E95" s="1"/>
      <c r="F95" s="66"/>
      <c r="G95" s="66"/>
    </row>
    <row r="96" ht="16.5" spans="1:7">
      <c r="A96" s="65"/>
      <c r="B96" s="1"/>
      <c r="C96" s="1"/>
      <c r="D96" s="66"/>
      <c r="E96" s="1"/>
      <c r="F96" s="66"/>
      <c r="G96" s="66"/>
    </row>
    <row r="97" ht="16.5" spans="1:7">
      <c r="A97" s="65"/>
      <c r="B97" s="1"/>
      <c r="C97" s="1"/>
      <c r="D97" s="66"/>
      <c r="E97" s="1"/>
      <c r="F97" s="66"/>
      <c r="G97" s="66"/>
    </row>
    <row r="98" ht="16.5" spans="1:7">
      <c r="A98" s="65"/>
      <c r="B98" s="1"/>
      <c r="C98" s="1"/>
      <c r="D98" s="66"/>
      <c r="E98" s="1"/>
      <c r="F98" s="66"/>
      <c r="G98" s="66"/>
    </row>
    <row r="99" ht="16.5" spans="1:7">
      <c r="A99" s="65"/>
      <c r="B99" s="1"/>
      <c r="C99" s="1"/>
      <c r="D99" s="66"/>
      <c r="E99" s="1"/>
      <c r="F99" s="66"/>
      <c r="G99" s="66"/>
    </row>
    <row r="100" ht="16.5" spans="1:7">
      <c r="A100" s="65"/>
      <c r="B100" s="1"/>
      <c r="C100" s="1"/>
      <c r="D100" s="66"/>
      <c r="E100" s="1"/>
      <c r="F100" s="66"/>
      <c r="G100" s="66"/>
    </row>
    <row r="101" ht="16.5" spans="1:7">
      <c r="A101" s="65"/>
      <c r="B101" s="1"/>
      <c r="C101" s="1"/>
      <c r="D101" s="66"/>
      <c r="E101" s="1"/>
      <c r="F101" s="66"/>
      <c r="G101" s="66"/>
    </row>
    <row r="102" ht="16.5" spans="1:7">
      <c r="A102" s="65"/>
      <c r="B102" s="1"/>
      <c r="C102" s="1"/>
      <c r="D102" s="66"/>
      <c r="E102" s="1"/>
      <c r="F102" s="66"/>
      <c r="G102" s="66"/>
    </row>
    <row r="103" ht="16.5" spans="1:7">
      <c r="A103" s="65"/>
      <c r="B103" s="1"/>
      <c r="C103" s="1"/>
      <c r="D103" s="66"/>
      <c r="E103" s="1"/>
      <c r="F103" s="66"/>
      <c r="G103" s="66"/>
    </row>
    <row r="104" ht="16.5" spans="1:7">
      <c r="A104" s="65"/>
      <c r="B104" s="1"/>
      <c r="C104" s="1"/>
      <c r="D104" s="66"/>
      <c r="E104" s="1"/>
      <c r="F104" s="66"/>
      <c r="G104" s="66"/>
    </row>
    <row r="105" ht="16.5" spans="1:7">
      <c r="A105" s="65"/>
      <c r="B105" s="1"/>
      <c r="C105" s="1"/>
      <c r="D105" s="66"/>
      <c r="E105" s="1"/>
      <c r="F105" s="66"/>
      <c r="G105" s="66"/>
    </row>
    <row r="106" ht="16.5" spans="1:7">
      <c r="A106" s="65"/>
      <c r="B106" s="1"/>
      <c r="C106" s="1"/>
      <c r="D106" s="66"/>
      <c r="E106" s="1"/>
      <c r="F106" s="66"/>
      <c r="G106" s="66"/>
    </row>
    <row r="107" ht="16.5" spans="1:7">
      <c r="A107" s="65"/>
      <c r="B107" s="1"/>
      <c r="C107" s="1"/>
      <c r="D107" s="66"/>
      <c r="E107" s="1"/>
      <c r="F107" s="66"/>
      <c r="G107" s="66"/>
    </row>
    <row r="108" ht="16.5" spans="1:7">
      <c r="A108" s="65"/>
      <c r="B108" s="1"/>
      <c r="C108" s="1"/>
      <c r="D108" s="66"/>
      <c r="E108" s="1"/>
      <c r="F108" s="66"/>
      <c r="G108" s="66"/>
    </row>
    <row r="109" ht="16.5" spans="1:7">
      <c r="A109" s="65"/>
      <c r="B109" s="1"/>
      <c r="C109" s="1"/>
      <c r="D109" s="66"/>
      <c r="E109" s="1"/>
      <c r="F109" s="66"/>
      <c r="G109" s="66"/>
    </row>
    <row r="110" ht="16.5" spans="1:7">
      <c r="A110" s="65"/>
      <c r="B110" s="1"/>
      <c r="C110" s="1"/>
      <c r="D110" s="66"/>
      <c r="E110" s="1"/>
      <c r="F110" s="66"/>
      <c r="G110" s="66"/>
    </row>
    <row r="111" ht="16.5" spans="1:7">
      <c r="A111" s="65"/>
      <c r="B111" s="1"/>
      <c r="C111" s="1"/>
      <c r="D111" s="66"/>
      <c r="E111" s="1"/>
      <c r="F111" s="66"/>
      <c r="G111" s="66"/>
    </row>
    <row r="112" ht="16.5" spans="1:7">
      <c r="A112" s="65"/>
      <c r="B112" s="1"/>
      <c r="C112" s="1"/>
      <c r="D112" s="66"/>
      <c r="E112" s="1"/>
      <c r="F112" s="66"/>
      <c r="G112" s="66"/>
    </row>
    <row r="113" ht="16.5" spans="1:7">
      <c r="A113" s="65"/>
      <c r="B113" s="1"/>
      <c r="C113" s="1"/>
      <c r="D113" s="66"/>
      <c r="E113" s="1"/>
      <c r="F113" s="66"/>
      <c r="G113" s="66"/>
    </row>
    <row r="114" ht="16.5" spans="1:7">
      <c r="A114" s="65"/>
      <c r="B114" s="1"/>
      <c r="C114" s="1"/>
      <c r="D114" s="66"/>
      <c r="E114" s="1"/>
      <c r="F114" s="66"/>
      <c r="G114" s="66"/>
    </row>
    <row r="115" ht="16.5" spans="1:7">
      <c r="A115" s="65"/>
      <c r="B115" s="1"/>
      <c r="C115" s="1"/>
      <c r="D115" s="66"/>
      <c r="E115" s="1"/>
      <c r="F115" s="66"/>
      <c r="G115" s="66"/>
    </row>
    <row r="116" ht="16.5" spans="1:7">
      <c r="A116" s="65"/>
      <c r="B116" s="1"/>
      <c r="C116" s="1"/>
      <c r="D116" s="66"/>
      <c r="E116" s="1"/>
      <c r="F116" s="66"/>
      <c r="G116" s="66"/>
    </row>
    <row r="117" ht="16.5" spans="1:7">
      <c r="A117" s="65"/>
      <c r="B117" s="1"/>
      <c r="C117" s="1"/>
      <c r="D117" s="66"/>
      <c r="E117" s="1"/>
      <c r="F117" s="66"/>
      <c r="G117" s="66"/>
    </row>
    <row r="118" ht="16.5" spans="1:7">
      <c r="A118" s="65"/>
      <c r="B118" s="1"/>
      <c r="C118" s="1"/>
      <c r="D118" s="66"/>
      <c r="E118" s="1"/>
      <c r="F118" s="66"/>
      <c r="G118" s="66"/>
    </row>
    <row r="119" ht="16.5" spans="1:7">
      <c r="A119" s="65"/>
      <c r="B119" s="1"/>
      <c r="C119" s="1"/>
      <c r="D119" s="66"/>
      <c r="E119" s="1"/>
      <c r="F119" s="66"/>
      <c r="G119" s="66"/>
    </row>
    <row r="120" ht="16.5" spans="1:7">
      <c r="A120" s="65"/>
      <c r="B120" s="1"/>
      <c r="C120" s="1"/>
      <c r="D120" s="66"/>
      <c r="E120" s="1"/>
      <c r="F120" s="66"/>
      <c r="G120" s="66"/>
    </row>
    <row r="121" ht="16.5" spans="1:7">
      <c r="A121" s="65"/>
      <c r="B121" s="1"/>
      <c r="C121" s="1"/>
      <c r="D121" s="66"/>
      <c r="E121" s="1"/>
      <c r="F121" s="66"/>
      <c r="G121" s="66"/>
    </row>
    <row r="122" ht="16.5" spans="1:7">
      <c r="A122" s="65"/>
      <c r="B122" s="1"/>
      <c r="C122" s="1"/>
      <c r="D122" s="66"/>
      <c r="E122" s="1"/>
      <c r="F122" s="66"/>
      <c r="G122" s="66"/>
    </row>
    <row r="123" ht="16.5" spans="1:7">
      <c r="A123" s="65"/>
      <c r="B123" s="1"/>
      <c r="C123" s="1"/>
      <c r="D123" s="66"/>
      <c r="E123" s="1"/>
      <c r="F123" s="66"/>
      <c r="G123" s="66"/>
    </row>
    <row r="124" ht="16.5" spans="1:7">
      <c r="A124" s="65"/>
      <c r="B124" s="1"/>
      <c r="C124" s="1"/>
      <c r="D124" s="66"/>
      <c r="E124" s="1"/>
      <c r="F124" s="66"/>
      <c r="G124" s="66"/>
    </row>
    <row r="125" ht="16.5" spans="1:7">
      <c r="A125" s="65"/>
      <c r="B125" s="1"/>
      <c r="C125" s="1"/>
      <c r="D125" s="66"/>
      <c r="E125" s="1"/>
      <c r="F125" s="66"/>
      <c r="G125" s="66"/>
    </row>
    <row r="126" ht="16.5" spans="1:7">
      <c r="A126" s="65"/>
      <c r="B126" s="1"/>
      <c r="C126" s="1"/>
      <c r="D126" s="66"/>
      <c r="E126" s="1"/>
      <c r="F126" s="66"/>
      <c r="G126" s="66"/>
    </row>
    <row r="127" ht="16.5" spans="1:7">
      <c r="A127" s="65"/>
      <c r="B127" s="1"/>
      <c r="C127" s="1"/>
      <c r="D127" s="66"/>
      <c r="E127" s="1"/>
      <c r="F127" s="66"/>
      <c r="G127" s="66"/>
    </row>
    <row r="128" ht="16.5" spans="1:7">
      <c r="A128" s="65"/>
      <c r="B128" s="1"/>
      <c r="C128" s="1"/>
      <c r="D128" s="66"/>
      <c r="E128" s="1"/>
      <c r="F128" s="66"/>
      <c r="G128" s="66"/>
    </row>
    <row r="129" ht="16.5" spans="1:7">
      <c r="A129" s="65"/>
      <c r="B129" s="1"/>
      <c r="C129" s="1"/>
      <c r="D129" s="66"/>
      <c r="E129" s="1"/>
      <c r="F129" s="66"/>
      <c r="G129" s="66"/>
    </row>
    <row r="130" ht="16.5" spans="1:7">
      <c r="A130" s="65"/>
      <c r="B130" s="1"/>
      <c r="C130" s="1"/>
      <c r="D130" s="66"/>
      <c r="E130" s="1"/>
      <c r="F130" s="66"/>
      <c r="G130" s="66"/>
    </row>
    <row r="131" ht="16.5" spans="1:7">
      <c r="A131" s="65"/>
      <c r="B131" s="1"/>
      <c r="C131" s="1"/>
      <c r="D131" s="66"/>
      <c r="E131" s="1"/>
      <c r="F131" s="66"/>
      <c r="G131" s="66"/>
    </row>
    <row r="132" ht="16.5" spans="1:7">
      <c r="A132" s="65"/>
      <c r="B132" s="1"/>
      <c r="C132" s="1"/>
      <c r="D132" s="66"/>
      <c r="E132" s="1"/>
      <c r="F132" s="66"/>
      <c r="G132" s="66"/>
    </row>
    <row r="133" ht="16.5" spans="1:7">
      <c r="A133" s="65"/>
      <c r="B133" s="1"/>
      <c r="C133" s="1"/>
      <c r="D133" s="66"/>
      <c r="E133" s="1"/>
      <c r="F133" s="66"/>
      <c r="G133" s="66"/>
    </row>
    <row r="134" ht="16.5" spans="1:7">
      <c r="A134" s="65"/>
      <c r="B134" s="1"/>
      <c r="C134" s="1"/>
      <c r="D134" s="66"/>
      <c r="E134" s="1"/>
      <c r="F134" s="66"/>
      <c r="G134" s="66"/>
    </row>
    <row r="135" ht="16.5" spans="1:7">
      <c r="A135" s="65"/>
      <c r="B135" s="1"/>
      <c r="C135" s="1"/>
      <c r="D135" s="66"/>
      <c r="E135" s="1"/>
      <c r="F135" s="66"/>
      <c r="G135" s="66"/>
    </row>
    <row r="136" ht="16.5" spans="1:7">
      <c r="A136" s="65"/>
      <c r="B136" s="1"/>
      <c r="C136" s="1"/>
      <c r="D136" s="66"/>
      <c r="E136" s="1"/>
      <c r="F136" s="66"/>
      <c r="G136" s="66"/>
    </row>
    <row r="137" ht="16.5" spans="1:7">
      <c r="A137" s="65"/>
      <c r="B137" s="1"/>
      <c r="C137" s="1"/>
      <c r="D137" s="66"/>
      <c r="E137" s="1"/>
      <c r="F137" s="66"/>
      <c r="G137" s="66"/>
    </row>
    <row r="138" ht="16.5" spans="1:7">
      <c r="A138" s="65"/>
      <c r="B138" s="1"/>
      <c r="C138" s="1"/>
      <c r="D138" s="66"/>
      <c r="E138" s="1"/>
      <c r="F138" s="66"/>
      <c r="G138" s="66"/>
    </row>
    <row r="139" ht="16.5" spans="1:7">
      <c r="A139" s="65"/>
      <c r="B139" s="1"/>
      <c r="C139" s="1"/>
      <c r="D139" s="66"/>
      <c r="E139" s="1"/>
      <c r="F139" s="66"/>
      <c r="G139" s="66"/>
    </row>
    <row r="140" ht="16.5" spans="1:7">
      <c r="A140" s="65"/>
      <c r="B140" s="1"/>
      <c r="C140" s="1"/>
      <c r="D140" s="66"/>
      <c r="E140" s="1"/>
      <c r="F140" s="66"/>
      <c r="G140" s="66"/>
    </row>
    <row r="141" ht="16.5" spans="1:7">
      <c r="A141" s="65"/>
      <c r="B141" s="1"/>
      <c r="C141" s="1"/>
      <c r="D141" s="66"/>
      <c r="E141" s="1"/>
      <c r="F141" s="66"/>
      <c r="G141" s="66"/>
    </row>
    <row r="142" ht="16.5" spans="1:7">
      <c r="A142" s="65"/>
      <c r="B142" s="1"/>
      <c r="C142" s="1"/>
      <c r="D142" s="66"/>
      <c r="E142" s="1"/>
      <c r="F142" s="66"/>
      <c r="G142" s="66"/>
    </row>
    <row r="143" ht="16.5" spans="1:7">
      <c r="A143" s="65"/>
      <c r="B143" s="1"/>
      <c r="C143" s="1"/>
      <c r="D143" s="66"/>
      <c r="E143" s="1"/>
      <c r="F143" s="66"/>
      <c r="G143" s="66"/>
    </row>
    <row r="144" ht="16.5" spans="1:7">
      <c r="A144" s="65"/>
      <c r="B144" s="1"/>
      <c r="C144" s="1"/>
      <c r="D144" s="66"/>
      <c r="E144" s="1"/>
      <c r="F144" s="66"/>
      <c r="G144" s="66"/>
    </row>
    <row r="145" ht="16.5" spans="1:7">
      <c r="A145" s="65"/>
      <c r="B145" s="1"/>
      <c r="C145" s="1"/>
      <c r="D145" s="66"/>
      <c r="E145" s="1"/>
      <c r="F145" s="66"/>
      <c r="G145" s="66"/>
    </row>
    <row r="146" ht="16.5" spans="1:7">
      <c r="A146" s="65"/>
      <c r="B146" s="1"/>
      <c r="C146" s="1"/>
      <c r="D146" s="66"/>
      <c r="E146" s="1"/>
      <c r="F146" s="66"/>
      <c r="G146" s="66"/>
    </row>
    <row r="147" ht="16.5" spans="1:7">
      <c r="A147" s="65"/>
      <c r="B147" s="1"/>
      <c r="C147" s="1"/>
      <c r="D147" s="66"/>
      <c r="E147" s="1"/>
      <c r="F147" s="66"/>
      <c r="G147" s="66"/>
    </row>
    <row r="148" ht="16.5" spans="1:7">
      <c r="A148" s="65"/>
      <c r="B148" s="1"/>
      <c r="C148" s="1"/>
      <c r="D148" s="66"/>
      <c r="E148" s="1"/>
      <c r="F148" s="66"/>
      <c r="G148" s="66"/>
    </row>
    <row r="149" ht="16.5" spans="1:7">
      <c r="A149" s="65"/>
      <c r="B149" s="1"/>
      <c r="C149" s="1"/>
      <c r="D149" s="66"/>
      <c r="E149" s="1"/>
      <c r="F149" s="66"/>
      <c r="G149" s="66"/>
    </row>
    <row r="150" ht="16.5" spans="1:7">
      <c r="A150" s="65"/>
      <c r="B150" s="1"/>
      <c r="C150" s="1"/>
      <c r="D150" s="66"/>
      <c r="E150" s="1"/>
      <c r="F150" s="66"/>
      <c r="G150" s="66"/>
    </row>
    <row r="151" ht="16.5" spans="1:7">
      <c r="A151" s="65"/>
      <c r="B151" s="1"/>
      <c r="C151" s="1"/>
      <c r="D151" s="66"/>
      <c r="E151" s="1"/>
      <c r="F151" s="66"/>
      <c r="G151" s="66"/>
    </row>
    <row r="152" ht="16.5" spans="1:7">
      <c r="A152" s="65"/>
      <c r="B152" s="1"/>
      <c r="C152" s="1"/>
      <c r="D152" s="66"/>
      <c r="E152" s="1"/>
      <c r="F152" s="66"/>
      <c r="G152" s="66"/>
    </row>
    <row r="153" ht="16.5" spans="1:7">
      <c r="A153" s="65"/>
      <c r="B153" s="1"/>
      <c r="C153" s="1"/>
      <c r="D153" s="66"/>
      <c r="E153" s="1"/>
      <c r="F153" s="66"/>
      <c r="G153" s="66"/>
    </row>
    <row r="154" ht="16.5" spans="1:7">
      <c r="A154" s="65"/>
      <c r="B154" s="1"/>
      <c r="C154" s="1"/>
      <c r="D154" s="66"/>
      <c r="E154" s="1"/>
      <c r="F154" s="66"/>
      <c r="G154" s="66"/>
    </row>
    <row r="155" ht="16.5" spans="1:7">
      <c r="A155" s="65"/>
      <c r="B155" s="1"/>
      <c r="C155" s="1"/>
      <c r="D155" s="66"/>
      <c r="E155" s="1"/>
      <c r="F155" s="66"/>
      <c r="G155" s="66"/>
    </row>
    <row r="156" ht="16.5" spans="1:7">
      <c r="A156" s="65"/>
      <c r="B156" s="1"/>
      <c r="C156" s="1"/>
      <c r="D156" s="66"/>
      <c r="E156" s="1"/>
      <c r="F156" s="66"/>
      <c r="G156" s="66"/>
    </row>
    <row r="157" ht="16.5" spans="1:7">
      <c r="A157" s="65"/>
      <c r="B157" s="1"/>
      <c r="C157" s="1"/>
      <c r="D157" s="66"/>
      <c r="E157" s="1"/>
      <c r="F157" s="66"/>
      <c r="G157" s="66"/>
    </row>
    <row r="158" ht="16.5" spans="1:7">
      <c r="A158" s="65"/>
      <c r="B158" s="1"/>
      <c r="C158" s="1"/>
      <c r="D158" s="66"/>
      <c r="E158" s="1"/>
      <c r="F158" s="66"/>
      <c r="G158" s="66"/>
    </row>
    <row r="159" ht="16.5" spans="1:7">
      <c r="A159" s="65"/>
      <c r="B159" s="1"/>
      <c r="C159" s="1"/>
      <c r="D159" s="66"/>
      <c r="E159" s="1"/>
      <c r="F159" s="66"/>
      <c r="G159" s="66"/>
    </row>
    <row r="160" ht="16.5" spans="1:7">
      <c r="A160" s="65"/>
      <c r="B160" s="1"/>
      <c r="C160" s="1"/>
      <c r="D160" s="66"/>
      <c r="E160" s="1"/>
      <c r="F160" s="66"/>
      <c r="G160" s="66"/>
    </row>
    <row r="161" ht="16.5" spans="1:7">
      <c r="A161" s="65"/>
      <c r="B161" s="1"/>
      <c r="C161" s="1"/>
      <c r="D161" s="66"/>
      <c r="E161" s="1"/>
      <c r="F161" s="66"/>
      <c r="G161" s="66"/>
    </row>
    <row r="162" ht="16.5" spans="1:7">
      <c r="A162" s="65"/>
      <c r="B162" s="1"/>
      <c r="C162" s="1"/>
      <c r="D162" s="66"/>
      <c r="E162" s="1"/>
      <c r="F162" s="66"/>
      <c r="G162" s="66"/>
    </row>
    <row r="163" ht="16.5" spans="1:7">
      <c r="A163" s="65"/>
      <c r="B163" s="1"/>
      <c r="C163" s="1"/>
      <c r="D163" s="66"/>
      <c r="E163" s="1"/>
      <c r="F163" s="66"/>
      <c r="G163" s="66"/>
    </row>
    <row r="164" ht="16.5" spans="1:7">
      <c r="A164" s="65"/>
      <c r="B164" s="1"/>
      <c r="C164" s="1"/>
      <c r="D164" s="66"/>
      <c r="E164" s="1"/>
      <c r="F164" s="66"/>
      <c r="G164" s="66"/>
    </row>
    <row r="165" ht="16.5" spans="1:7">
      <c r="A165" s="65"/>
      <c r="B165" s="1"/>
      <c r="C165" s="1"/>
      <c r="D165" s="66"/>
      <c r="E165" s="1"/>
      <c r="F165" s="66"/>
      <c r="G165" s="66"/>
    </row>
    <row r="166" ht="16.5" spans="1:7">
      <c r="A166" s="65"/>
      <c r="B166" s="1"/>
      <c r="C166" s="1"/>
      <c r="D166" s="66"/>
      <c r="E166" s="1"/>
      <c r="F166" s="66"/>
      <c r="G166" s="66"/>
    </row>
    <row r="167" ht="16.5" spans="1:7">
      <c r="A167" s="65"/>
      <c r="B167" s="1"/>
      <c r="C167" s="1"/>
      <c r="D167" s="66"/>
      <c r="E167" s="1"/>
      <c r="F167" s="66"/>
      <c r="G167" s="66"/>
    </row>
    <row r="168" ht="16.5" spans="1:7">
      <c r="A168" s="65"/>
      <c r="B168" s="1"/>
      <c r="C168" s="1"/>
      <c r="D168" s="66"/>
      <c r="E168" s="1"/>
      <c r="F168" s="66"/>
      <c r="G168" s="66"/>
    </row>
    <row r="169" ht="16.5" spans="1:7">
      <c r="A169" s="65"/>
      <c r="B169" s="1"/>
      <c r="C169" s="1"/>
      <c r="D169" s="66"/>
      <c r="E169" s="1"/>
      <c r="F169" s="66"/>
      <c r="G169" s="66"/>
    </row>
    <row r="170" ht="16.5" spans="1:7">
      <c r="A170" s="65"/>
      <c r="B170" s="1"/>
      <c r="C170" s="1"/>
      <c r="D170" s="66"/>
      <c r="E170" s="1"/>
      <c r="F170" s="66"/>
      <c r="G170" s="66"/>
    </row>
    <row r="171" ht="16.5" spans="1:7">
      <c r="A171" s="65"/>
      <c r="B171" s="1"/>
      <c r="C171" s="1"/>
      <c r="D171" s="66"/>
      <c r="E171" s="1"/>
      <c r="F171" s="66"/>
      <c r="G171" s="66"/>
    </row>
    <row r="172" ht="16.5" spans="1:7">
      <c r="A172" s="65"/>
      <c r="B172" s="1"/>
      <c r="C172" s="1"/>
      <c r="D172" s="66"/>
      <c r="E172" s="1"/>
      <c r="F172" s="66"/>
      <c r="G172" s="66"/>
    </row>
    <row r="173" ht="16.5" spans="1:7">
      <c r="A173" s="65"/>
      <c r="B173" s="1"/>
      <c r="C173" s="1"/>
      <c r="D173" s="66"/>
      <c r="E173" s="1"/>
      <c r="F173" s="66"/>
      <c r="G173" s="66"/>
    </row>
    <row r="174" ht="16.5" spans="1:7">
      <c r="A174" s="65"/>
      <c r="B174" s="1"/>
      <c r="C174" s="1"/>
      <c r="D174" s="66"/>
      <c r="E174" s="1"/>
      <c r="F174" s="66"/>
      <c r="G174" s="66"/>
    </row>
    <row r="175" ht="16.5" spans="1:7">
      <c r="A175" s="65"/>
      <c r="B175" s="1"/>
      <c r="C175" s="1"/>
      <c r="D175" s="66"/>
      <c r="E175" s="1"/>
      <c r="F175" s="66"/>
      <c r="G175" s="66"/>
    </row>
    <row r="176" ht="16.5" spans="1:7">
      <c r="A176" s="65"/>
      <c r="B176" s="1"/>
      <c r="C176" s="1"/>
      <c r="D176" s="66"/>
      <c r="E176" s="1"/>
      <c r="F176" s="66"/>
      <c r="G176" s="66"/>
    </row>
    <row r="177" ht="16.5" spans="1:7">
      <c r="A177" s="65"/>
      <c r="B177" s="1"/>
      <c r="C177" s="1"/>
      <c r="D177" s="66"/>
      <c r="E177" s="1"/>
      <c r="F177" s="66"/>
      <c r="G177" s="66"/>
    </row>
    <row r="178" ht="16.5" spans="1:7">
      <c r="A178" s="65"/>
      <c r="B178" s="1"/>
      <c r="C178" s="1"/>
      <c r="D178" s="66"/>
      <c r="E178" s="1"/>
      <c r="F178" s="66"/>
      <c r="G178" s="66"/>
    </row>
    <row r="179" ht="16.5" spans="1:7">
      <c r="A179" s="65"/>
      <c r="B179" s="1"/>
      <c r="C179" s="1"/>
      <c r="D179" s="66"/>
      <c r="E179" s="1"/>
      <c r="F179" s="66"/>
      <c r="G179" s="66"/>
    </row>
    <row r="180" ht="16.5" spans="1:7">
      <c r="A180" s="65"/>
      <c r="B180" s="1"/>
      <c r="C180" s="1"/>
      <c r="D180" s="66"/>
      <c r="E180" s="1"/>
      <c r="F180" s="66"/>
      <c r="G180" s="66"/>
    </row>
    <row r="181" ht="16.5" spans="1:7">
      <c r="A181" s="65"/>
      <c r="B181" s="1"/>
      <c r="C181" s="1"/>
      <c r="D181" s="66"/>
      <c r="E181" s="1"/>
      <c r="F181" s="66"/>
      <c r="G181" s="66"/>
    </row>
    <row r="182" ht="16.5" spans="1:7">
      <c r="A182" s="65"/>
      <c r="B182" s="1"/>
      <c r="C182" s="1"/>
      <c r="D182" s="66"/>
      <c r="E182" s="1"/>
      <c r="F182" s="66"/>
      <c r="G182" s="66"/>
    </row>
    <row r="183" ht="16.5" spans="1:7">
      <c r="A183" s="65"/>
      <c r="B183" s="1"/>
      <c r="C183" s="1"/>
      <c r="D183" s="66"/>
      <c r="E183" s="1"/>
      <c r="F183" s="66"/>
      <c r="G183" s="66"/>
    </row>
    <row r="184" ht="16.5" spans="1:7">
      <c r="A184" s="65"/>
      <c r="B184" s="1"/>
      <c r="C184" s="1"/>
      <c r="D184" s="66"/>
      <c r="E184" s="1"/>
      <c r="F184" s="66"/>
      <c r="G184" s="66"/>
    </row>
    <row r="185" ht="16.5" spans="1:7">
      <c r="A185" s="65"/>
      <c r="B185" s="1"/>
      <c r="C185" s="1"/>
      <c r="D185" s="66"/>
      <c r="E185" s="1"/>
      <c r="F185" s="66"/>
      <c r="G185" s="66"/>
    </row>
    <row r="186" ht="16.5" spans="1:7">
      <c r="A186" s="65"/>
      <c r="B186" s="1"/>
      <c r="C186" s="1"/>
      <c r="D186" s="66"/>
      <c r="E186" s="1"/>
      <c r="F186" s="66"/>
      <c r="G186" s="66"/>
    </row>
    <row r="187" ht="16.5" spans="1:7">
      <c r="A187" s="65"/>
      <c r="B187" s="1"/>
      <c r="C187" s="1"/>
      <c r="D187" s="66"/>
      <c r="E187" s="1"/>
      <c r="F187" s="66"/>
      <c r="G187" s="66"/>
    </row>
    <row r="188" ht="16.5" spans="1:7">
      <c r="A188" s="65"/>
      <c r="B188" s="1"/>
      <c r="C188" s="1"/>
      <c r="D188" s="66"/>
      <c r="E188" s="1"/>
      <c r="F188" s="66"/>
      <c r="G188" s="66"/>
    </row>
    <row r="189" ht="16.5" spans="1:7">
      <c r="A189" s="65"/>
      <c r="B189" s="1"/>
      <c r="C189" s="1"/>
      <c r="D189" s="66"/>
      <c r="E189" s="1"/>
      <c r="F189" s="66"/>
      <c r="G189" s="66"/>
    </row>
    <row r="190" ht="16.5" spans="1:7">
      <c r="A190" s="65"/>
      <c r="B190" s="1"/>
      <c r="C190" s="1"/>
      <c r="D190" s="66"/>
      <c r="E190" s="1"/>
      <c r="F190" s="66"/>
      <c r="G190" s="66"/>
    </row>
    <row r="191" ht="16.5" spans="1:7">
      <c r="A191" s="65"/>
      <c r="B191" s="1"/>
      <c r="C191" s="1"/>
      <c r="D191" s="66"/>
      <c r="E191" s="1"/>
      <c r="F191" s="66"/>
      <c r="G191" s="66"/>
    </row>
    <row r="192" ht="16.5" spans="1:7">
      <c r="A192" s="65"/>
      <c r="B192" s="1"/>
      <c r="C192" s="1"/>
      <c r="D192" s="66"/>
      <c r="E192" s="1"/>
      <c r="F192" s="66"/>
      <c r="G192" s="66"/>
    </row>
    <row r="193" ht="16.5" spans="1:7">
      <c r="A193" s="65"/>
      <c r="B193" s="1"/>
      <c r="C193" s="1"/>
      <c r="D193" s="66"/>
      <c r="E193" s="1"/>
      <c r="F193" s="66"/>
      <c r="G193" s="66"/>
    </row>
    <row r="194" ht="16.5" spans="1:7">
      <c r="A194" s="65"/>
      <c r="B194" s="1"/>
      <c r="C194" s="1"/>
      <c r="D194" s="66"/>
      <c r="E194" s="1"/>
      <c r="F194" s="66"/>
      <c r="G194" s="66"/>
    </row>
    <row r="195" ht="16.5" spans="1:7">
      <c r="A195" s="65"/>
      <c r="B195" s="1"/>
      <c r="C195" s="1"/>
      <c r="D195" s="66"/>
      <c r="E195" s="1"/>
      <c r="F195" s="66"/>
      <c r="G195" s="66"/>
    </row>
    <row r="196" ht="16.5" spans="1:7">
      <c r="A196" s="65"/>
      <c r="B196" s="1"/>
      <c r="C196" s="1"/>
      <c r="D196" s="66"/>
      <c r="E196" s="1"/>
      <c r="F196" s="66"/>
      <c r="G196" s="66"/>
    </row>
    <row r="197" ht="16.5" spans="1:7">
      <c r="A197" s="65"/>
      <c r="B197" s="1"/>
      <c r="C197" s="1"/>
      <c r="D197" s="66"/>
      <c r="E197" s="1"/>
      <c r="F197" s="66"/>
      <c r="G197" s="66"/>
    </row>
    <row r="198" ht="16.5" spans="1:7">
      <c r="A198" s="65"/>
      <c r="B198" s="1"/>
      <c r="C198" s="1"/>
      <c r="D198" s="66"/>
      <c r="E198" s="1"/>
      <c r="F198" s="66"/>
      <c r="G198" s="66"/>
    </row>
    <row r="199" ht="16.5" spans="1:7">
      <c r="A199" s="65"/>
      <c r="B199" s="1"/>
      <c r="C199" s="1"/>
      <c r="D199" s="66"/>
      <c r="E199" s="1"/>
      <c r="F199" s="66"/>
      <c r="G199" s="66"/>
    </row>
    <row r="200" ht="16.5" spans="1:7">
      <c r="A200" s="65"/>
      <c r="B200" s="1"/>
      <c r="C200" s="1"/>
      <c r="D200" s="66"/>
      <c r="E200" s="1"/>
      <c r="F200" s="66"/>
      <c r="G200" s="66"/>
    </row>
    <row r="201" ht="16.5" spans="1:7">
      <c r="A201" s="65"/>
      <c r="B201" s="1"/>
      <c r="C201" s="1"/>
      <c r="D201" s="66"/>
      <c r="E201" s="1"/>
      <c r="F201" s="66"/>
      <c r="G201" s="66"/>
    </row>
    <row r="202" ht="16.5" spans="1:7">
      <c r="A202" s="65"/>
      <c r="B202" s="1"/>
      <c r="C202" s="1"/>
      <c r="D202" s="66"/>
      <c r="E202" s="1"/>
      <c r="F202" s="66"/>
      <c r="G202" s="66"/>
    </row>
    <row r="203" ht="16.5" spans="1:7">
      <c r="A203" s="65"/>
      <c r="B203" s="1"/>
      <c r="C203" s="1"/>
      <c r="D203" s="66"/>
      <c r="E203" s="1"/>
      <c r="F203" s="66"/>
      <c r="G203" s="66"/>
    </row>
    <row r="204" ht="16.5" spans="1:7">
      <c r="A204" s="65"/>
      <c r="B204" s="1"/>
      <c r="C204" s="1"/>
      <c r="D204" s="66"/>
      <c r="E204" s="1"/>
      <c r="F204" s="66"/>
      <c r="G204" s="66"/>
    </row>
    <row r="205" ht="16.5" spans="1:7">
      <c r="A205" s="65"/>
      <c r="B205" s="1"/>
      <c r="C205" s="1"/>
      <c r="D205" s="66"/>
      <c r="E205" s="1"/>
      <c r="F205" s="66"/>
      <c r="G205" s="66"/>
    </row>
    <row r="206" ht="16.5" spans="1:7">
      <c r="A206" s="65"/>
      <c r="B206" s="1"/>
      <c r="C206" s="1"/>
      <c r="D206" s="66"/>
      <c r="E206" s="1"/>
      <c r="F206" s="66"/>
      <c r="G206" s="66"/>
    </row>
    <row r="207" ht="16.5" spans="1:7">
      <c r="A207" s="65"/>
      <c r="B207" s="1"/>
      <c r="C207" s="1"/>
      <c r="D207" s="66"/>
      <c r="E207" s="1"/>
      <c r="F207" s="66"/>
      <c r="G207" s="66"/>
    </row>
    <row r="208" ht="16.5" spans="1:7">
      <c r="A208" s="65"/>
      <c r="B208" s="1"/>
      <c r="C208" s="1"/>
      <c r="D208" s="66"/>
      <c r="E208" s="1"/>
      <c r="F208" s="66"/>
      <c r="G208" s="66"/>
    </row>
    <row r="209" ht="16.5" spans="1:7">
      <c r="A209" s="65"/>
      <c r="B209" s="1"/>
      <c r="C209" s="1"/>
      <c r="D209" s="66"/>
      <c r="E209" s="1"/>
      <c r="F209" s="66"/>
      <c r="G209" s="66"/>
    </row>
    <row r="210" ht="16.5" spans="1:7">
      <c r="A210" s="65"/>
      <c r="B210" s="1"/>
      <c r="C210" s="1"/>
      <c r="D210" s="66"/>
      <c r="E210" s="1"/>
      <c r="F210" s="66"/>
      <c r="G210" s="66"/>
    </row>
    <row r="211" ht="16.5" spans="1:7">
      <c r="A211" s="65"/>
      <c r="B211" s="1"/>
      <c r="C211" s="1"/>
      <c r="D211" s="66"/>
      <c r="E211" s="1"/>
      <c r="F211" s="66"/>
      <c r="G211" s="66"/>
    </row>
    <row r="212" ht="16.5" spans="1:7">
      <c r="A212" s="65"/>
      <c r="B212" s="1"/>
      <c r="C212" s="1"/>
      <c r="D212" s="66"/>
      <c r="E212" s="1"/>
      <c r="F212" s="66"/>
      <c r="G212" s="66"/>
    </row>
    <row r="213" ht="16.5" spans="1:7">
      <c r="A213" s="65"/>
      <c r="B213" s="1"/>
      <c r="C213" s="1"/>
      <c r="D213" s="66"/>
      <c r="E213" s="1"/>
      <c r="F213" s="66"/>
      <c r="G213" s="66"/>
    </row>
    <row r="214" ht="16.5" spans="1:7">
      <c r="A214" s="65"/>
      <c r="B214" s="1"/>
      <c r="C214" s="1"/>
      <c r="D214" s="66"/>
      <c r="E214" s="1"/>
      <c r="F214" s="66"/>
      <c r="G214" s="66"/>
    </row>
    <row r="215" ht="16.5" spans="1:7">
      <c r="A215" s="65"/>
      <c r="B215" s="1"/>
      <c r="C215" s="1"/>
      <c r="D215" s="66"/>
      <c r="E215" s="1"/>
      <c r="F215" s="66"/>
      <c r="G215" s="66"/>
    </row>
    <row r="216" ht="16.5" spans="1:7">
      <c r="A216" s="65"/>
      <c r="B216" s="1"/>
      <c r="C216" s="1"/>
      <c r="D216" s="66"/>
      <c r="E216" s="1"/>
      <c r="F216" s="66"/>
      <c r="G216" s="66"/>
    </row>
    <row r="217" ht="16.5" spans="1:7">
      <c r="A217" s="65"/>
      <c r="B217" s="1"/>
      <c r="C217" s="1"/>
      <c r="D217" s="66"/>
      <c r="E217" s="1"/>
      <c r="F217" s="66"/>
      <c r="G217" s="66"/>
    </row>
    <row r="218" ht="16.5" spans="1:7">
      <c r="A218" s="65"/>
      <c r="B218" s="1"/>
      <c r="C218" s="1"/>
      <c r="D218" s="66"/>
      <c r="E218" s="1"/>
      <c r="F218" s="66"/>
      <c r="G218" s="66"/>
    </row>
    <row r="219" ht="16.5" spans="1:7">
      <c r="A219" s="65"/>
      <c r="B219" s="1"/>
      <c r="C219" s="1"/>
      <c r="D219" s="66"/>
      <c r="E219" s="1"/>
      <c r="F219" s="66"/>
      <c r="G219" s="66"/>
    </row>
    <row r="220" ht="16.5" spans="1:7">
      <c r="A220" s="65"/>
      <c r="B220" s="1"/>
      <c r="C220" s="1"/>
      <c r="D220" s="66"/>
      <c r="E220" s="1"/>
      <c r="F220" s="66"/>
      <c r="G220" s="66"/>
    </row>
    <row r="221" ht="16.5" spans="1:7">
      <c r="A221" s="65"/>
      <c r="B221" s="1"/>
      <c r="C221" s="1"/>
      <c r="D221" s="66"/>
      <c r="E221" s="1"/>
      <c r="F221" s="66"/>
      <c r="G221" s="66"/>
    </row>
    <row r="222" ht="16.5" spans="1:7">
      <c r="A222" s="65"/>
      <c r="B222" s="1"/>
      <c r="C222" s="1"/>
      <c r="D222" s="66"/>
      <c r="E222" s="1"/>
      <c r="F222" s="66"/>
      <c r="G222" s="66"/>
    </row>
    <row r="223" ht="16.5" spans="1:7">
      <c r="A223" s="65"/>
      <c r="B223" s="1"/>
      <c r="C223" s="1"/>
      <c r="D223" s="66"/>
      <c r="E223" s="1"/>
      <c r="F223" s="66"/>
      <c r="G223" s="66"/>
    </row>
    <row r="224" ht="16.5" spans="1:7">
      <c r="A224" s="65"/>
      <c r="B224" s="1"/>
      <c r="C224" s="1"/>
      <c r="D224" s="66"/>
      <c r="E224" s="1"/>
      <c r="F224" s="66"/>
      <c r="G224" s="66"/>
    </row>
    <row r="225" ht="16.5" spans="1:7">
      <c r="A225" s="65"/>
      <c r="B225" s="1"/>
      <c r="C225" s="1"/>
      <c r="D225" s="66"/>
      <c r="E225" s="1"/>
      <c r="F225" s="66"/>
      <c r="G225" s="66"/>
    </row>
    <row r="226" ht="16.5" spans="1:7">
      <c r="A226" s="65"/>
      <c r="B226" s="1"/>
      <c r="C226" s="1"/>
      <c r="D226" s="66"/>
      <c r="E226" s="1"/>
      <c r="F226" s="66"/>
      <c r="G226" s="66"/>
    </row>
    <row r="227" ht="16.5" spans="1:7">
      <c r="A227" s="65"/>
      <c r="B227" s="1"/>
      <c r="C227" s="1"/>
      <c r="D227" s="66"/>
      <c r="E227" s="1"/>
      <c r="F227" s="66"/>
      <c r="G227" s="66"/>
    </row>
    <row r="228" ht="16.5" spans="1:7">
      <c r="A228" s="65"/>
      <c r="B228" s="1"/>
      <c r="C228" s="1"/>
      <c r="D228" s="65"/>
      <c r="E228" s="1"/>
      <c r="F228" s="1"/>
      <c r="G228" s="65"/>
    </row>
    <row r="229" ht="16.5" spans="1:7">
      <c r="A229" s="65"/>
      <c r="B229" s="1"/>
      <c r="C229" s="1"/>
      <c r="D229" s="65"/>
      <c r="E229" s="1"/>
      <c r="F229" s="1"/>
      <c r="G229" s="65"/>
    </row>
  </sheetData>
  <mergeCells count="28">
    <mergeCell ref="A1:H1"/>
    <mergeCell ref="J1:L1"/>
    <mergeCell ref="A2:H2"/>
    <mergeCell ref="I2:L2"/>
    <mergeCell ref="A4:A8"/>
    <mergeCell ref="A9:A12"/>
    <mergeCell ref="A13:A15"/>
    <mergeCell ref="A16:A20"/>
    <mergeCell ref="A22:A33"/>
    <mergeCell ref="A34:A40"/>
    <mergeCell ref="B4:B8"/>
    <mergeCell ref="B9:B12"/>
    <mergeCell ref="B13:B15"/>
    <mergeCell ref="B16:B20"/>
    <mergeCell ref="B22:B33"/>
    <mergeCell ref="B34:B40"/>
    <mergeCell ref="C4:C8"/>
    <mergeCell ref="C9:C12"/>
    <mergeCell ref="C13:C15"/>
    <mergeCell ref="C16:C20"/>
    <mergeCell ref="C22:C33"/>
    <mergeCell ref="C34:C40"/>
    <mergeCell ref="L4:L8"/>
    <mergeCell ref="L9:L12"/>
    <mergeCell ref="L13:L15"/>
    <mergeCell ref="L16:L20"/>
    <mergeCell ref="L22:L33"/>
    <mergeCell ref="L34:L40"/>
  </mergeCells>
  <dataValidations count="3">
    <dataValidation type="list" allowBlank="1" showInputMessage="1" showErrorMessage="1" sqref="A3:A1048576">
      <formula1>"自孵部,签约部,培训部,外采部,商务部,运营中台,总经办+财务部,财务部,技术部,"</formula1>
    </dataValidation>
    <dataValidation type="list" allowBlank="1" showInputMessage="1" showErrorMessage="1" sqref="D3:D1048576">
      <formula1>"新增需求,替补需求,储备需求,上个月未交付延期本月,"</formula1>
    </dataValidation>
    <dataValidation type="list" allowBlank="1" showInputMessage="1" showErrorMessage="1" sqref="G3:G1048576">
      <formula1>"社招,校招,社招&amp;校招,"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November</vt:lpstr>
      <vt:lpstr>December</vt:lpstr>
      <vt:lpstr>2026-10</vt:lpstr>
      <vt:lpstr>2026-8</vt:lpstr>
      <vt:lpstr>对比</vt:lpstr>
      <vt:lpstr>2026-7</vt:lpstr>
      <vt:lpstr>2026-6</vt:lpstr>
      <vt:lpstr>2026-5</vt:lpstr>
      <vt:lpstr>2026-4</vt:lpstr>
      <vt:lpstr>2026-3</vt:lpstr>
      <vt:lpstr>周度招聘统计</vt:lpstr>
      <vt:lpstr>招聘进度</vt:lpstr>
      <vt:lpstr>2026-2</vt:lpstr>
      <vt:lpstr>2026-1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苦艾酒</cp:lastModifiedBy>
  <dcterms:created xsi:type="dcterms:W3CDTF">2026-09-29T11:28:00Z</dcterms:created>
  <dcterms:modified xsi:type="dcterms:W3CDTF">2026-09-29T03:28:51Z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2055999112CE478DAD397DCAEB5D6BF6_12</vt:lpwstr>
  </property>
  <property fmtid="{D5CDD505-2E9C-101B-9397-08002B2CF9AE}" pid="3" name="KSOProductBuildVer">
    <vt:lpwstr>2052-12.1.0.18912</vt:lpwstr>
  </property>
</Properties>
</file>